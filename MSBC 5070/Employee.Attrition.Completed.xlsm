
<file path=[Content_Types].xml><?xml version="1.0" encoding="utf-8"?>
<Types xmlns="http://schemas.openxmlformats.org/package/2006/content-types">
  <Default Extension="xml" ContentType="application/xml"/>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106"/>
  <workbookPr/>
  <mc:AlternateContent xmlns:mc="http://schemas.openxmlformats.org/markup-compatibility/2006">
    <mc:Choice Requires="x15">
      <x15ac:absPath xmlns:x15ac="http://schemas.microsoft.com/office/spreadsheetml/2010/11/ac" url="/Users/landon/Desktop/Grad School/MSBC 5070/"/>
    </mc:Choice>
  </mc:AlternateContent>
  <bookViews>
    <workbookView xWindow="0" yWindow="0" windowWidth="25600" windowHeight="16000" tabRatio="882" activeTab="2"/>
  </bookViews>
  <sheets>
    <sheet name="Data" sheetId="2" r:id="rId1"/>
    <sheet name="Data (2)" sheetId="19" r:id="rId2"/>
    <sheet name="Write Up" sheetId="18" r:id="rId3"/>
    <sheet name="BestPruned_Tree" sheetId="9" r:id="rId4"/>
    <sheet name="BestPruned_Output" sheetId="11" r:id="rId5"/>
    <sheet name="BestPruned_PruneLog" sheetId="10" r:id="rId6"/>
    <sheet name="BestPruned_Stored" sheetId="8" r:id="rId7"/>
    <sheet name="CT_FullTree" sheetId="15" r:id="rId8"/>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xlm_600_1" localSheetId="0">"'{""wkbk"":""Employee Attrition.xlsx"",""wksheet"":""Data"",""data_range"":""$A$1:$J$2501"",""has_header"":true,""cat_cols"":[],""firstRow"":1,""rows"":2500,""train_rows"":1500,""validation_rows"":1000,""test_rows"":0,""isPartitionSheet"":false,""numOutputClasses"":2,""useSuccessClass"""</definedName>
    <definedName name="xlm_600_1" localSheetId="1">"'{""wkbk"":""Employee Attrition.xlsx"",""wksheet"":""Data"",""data_range"":""$A$1:$J$2501"",""has_header"":true,""cat_cols"":[],""firstRow"":1,""rows"":2500,""train_rows"":1500,""validation_rows"":1000,""test_rows"":0,""isPartitionSheet"":false,""numOutputClasses"":2,""useSuccessClass"""</definedName>
    <definedName name="xlm_600_2" localSheetId="0">"':true,""successClass"":""1"",""successCutoffProb"":0.5,""partitionData"":true,""usePartitionVar"":false,""useRandomRows"":true,""setSeed"":true,""seedValue"":12345,""trainPct"":60,""validationPct"":40,""testPct"":0,""autoPct"":true,""equalPct"":false,""specifyPct"":false,""newDataDa"</definedName>
    <definedName name="xlm_600_2" localSheetId="1">"':true,""successClass"":""1"",""successCutoffProb"":0.5,""partitionData"":true,""usePartitionVar"":false,""useRandomRows"":true,""setSeed"":true,""seedValue"":12345,""trainPct"":60,""validationPct"":40,""testPct"":0,""autoPct"":true,""equalPct"":false,""specifyPct"":false,""newDataDa"</definedName>
    <definedName name="xlm_600_3" localSheetId="0">"'tabase"":false,""newDataWorksheet"":false,""normalizeInput"":true,""treeLimitType"":1,""treeLimitVal"":7,""useMinTermNodesRecs"":true,""minRecsInTermNode"":150,""pruneTree"":true,""priorClassProbabilityCode"":0,""maxTreeDisplayLevels"":7,""fullTree"":true,""bestPrunedTree"":fa"</definedName>
    <definedName name="xlm_600_3" localSheetId="1">"'tabase"":false,""newDataWorksheet"":false,""normalizeInput"":true,""treeLimitType"":1,""treeLimitVal"":7,""useMinTermNodesRecs"":true,""minRecsInTermNode"":150,""pruneTree"":true,""priorClassProbabilityCode"":0,""maxTreeDisplayLevels"":7,""fullTree"":true,""bestPrunedTree"":fa"</definedName>
    <definedName name="xlm_600_4" localSheetId="0">"'lse,""minErrorTree"":false,""userSpecDecisionNodes"":false,""trainDetailRpt"":false,""trainSummaryRpt"":true,""trainLiftChart"":true,""trainROCCurve"":true,""validationDetailRpt"":false,""validationSummaryRpt"":true,""validationLiftChart"":true,""validROCCurve"":false,""test"</definedName>
    <definedName name="xlm_600_4" localSheetId="1">"'lse,""minErrorTree"":false,""userSpecDecisionNodes"":false,""trainDetailRpt"":false,""trainSummaryRpt"":true,""trainLiftChart"":true,""trainROCCurve"":true,""validationDetailRpt"":false,""validationSummaryRpt"":true,""validationLiftChart"":true,""validROCCurve"":false,""test"</definedName>
    <definedName name="xlm_600_5" localSheetId="0">"'DetailRpt"":false,""testSummaryRpt"":false,""testLiftChart"":false,""testROCCurve"":false}"</definedName>
    <definedName name="xlm_600_5" localSheetId="1">"'DetailRpt"":false,""testSummaryRpt"":false,""testLiftChart"":false,""testROCCurve"":false}"</definedName>
    <definedName name="xlm_91_1" localSheetId="0" hidden="1">"'{""wkbk"":""Employee Attrition 2.xlsx"",""wksheet"":""Sheet2"",""data_range"":""$A$1:$J$2501"",""has_header"":true,""input_cols"":[{""varName"":""Employee""},{""varName"":""Attrition""},{""varName"":""Distance from Home""},{""varName"":""Job Satisfaction""},{""varName"":""Job Level""},{""va"</definedName>
    <definedName name="xlm_91_1" localSheetId="1" hidden="1">"'{""wkbk"":""Employee Attrition 2.xlsx"",""wksheet"":""Sheet2"",""data_range"":""$A$1:$J$2501"",""has_header"":true,""input_cols"":[{""varName"":""Employee""},{""varName"":""Attrition""},{""varName"":""Distance from Home""},{""varName"":""Job Satisfaction""},{""varName"":""Job Level""},{""va"</definedName>
    <definedName name="xlm_91_2" localSheetId="0" hidden="1">"'rName"":""Years since last promotion""},{""varName"":""Years with current manager""},{""varName"":""Gender""},{""varName"":""Travel frequency""},{""varName"":""Performance rating""}],""cat_cols"":[],""firstRow"":1,""rows"":2500,""isPartitionSheet"":false,""setSeed"":false,""oversampl"</definedName>
    <definedName name="xlm_91_2" localSheetId="1" hidden="1">"'rName"":""Years since last promotion""},{""varName"":""Years with current manager""},{""varName"":""Gender""},{""varName"":""Travel frequency""},{""varName"":""Performance rating""}],""cat_cols"":[],""firstRow"":1,""rows"":2500,""isPartitionSheet"":false,""setSeed"":false,""oversampl"</definedName>
    <definedName name="xlm_91_3" localSheetId="0" hidden="1">"'ePartitionVar"":{""varId"":1,""varName"":""Attrition"",""colDescr"":{""flags"":32}},""successClass"":""1"",""trainSetPctSuccess"":50,""pctValidationSetToTestSet"":null}"</definedName>
    <definedName name="xlm_91_3" localSheetId="1" hidden="1">"'ePartitionVar"":{""varId"":1,""varName"":""Attrition"",""colDescr"":{""flags"":32}},""successClass"":""1"",""trainSetPctSuccess"":50,""pctValidationSetToTestSet"":null}"</definedName>
    <definedName name="xlm_clnc_1" localSheetId="0">"'{""input_cols"":[{""varName"":""Distance from Home""},{""varName"":""Job Satisfaction""},{""varName"":""Job Level""},{""varName"":""Years since last promotion""},{""varName"":""Years with current manager""},{""varName"":""Gender""},{""varName"":""Travel frequency""},{""varName"":""Perfo"</definedName>
    <definedName name="xlm_clnc_1" localSheetId="1">"'{""input_cols"":[{""varName"":""Distance from Home""},{""varName"":""Job Satisfaction""},{""varName"":""Job Level""},{""varName"":""Years since last promotion""},{""varName"":""Years with current manager""},{""varName"":""Gender""},{""varName"":""Travel frequency""},{""varName"":""Perfo"</definedName>
    <definedName name="xlm_clnc_2" localSheetId="0">"'rmance rating""}],""output_var"":{""varName"":""Attrition""}}"</definedName>
    <definedName name="xlm_clnc_2" localSheetId="1">"'rmance rating""}],""output_var"":{""varName"":""Attrition""}}"</definedName>
    <definedName name="XLMFullModelDefinitionBestPruned" localSheetId="6" hidden="1">"B49:O71"</definedName>
    <definedName name="XLMFullModelDefinitionFullGrown" localSheetId="6" hidden="1">"B3:O46"</definedName>
    <definedName name="XLMModelDefinitionBestPruned" localSheetId="6" hidden="1">"B49:C69"</definedName>
    <definedName name="XLMModelDefinitionFullGrown" localSheetId="6" hidden="1">"B3:C23"</definedName>
    <definedName name="XLMModelInputVarsBestPruned" localSheetId="6" hidden="1">"G68:N68"</definedName>
    <definedName name="XLMModelInputVarsFullGrown" localSheetId="6" hidden="1">"G43:N43"</definedName>
    <definedName name="XLMModelInputVarsRoleBestPruned" localSheetId="6" hidden="1">"G69:O69"</definedName>
    <definedName name="XLMModelInputVarsRoleFullGrown" localSheetId="6" hidden="1">"G44:O44"</definedName>
    <definedName name="XLMModelTypeId" localSheetId="6" hidden="1">11</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 uri="{140A7094-0E35-4892-8432-C4D2E57EDEB5}">
      <x15:workbookPr chartTrackingRefBase="1"/>
    </ext>
  </extLst>
</workbook>
</file>

<file path=xl/calcChain.xml><?xml version="1.0" encoding="utf-8"?>
<calcChain xmlns="http://schemas.openxmlformats.org/spreadsheetml/2006/main">
  <c r="BH1500" i="11" l="1"/>
  <c r="BH1499" i="11"/>
  <c r="BH1498" i="11"/>
  <c r="BH1497" i="11"/>
  <c r="BH1496" i="11"/>
  <c r="BH1495" i="11"/>
  <c r="BH1494" i="11"/>
  <c r="BH1493" i="11"/>
  <c r="BH1492" i="11"/>
  <c r="BH1491" i="11"/>
  <c r="BH1490" i="11"/>
  <c r="BH1489" i="11"/>
  <c r="BH1488" i="11"/>
  <c r="BH1487" i="11"/>
  <c r="BH1486" i="11"/>
  <c r="BH1485" i="11"/>
  <c r="BH1484" i="11"/>
  <c r="BH1483" i="11"/>
  <c r="BH1482" i="11"/>
  <c r="BH1481" i="11"/>
  <c r="BH1480" i="11"/>
  <c r="BH1479" i="11"/>
  <c r="BH1478" i="11"/>
  <c r="BH1477" i="11"/>
  <c r="BH1476" i="11"/>
  <c r="BH1475" i="11"/>
  <c r="BH1474" i="11"/>
  <c r="BH1473" i="11"/>
  <c r="BH1472" i="11"/>
  <c r="BH1471" i="11"/>
  <c r="BH1470" i="11"/>
  <c r="BH1469" i="11"/>
  <c r="BH1468" i="11"/>
  <c r="BH1467" i="11"/>
  <c r="BH1466" i="11"/>
  <c r="BH1465" i="11"/>
  <c r="BH1464" i="11"/>
  <c r="BH1463" i="11"/>
  <c r="BH1462" i="11"/>
  <c r="BH1461" i="11"/>
  <c r="BH1460" i="11"/>
  <c r="BH1459" i="11"/>
  <c r="BH1458" i="11"/>
  <c r="BH1457" i="11"/>
  <c r="BH1456" i="11"/>
  <c r="BH1455" i="11"/>
  <c r="BH1454" i="11"/>
  <c r="BH1453" i="11"/>
  <c r="BH1452" i="11"/>
  <c r="BH1451" i="11"/>
  <c r="BH1450" i="11"/>
  <c r="BH1449" i="11"/>
  <c r="BH1448" i="11"/>
  <c r="BH1447" i="11"/>
  <c r="BH1446" i="11"/>
  <c r="BH1445" i="11"/>
  <c r="BH1444" i="11"/>
  <c r="BH1443" i="11"/>
  <c r="BH1442" i="11"/>
  <c r="BH1441" i="11"/>
  <c r="BH1440" i="11"/>
  <c r="BH1439" i="11"/>
  <c r="BH1438" i="11"/>
  <c r="BH1437" i="11"/>
  <c r="BH1436" i="11"/>
  <c r="BH1435" i="11"/>
  <c r="BH1434" i="11"/>
  <c r="BH1433" i="11"/>
  <c r="BH1432" i="11"/>
  <c r="BH1431" i="11"/>
  <c r="BH1430" i="11"/>
  <c r="BH1429" i="11"/>
  <c r="BH1428" i="11"/>
  <c r="BH1427" i="11"/>
  <c r="BH1426" i="11"/>
  <c r="BH1425" i="11"/>
  <c r="BH1424" i="11"/>
  <c r="BH1423" i="11"/>
  <c r="BH1422" i="11"/>
  <c r="BH1421" i="11"/>
  <c r="BH1420" i="11"/>
  <c r="BH1419" i="11"/>
  <c r="BH1418" i="11"/>
  <c r="BH1417" i="11"/>
  <c r="BH1416" i="11"/>
  <c r="BH1415" i="11"/>
  <c r="BH1414" i="11"/>
  <c r="BH1413" i="11"/>
  <c r="BH1412" i="11"/>
  <c r="BH1411" i="11"/>
  <c r="BH1410" i="11"/>
  <c r="BH1409" i="11"/>
  <c r="BH1408" i="11"/>
  <c r="BH1407" i="11"/>
  <c r="BH1406" i="11"/>
  <c r="BH1405" i="11"/>
  <c r="BH1404" i="11"/>
  <c r="BH1403" i="11"/>
  <c r="BH1402" i="11"/>
  <c r="BH1401" i="11"/>
  <c r="BH1400" i="11"/>
  <c r="BH1399" i="11"/>
  <c r="BH1398" i="11"/>
  <c r="BH1397" i="11"/>
  <c r="BH1396" i="11"/>
  <c r="BH1395" i="11"/>
  <c r="BH1394" i="11"/>
  <c r="BH1393" i="11"/>
  <c r="BH1392" i="11"/>
  <c r="BH1391" i="11"/>
  <c r="BH1390" i="11"/>
  <c r="BH1389" i="11"/>
  <c r="BH1388" i="11"/>
  <c r="BH1387" i="11"/>
  <c r="BH1386" i="11"/>
  <c r="BH1385" i="11"/>
  <c r="BH1384" i="11"/>
  <c r="BH1383" i="11"/>
  <c r="BH1382" i="11"/>
  <c r="BH1381" i="11"/>
  <c r="BH1380" i="11"/>
  <c r="BH1379" i="11"/>
  <c r="BH1378" i="11"/>
  <c r="BH1377" i="11"/>
  <c r="BH1376" i="11"/>
  <c r="BH1375" i="11"/>
  <c r="BH1374" i="11"/>
  <c r="BH1373" i="11"/>
  <c r="BH1372" i="11"/>
  <c r="BH1371" i="11"/>
  <c r="BH1370" i="11"/>
  <c r="BH1369" i="11"/>
  <c r="BH1368" i="11"/>
  <c r="BH1367" i="11"/>
  <c r="BH1366" i="11"/>
  <c r="BH1365" i="11"/>
  <c r="BH1364" i="11"/>
  <c r="BH1363" i="11"/>
  <c r="BH1362" i="11"/>
  <c r="BH1361" i="11"/>
  <c r="BH1360" i="11"/>
  <c r="BH1359" i="11"/>
  <c r="BH1358" i="11"/>
  <c r="BH1357" i="11"/>
  <c r="BH1356" i="11"/>
  <c r="BH1355" i="11"/>
  <c r="BH1354" i="11"/>
  <c r="BH1353" i="11"/>
  <c r="BH1352" i="11"/>
  <c r="BH1351" i="11"/>
  <c r="BH1350" i="11"/>
  <c r="BH1349" i="11"/>
  <c r="BH1348" i="11"/>
  <c r="BH1347" i="11"/>
  <c r="BH1346" i="11"/>
  <c r="BH1345" i="11"/>
  <c r="BH1344" i="11"/>
  <c r="BH1343" i="11"/>
  <c r="BH1342" i="11"/>
  <c r="BH1341" i="11"/>
  <c r="BH1340" i="11"/>
  <c r="BH1339" i="11"/>
  <c r="BH1338" i="11"/>
  <c r="BH1337" i="11"/>
  <c r="BH1336" i="11"/>
  <c r="BH1335" i="11"/>
  <c r="BH1334" i="11"/>
  <c r="BH1333" i="11"/>
  <c r="BH1332" i="11"/>
  <c r="BH1331" i="11"/>
  <c r="BH1330" i="11"/>
  <c r="BH1329" i="11"/>
  <c r="BH1328" i="11"/>
  <c r="BH1327" i="11"/>
  <c r="BH1326" i="11"/>
  <c r="BH1325" i="11"/>
  <c r="BH1324" i="11"/>
  <c r="BH1323" i="11"/>
  <c r="BH1322" i="11"/>
  <c r="BH1321" i="11"/>
  <c r="BH1320" i="11"/>
  <c r="BH1319" i="11"/>
  <c r="BH1318" i="11"/>
  <c r="BH1317" i="11"/>
  <c r="BH1316" i="11"/>
  <c r="BH1315" i="11"/>
  <c r="BH1314" i="11"/>
  <c r="BH1313" i="11"/>
  <c r="BH1312" i="11"/>
  <c r="BH1311" i="11"/>
  <c r="BH1310" i="11"/>
  <c r="BH1309" i="11"/>
  <c r="BH1308" i="11"/>
  <c r="BH1307" i="11"/>
  <c r="BH1306" i="11"/>
  <c r="BH1305" i="11"/>
  <c r="BH1304" i="11"/>
  <c r="BH1303" i="11"/>
  <c r="BH1302" i="11"/>
  <c r="BH1301" i="11"/>
  <c r="BH1300" i="11"/>
  <c r="BH1299" i="11"/>
  <c r="BH1298" i="11"/>
  <c r="BH1297" i="11"/>
  <c r="BH1296" i="11"/>
  <c r="BH1295" i="11"/>
  <c r="BH1294" i="11"/>
  <c r="BH1293" i="11"/>
  <c r="BH1292" i="11"/>
  <c r="BH1291" i="11"/>
  <c r="BH1290" i="11"/>
  <c r="BH1289" i="11"/>
  <c r="BH1288" i="11"/>
  <c r="BH1287" i="11"/>
  <c r="BH1286" i="11"/>
  <c r="BH1285" i="11"/>
  <c r="BH1284" i="11"/>
  <c r="BH1283" i="11"/>
  <c r="BH1282" i="11"/>
  <c r="BH1281" i="11"/>
  <c r="BH1280" i="11"/>
  <c r="BH1279" i="11"/>
  <c r="BH1278" i="11"/>
  <c r="BH1277" i="11"/>
  <c r="BH1276" i="11"/>
  <c r="BH1275" i="11"/>
  <c r="BH1274" i="11"/>
  <c r="BH1273" i="11"/>
  <c r="BH1272" i="11"/>
  <c r="BH1271" i="11"/>
  <c r="BH1270" i="11"/>
  <c r="BH1269" i="11"/>
  <c r="BH1268" i="11"/>
  <c r="BH1267" i="11"/>
  <c r="BH1266" i="11"/>
  <c r="BH1265" i="11"/>
  <c r="BH1264" i="11"/>
  <c r="BH1263" i="11"/>
  <c r="BH1262" i="11"/>
  <c r="BH1261" i="11"/>
  <c r="BH1260" i="11"/>
  <c r="BH1259" i="11"/>
  <c r="BH1258" i="11"/>
  <c r="BH1257" i="11"/>
  <c r="BH1256" i="11"/>
  <c r="BH1255" i="11"/>
  <c r="BH1254" i="11"/>
  <c r="BH1253" i="11"/>
  <c r="BH1252" i="11"/>
  <c r="BH1251" i="11"/>
  <c r="BH1250" i="11"/>
  <c r="BH1249" i="11"/>
  <c r="BH1248" i="11"/>
  <c r="BH1247" i="11"/>
  <c r="BH1246" i="11"/>
  <c r="BH1245" i="11"/>
  <c r="BH1244" i="11"/>
  <c r="BH1243" i="11"/>
  <c r="BH1242" i="11"/>
  <c r="BH1241" i="11"/>
  <c r="BH1240" i="11"/>
  <c r="BH1239" i="11"/>
  <c r="BH1238" i="11"/>
  <c r="BH1237" i="11"/>
  <c r="BH1236" i="11"/>
  <c r="BH1235" i="11"/>
  <c r="BH1234" i="11"/>
  <c r="BH1233" i="11"/>
  <c r="BH1232" i="11"/>
  <c r="BH1231" i="11"/>
  <c r="BH1230" i="11"/>
  <c r="BH1229" i="11"/>
  <c r="BH1228" i="11"/>
  <c r="BH1227" i="11"/>
  <c r="BH1226" i="11"/>
  <c r="BH1225" i="11"/>
  <c r="BH1224" i="11"/>
  <c r="BH1223" i="11"/>
  <c r="BH1222" i="11"/>
  <c r="BH1221" i="11"/>
  <c r="BH1220" i="11"/>
  <c r="BH1219" i="11"/>
  <c r="BH1218" i="11"/>
  <c r="BH1217" i="11"/>
  <c r="BH1216" i="11"/>
  <c r="BH1215" i="11"/>
  <c r="BH1214" i="11"/>
  <c r="BH1213" i="11"/>
  <c r="BH1212" i="11"/>
  <c r="BH1211" i="11"/>
  <c r="BH1210" i="11"/>
  <c r="BH1209" i="11"/>
  <c r="BH1208" i="11"/>
  <c r="BH1207" i="11"/>
  <c r="BH1206" i="11"/>
  <c r="BH1205" i="11"/>
  <c r="BH1204" i="11"/>
  <c r="BH1203" i="11"/>
  <c r="BH1202" i="11"/>
  <c r="BH1201" i="11"/>
  <c r="BH1200" i="11"/>
  <c r="BH1199" i="11"/>
  <c r="BH1198" i="11"/>
  <c r="BH1197" i="11"/>
  <c r="BH1196" i="11"/>
  <c r="BH1195" i="11"/>
  <c r="BH1194" i="11"/>
  <c r="BH1193" i="11"/>
  <c r="BH1192" i="11"/>
  <c r="BH1191" i="11"/>
  <c r="BH1190" i="11"/>
  <c r="BH1189" i="11"/>
  <c r="BH1188" i="11"/>
  <c r="BH1187" i="11"/>
  <c r="BH1186" i="11"/>
  <c r="BH1185" i="11"/>
  <c r="BH1184" i="11"/>
  <c r="BH1183" i="11"/>
  <c r="BH1182" i="11"/>
  <c r="BH1181" i="11"/>
  <c r="BH1180" i="11"/>
  <c r="BH1179" i="11"/>
  <c r="BH1178" i="11"/>
  <c r="BH1177" i="11"/>
  <c r="BH1176" i="11"/>
  <c r="BH1175" i="11"/>
  <c r="BH1174" i="11"/>
  <c r="BH1173" i="11"/>
  <c r="BH1172" i="11"/>
  <c r="BH1171" i="11"/>
  <c r="BH1170" i="11"/>
  <c r="BH1169" i="11"/>
  <c r="BH1168" i="11"/>
  <c r="BH1167" i="11"/>
  <c r="BH1166" i="11"/>
  <c r="BH1165" i="11"/>
  <c r="BH1164" i="11"/>
  <c r="BH1163" i="11"/>
  <c r="BH1162" i="11"/>
  <c r="BH1161" i="11"/>
  <c r="BH1160" i="11"/>
  <c r="BH1159" i="11"/>
  <c r="BH1158" i="11"/>
  <c r="BH1157" i="11"/>
  <c r="BH1156" i="11"/>
  <c r="BH1155" i="11"/>
  <c r="BH1154" i="11"/>
  <c r="BH1153" i="11"/>
  <c r="BH1152" i="11"/>
  <c r="BH1151" i="11"/>
  <c r="BH1150" i="11"/>
  <c r="BH1149" i="11"/>
  <c r="BH1148" i="11"/>
  <c r="BH1147" i="11"/>
  <c r="BH1146" i="11"/>
  <c r="BH1145" i="11"/>
  <c r="BH1144" i="11"/>
  <c r="BH1143" i="11"/>
  <c r="BH1142" i="11"/>
  <c r="BH1141" i="11"/>
  <c r="BH1140" i="11"/>
  <c r="BH1139" i="11"/>
  <c r="BH1138" i="11"/>
  <c r="BH1137" i="11"/>
  <c r="BH1136" i="11"/>
  <c r="BH1135" i="11"/>
  <c r="BH1134" i="11"/>
  <c r="BH1133" i="11"/>
  <c r="BH1132" i="11"/>
  <c r="BH1131" i="11"/>
  <c r="BH1130" i="11"/>
  <c r="BH1129" i="11"/>
  <c r="BH1128" i="11"/>
  <c r="BH1127" i="11"/>
  <c r="BH1126" i="11"/>
  <c r="BH1125" i="11"/>
  <c r="BH1124" i="11"/>
  <c r="BH1123" i="11"/>
  <c r="BH1122" i="11"/>
  <c r="BH1121" i="11"/>
  <c r="BH1120" i="11"/>
  <c r="BH1119" i="11"/>
  <c r="BH1118" i="11"/>
  <c r="BH1117" i="11"/>
  <c r="BH1116" i="11"/>
  <c r="BH1115" i="11"/>
  <c r="BH1114" i="11"/>
  <c r="BH1113" i="11"/>
  <c r="BH1112" i="11"/>
  <c r="BH1111" i="11"/>
  <c r="BH1110" i="11"/>
  <c r="BH1109" i="11"/>
  <c r="BH1108" i="11"/>
  <c r="BH1107" i="11"/>
  <c r="BH1106" i="11"/>
  <c r="BH1105" i="11"/>
  <c r="BH1104" i="11"/>
  <c r="BH1103" i="11"/>
  <c r="BH1102" i="11"/>
  <c r="BH1101" i="11"/>
  <c r="BH1100" i="11"/>
  <c r="BH1099" i="11"/>
  <c r="BH1098" i="11"/>
  <c r="BH1097" i="11"/>
  <c r="BH1096" i="11"/>
  <c r="BH1095" i="11"/>
  <c r="BH1094" i="11"/>
  <c r="BH1093" i="11"/>
  <c r="BH1092" i="11"/>
  <c r="BH1091" i="11"/>
  <c r="BH1090" i="11"/>
  <c r="BH1089" i="11"/>
  <c r="BH1088" i="11"/>
  <c r="BH1087" i="11"/>
  <c r="BH1086" i="11"/>
  <c r="BH1085" i="11"/>
  <c r="BH1084" i="11"/>
  <c r="BH1083" i="11"/>
  <c r="BH1082" i="11"/>
  <c r="BH1081" i="11"/>
  <c r="BH1080" i="11"/>
  <c r="BH1079" i="11"/>
  <c r="BH1078" i="11"/>
  <c r="BH1077" i="11"/>
  <c r="BH1076" i="11"/>
  <c r="BH1075" i="11"/>
  <c r="BH1074" i="11"/>
  <c r="BH1073" i="11"/>
  <c r="BH1072" i="11"/>
  <c r="BH1071" i="11"/>
  <c r="BH1070" i="11"/>
  <c r="BH1069" i="11"/>
  <c r="BH1068" i="11"/>
  <c r="BH1067" i="11"/>
  <c r="BH1066" i="11"/>
  <c r="BH1065" i="11"/>
  <c r="BH1064" i="11"/>
  <c r="BH1063" i="11"/>
  <c r="BH1062" i="11"/>
  <c r="BH1061" i="11"/>
  <c r="BH1060" i="11"/>
  <c r="BH1059" i="11"/>
  <c r="BH1058" i="11"/>
  <c r="BH1057" i="11"/>
  <c r="BH1056" i="11"/>
  <c r="BH1055" i="11"/>
  <c r="BH1054" i="11"/>
  <c r="BH1053" i="11"/>
  <c r="BH1052" i="11"/>
  <c r="BH1051" i="11"/>
  <c r="BH1050" i="11"/>
  <c r="BH1049" i="11"/>
  <c r="BH1048" i="11"/>
  <c r="BH1047" i="11"/>
  <c r="BH1046" i="11"/>
  <c r="BH1045" i="11"/>
  <c r="BH1044" i="11"/>
  <c r="BH1043" i="11"/>
  <c r="BH1042" i="11"/>
  <c r="BH1041" i="11"/>
  <c r="BH1040" i="11"/>
  <c r="BH1039" i="11"/>
  <c r="BH1038" i="11"/>
  <c r="BH1037" i="11"/>
  <c r="BH1036" i="11"/>
  <c r="BH1035" i="11"/>
  <c r="BH1034" i="11"/>
  <c r="BH1033" i="11"/>
  <c r="BH1032" i="11"/>
  <c r="BH1031" i="11"/>
  <c r="BH1030" i="11"/>
  <c r="BH1029" i="11"/>
  <c r="BH1028" i="11"/>
  <c r="BH1027" i="11"/>
  <c r="BH1026" i="11"/>
  <c r="BH1025" i="11"/>
  <c r="BH1024" i="11"/>
  <c r="BH1023" i="11"/>
  <c r="BH1022" i="11"/>
  <c r="BH1021" i="11"/>
  <c r="BH1020" i="11"/>
  <c r="BH1019" i="11"/>
  <c r="BH1018" i="11"/>
  <c r="BH1017" i="11"/>
  <c r="BH1016" i="11"/>
  <c r="BH1015" i="11"/>
  <c r="BH1014" i="11"/>
  <c r="BH1013" i="11"/>
  <c r="BH1012" i="11"/>
  <c r="BH1011" i="11"/>
  <c r="BH1010" i="11"/>
  <c r="BH1009" i="11"/>
  <c r="BH1008" i="11"/>
  <c r="BH1007" i="11"/>
  <c r="BH1006" i="11"/>
  <c r="BH1005" i="11"/>
  <c r="BH1004" i="11"/>
  <c r="BH1003" i="11"/>
  <c r="BH1002" i="11"/>
  <c r="BH1001" i="11"/>
  <c r="BM1000" i="11"/>
  <c r="BH1000" i="11"/>
  <c r="BM999" i="11"/>
  <c r="BH999" i="11"/>
  <c r="BM998" i="11"/>
  <c r="BH998" i="11"/>
  <c r="BM997" i="11"/>
  <c r="BH997" i="11"/>
  <c r="BM996" i="11"/>
  <c r="BH996" i="11"/>
  <c r="BM995" i="11"/>
  <c r="BH995" i="11"/>
  <c r="BM994" i="11"/>
  <c r="BH994" i="11"/>
  <c r="BM993" i="11"/>
  <c r="BH993" i="11"/>
  <c r="BM992" i="11"/>
  <c r="BH992" i="11"/>
  <c r="BM991" i="11"/>
  <c r="BH991" i="11"/>
  <c r="BM990" i="11"/>
  <c r="BH990" i="11"/>
  <c r="BM989" i="11"/>
  <c r="BH989" i="11"/>
  <c r="BM988" i="11"/>
  <c r="BH988" i="11"/>
  <c r="BM987" i="11"/>
  <c r="BH987" i="11"/>
  <c r="BM986" i="11"/>
  <c r="BH986" i="11"/>
  <c r="BM985" i="11"/>
  <c r="BH985" i="11"/>
  <c r="BM984" i="11"/>
  <c r="BH984" i="11"/>
  <c r="BM983" i="11"/>
  <c r="BH983" i="11"/>
  <c r="BM982" i="11"/>
  <c r="BH982" i="11"/>
  <c r="BM981" i="11"/>
  <c r="BH981" i="11"/>
  <c r="BM980" i="11"/>
  <c r="BH980" i="11"/>
  <c r="BM979" i="11"/>
  <c r="BH979" i="11"/>
  <c r="BM978" i="11"/>
  <c r="BH978" i="11"/>
  <c r="BM977" i="11"/>
  <c r="BH977" i="11"/>
  <c r="BM976" i="11"/>
  <c r="BH976" i="11"/>
  <c r="BM975" i="11"/>
  <c r="BH975" i="11"/>
  <c r="BM974" i="11"/>
  <c r="BH974" i="11"/>
  <c r="BM973" i="11"/>
  <c r="BH973" i="11"/>
  <c r="BM972" i="11"/>
  <c r="BH972" i="11"/>
  <c r="BM971" i="11"/>
  <c r="BH971" i="11"/>
  <c r="BM970" i="11"/>
  <c r="BH970" i="11"/>
  <c r="BM969" i="11"/>
  <c r="BH969" i="11"/>
  <c r="BM968" i="11"/>
  <c r="BH968" i="11"/>
  <c r="BM967" i="11"/>
  <c r="BH967" i="11"/>
  <c r="BM966" i="11"/>
  <c r="BH966" i="11"/>
  <c r="BM965" i="11"/>
  <c r="BH965" i="11"/>
  <c r="BM964" i="11"/>
  <c r="BH964" i="11"/>
  <c r="BM963" i="11"/>
  <c r="BH963" i="11"/>
  <c r="BM962" i="11"/>
  <c r="BH962" i="11"/>
  <c r="BM961" i="11"/>
  <c r="BH961" i="11"/>
  <c r="BM960" i="11"/>
  <c r="BH960" i="11"/>
  <c r="BM959" i="11"/>
  <c r="BH959" i="11"/>
  <c r="BM958" i="11"/>
  <c r="BN958" i="11"/>
  <c r="BH958" i="11"/>
  <c r="BM957" i="11"/>
  <c r="BH957" i="11"/>
  <c r="BM956" i="11"/>
  <c r="BH956" i="11"/>
  <c r="BM955" i="11"/>
  <c r="BH955" i="11"/>
  <c r="BM954" i="11"/>
  <c r="BH954" i="11"/>
  <c r="BM953" i="11"/>
  <c r="BH953" i="11"/>
  <c r="BM952" i="11"/>
  <c r="BH952" i="11"/>
  <c r="BM951" i="11"/>
  <c r="BH951" i="11"/>
  <c r="BM950" i="11"/>
  <c r="BH950" i="11"/>
  <c r="BM949" i="11"/>
  <c r="BH949" i="11"/>
  <c r="BM948" i="11"/>
  <c r="BH948" i="11"/>
  <c r="BM947" i="11"/>
  <c r="BH947" i="11"/>
  <c r="BM946" i="11"/>
  <c r="BH946" i="11"/>
  <c r="BM945" i="11"/>
  <c r="BH945" i="11"/>
  <c r="BM944" i="11"/>
  <c r="BH944" i="11"/>
  <c r="BM943" i="11"/>
  <c r="BH943" i="11"/>
  <c r="BM942" i="11"/>
  <c r="BH942" i="11"/>
  <c r="BM941" i="11"/>
  <c r="BH941" i="11"/>
  <c r="BM940" i="11"/>
  <c r="BH940" i="11"/>
  <c r="BM939" i="11"/>
  <c r="BH939" i="11"/>
  <c r="BM938" i="11"/>
  <c r="BH938" i="11"/>
  <c r="BM937" i="11"/>
  <c r="BH937" i="11"/>
  <c r="BM936" i="11"/>
  <c r="BH936" i="11"/>
  <c r="BM935" i="11"/>
  <c r="BH935" i="11"/>
  <c r="BM934" i="11"/>
  <c r="BH934" i="11"/>
  <c r="BM933" i="11"/>
  <c r="BH933" i="11"/>
  <c r="BM932" i="11"/>
  <c r="BH932" i="11"/>
  <c r="BM931" i="11"/>
  <c r="BH931" i="11"/>
  <c r="BM930" i="11"/>
  <c r="BH930" i="11"/>
  <c r="BM929" i="11"/>
  <c r="BH929" i="11"/>
  <c r="BM928" i="11"/>
  <c r="BH928" i="11"/>
  <c r="BM927" i="11"/>
  <c r="BH927" i="11"/>
  <c r="BM926" i="11"/>
  <c r="BH926" i="11"/>
  <c r="BM925" i="11"/>
  <c r="BH925" i="11"/>
  <c r="BM924" i="11"/>
  <c r="BH924" i="11"/>
  <c r="BM923" i="11"/>
  <c r="BH923" i="11"/>
  <c r="BM922" i="11"/>
  <c r="BH922" i="11"/>
  <c r="BM921" i="11"/>
  <c r="BH921" i="11"/>
  <c r="BM920" i="11"/>
  <c r="BH920" i="11"/>
  <c r="BM919" i="11"/>
  <c r="BH919" i="11"/>
  <c r="BM918" i="11"/>
  <c r="BH918" i="11"/>
  <c r="BM917" i="11"/>
  <c r="BH917" i="11"/>
  <c r="BM916" i="11"/>
  <c r="BH916" i="11"/>
  <c r="BM915" i="11"/>
  <c r="BH915" i="11"/>
  <c r="BM914" i="11"/>
  <c r="BH914" i="11"/>
  <c r="BM913" i="11"/>
  <c r="BH913" i="11"/>
  <c r="BM912" i="11"/>
  <c r="BH912" i="11"/>
  <c r="BM911" i="11"/>
  <c r="BH911" i="11"/>
  <c r="BM910" i="11"/>
  <c r="BH910" i="11"/>
  <c r="BM909" i="11"/>
  <c r="BH909" i="11"/>
  <c r="BM908" i="11"/>
  <c r="BH908" i="11"/>
  <c r="BM907" i="11"/>
  <c r="BH907" i="11"/>
  <c r="BM906" i="11"/>
  <c r="BH906" i="11"/>
  <c r="BM905" i="11"/>
  <c r="BH905" i="11"/>
  <c r="BM904" i="11"/>
  <c r="BH904" i="11"/>
  <c r="BM903" i="11"/>
  <c r="BH903" i="11"/>
  <c r="BM902" i="11"/>
  <c r="BH902" i="11"/>
  <c r="BM901" i="11"/>
  <c r="BH901" i="11"/>
  <c r="BM900" i="11"/>
  <c r="BH900" i="11"/>
  <c r="BM899" i="11"/>
  <c r="BH899" i="11"/>
  <c r="BM898" i="11"/>
  <c r="BH898" i="11"/>
  <c r="BM897" i="11"/>
  <c r="BH897" i="11"/>
  <c r="BM896" i="11"/>
  <c r="BH896" i="11"/>
  <c r="BM895" i="11"/>
  <c r="BH895" i="11"/>
  <c r="BM894" i="11"/>
  <c r="BH894" i="11"/>
  <c r="BM893" i="11"/>
  <c r="BH893" i="11"/>
  <c r="BM892" i="11"/>
  <c r="BH892" i="11"/>
  <c r="BM891" i="11"/>
  <c r="BH891" i="11"/>
  <c r="BM890" i="11"/>
  <c r="BH890" i="11"/>
  <c r="BM889" i="11"/>
  <c r="BH889" i="11"/>
  <c r="BM888" i="11"/>
  <c r="BH888" i="11"/>
  <c r="BM887" i="11"/>
  <c r="BH887" i="11"/>
  <c r="BM886" i="11"/>
  <c r="BH886" i="11"/>
  <c r="BM885" i="11"/>
  <c r="BH885" i="11"/>
  <c r="BM884" i="11"/>
  <c r="BH884" i="11"/>
  <c r="BM883" i="11"/>
  <c r="BH883" i="11"/>
  <c r="BM882" i="11"/>
  <c r="BH882" i="11"/>
  <c r="BM881" i="11"/>
  <c r="BH881" i="11"/>
  <c r="BM880" i="11"/>
  <c r="BH880" i="11"/>
  <c r="BM879" i="11"/>
  <c r="BH879" i="11"/>
  <c r="BM878" i="11"/>
  <c r="BH878" i="11"/>
  <c r="BM877" i="11"/>
  <c r="BH877" i="11"/>
  <c r="BM876" i="11"/>
  <c r="BH876" i="11"/>
  <c r="BM875" i="11"/>
  <c r="BH875" i="11"/>
  <c r="BM874" i="11"/>
  <c r="BH874" i="11"/>
  <c r="BM873" i="11"/>
  <c r="BH873" i="11"/>
  <c r="BM872" i="11"/>
  <c r="BH872" i="11"/>
  <c r="BM871" i="11"/>
  <c r="BH871" i="11"/>
  <c r="BM870" i="11"/>
  <c r="BH870" i="11"/>
  <c r="BM869" i="11"/>
  <c r="BH869" i="11"/>
  <c r="BM868" i="11"/>
  <c r="BH868" i="11"/>
  <c r="BM867" i="11"/>
  <c r="BH867" i="11"/>
  <c r="BM866" i="11"/>
  <c r="BH866" i="11"/>
  <c r="BM865" i="11"/>
  <c r="BH865" i="11"/>
  <c r="BM864" i="11"/>
  <c r="BH864" i="11"/>
  <c r="BM863" i="11"/>
  <c r="BH863" i="11"/>
  <c r="BM862" i="11"/>
  <c r="BH862" i="11"/>
  <c r="BM861" i="11"/>
  <c r="BH861" i="11"/>
  <c r="BM860" i="11"/>
  <c r="BH860" i="11"/>
  <c r="BM859" i="11"/>
  <c r="BH859" i="11"/>
  <c r="BM858" i="11"/>
  <c r="BH858" i="11"/>
  <c r="BM857" i="11"/>
  <c r="BH857" i="11"/>
  <c r="BM856" i="11"/>
  <c r="BH856" i="11"/>
  <c r="BM855" i="11"/>
  <c r="BH855" i="11"/>
  <c r="BM854" i="11"/>
  <c r="BH854" i="11"/>
  <c r="BM853" i="11"/>
  <c r="BH853" i="11"/>
  <c r="BM852" i="11"/>
  <c r="BH852" i="11"/>
  <c r="BM851" i="11"/>
  <c r="BH851" i="11"/>
  <c r="BM850" i="11"/>
  <c r="BH850" i="11"/>
  <c r="BM849" i="11"/>
  <c r="BH849" i="11"/>
  <c r="BM848" i="11"/>
  <c r="BH848" i="11"/>
  <c r="BM847" i="11"/>
  <c r="BH847" i="11"/>
  <c r="BM846" i="11"/>
  <c r="BH846" i="11"/>
  <c r="BM845" i="11"/>
  <c r="BH845" i="11"/>
  <c r="BM844" i="11"/>
  <c r="BH844" i="11"/>
  <c r="BM843" i="11"/>
  <c r="BH843" i="11"/>
  <c r="BM842" i="11"/>
  <c r="BH842" i="11"/>
  <c r="BM841" i="11"/>
  <c r="BH841" i="11"/>
  <c r="BM840" i="11"/>
  <c r="BH840" i="11"/>
  <c r="BM839" i="11"/>
  <c r="BH839" i="11"/>
  <c r="BM838" i="11"/>
  <c r="BH838" i="11"/>
  <c r="BM837" i="11"/>
  <c r="BH837" i="11"/>
  <c r="BM836" i="11"/>
  <c r="BH836" i="11"/>
  <c r="BM835" i="11"/>
  <c r="BH835" i="11"/>
  <c r="BM834" i="11"/>
  <c r="BH834" i="11"/>
  <c r="BM833" i="11"/>
  <c r="BH833" i="11"/>
  <c r="BM832" i="11"/>
  <c r="BH832" i="11"/>
  <c r="BM831" i="11"/>
  <c r="BH831" i="11"/>
  <c r="BM830" i="11"/>
  <c r="BH830" i="11"/>
  <c r="BM829" i="11"/>
  <c r="BH829" i="11"/>
  <c r="BM828" i="11"/>
  <c r="BH828" i="11"/>
  <c r="BM827" i="11"/>
  <c r="BH827" i="11"/>
  <c r="BM826" i="11"/>
  <c r="BH826" i="11"/>
  <c r="BM825" i="11"/>
  <c r="BH825" i="11"/>
  <c r="BM824" i="11"/>
  <c r="BH824" i="11"/>
  <c r="BM823" i="11"/>
  <c r="BH823" i="11"/>
  <c r="BM822" i="11"/>
  <c r="BH822" i="11"/>
  <c r="BM821" i="11"/>
  <c r="BH821" i="11"/>
  <c r="BM820" i="11"/>
  <c r="BH820" i="11"/>
  <c r="BM819" i="11"/>
  <c r="BH819" i="11"/>
  <c r="BM818" i="11"/>
  <c r="BH818" i="11"/>
  <c r="BM817" i="11"/>
  <c r="BH817" i="11"/>
  <c r="BM816" i="11"/>
  <c r="BH816" i="11"/>
  <c r="BM815" i="11"/>
  <c r="BH815" i="11"/>
  <c r="BM814" i="11"/>
  <c r="BH814" i="11"/>
  <c r="BM813" i="11"/>
  <c r="BH813" i="11"/>
  <c r="BM812" i="11"/>
  <c r="BH812" i="11"/>
  <c r="BM811" i="11"/>
  <c r="BH811" i="11"/>
  <c r="BM810" i="11"/>
  <c r="BH810" i="11"/>
  <c r="BM809" i="11"/>
  <c r="BH809" i="11"/>
  <c r="BM808" i="11"/>
  <c r="BH808" i="11"/>
  <c r="BM807" i="11"/>
  <c r="BH807" i="11"/>
  <c r="BM806" i="11"/>
  <c r="BH806" i="11"/>
  <c r="BM805" i="11"/>
  <c r="BH805" i="11"/>
  <c r="BM804" i="11"/>
  <c r="BH804" i="11"/>
  <c r="BM803" i="11"/>
  <c r="BH803" i="11"/>
  <c r="BM802" i="11"/>
  <c r="BH802" i="11"/>
  <c r="BM801" i="11"/>
  <c r="BH801" i="11"/>
  <c r="BM800" i="11"/>
  <c r="BH800" i="11"/>
  <c r="BM799" i="11"/>
  <c r="BH799" i="11"/>
  <c r="BM798" i="11"/>
  <c r="BH798" i="11"/>
  <c r="BM797" i="11"/>
  <c r="BH797" i="11"/>
  <c r="BM796" i="11"/>
  <c r="BH796" i="11"/>
  <c r="BM795" i="11"/>
  <c r="BH795" i="11"/>
  <c r="BM794" i="11"/>
  <c r="BH794" i="11"/>
  <c r="BM793" i="11"/>
  <c r="BH793" i="11"/>
  <c r="BM792" i="11"/>
  <c r="BH792" i="11"/>
  <c r="BM791" i="11"/>
  <c r="BH791" i="11"/>
  <c r="BM790" i="11"/>
  <c r="BH790" i="11"/>
  <c r="BM789" i="11"/>
  <c r="BH789" i="11"/>
  <c r="BM788" i="11"/>
  <c r="BH788" i="11"/>
  <c r="BM787" i="11"/>
  <c r="BH787" i="11"/>
  <c r="BM786" i="11"/>
  <c r="BH786" i="11"/>
  <c r="BM785" i="11"/>
  <c r="BH785" i="11"/>
  <c r="BM784" i="11"/>
  <c r="BH784" i="11"/>
  <c r="BM783" i="11"/>
  <c r="BH783" i="11"/>
  <c r="BM782" i="11"/>
  <c r="BH782" i="11"/>
  <c r="BM781" i="11"/>
  <c r="BH781" i="11"/>
  <c r="BM780" i="11"/>
  <c r="BH780" i="11"/>
  <c r="BM779" i="11"/>
  <c r="BH779" i="11"/>
  <c r="BM778" i="11"/>
  <c r="BH778" i="11"/>
  <c r="BM777" i="11"/>
  <c r="BH777" i="11"/>
  <c r="BM776" i="11"/>
  <c r="BH776" i="11"/>
  <c r="BM775" i="11"/>
  <c r="BH775" i="11"/>
  <c r="BM774" i="11"/>
  <c r="BH774" i="11"/>
  <c r="BM773" i="11"/>
  <c r="BH773" i="11"/>
  <c r="BM772" i="11"/>
  <c r="BH772" i="11"/>
  <c r="BM771" i="11"/>
  <c r="BH771" i="11"/>
  <c r="BM770" i="11"/>
  <c r="BH770" i="11"/>
  <c r="BM769" i="11"/>
  <c r="BH769" i="11"/>
  <c r="BM768" i="11"/>
  <c r="BH768" i="11"/>
  <c r="BM767" i="11"/>
  <c r="BH767" i="11"/>
  <c r="BM766" i="11"/>
  <c r="BH766" i="11"/>
  <c r="BM765" i="11"/>
  <c r="BH765" i="11"/>
  <c r="BM764" i="11"/>
  <c r="BH764" i="11"/>
  <c r="BM763" i="11"/>
  <c r="BH763" i="11"/>
  <c r="BM762" i="11"/>
  <c r="BH762" i="11"/>
  <c r="BM761" i="11"/>
  <c r="BH761" i="11"/>
  <c r="BM760" i="11"/>
  <c r="BH760" i="11"/>
  <c r="BM759" i="11"/>
  <c r="BH759" i="11"/>
  <c r="BM758" i="11"/>
  <c r="BH758" i="11"/>
  <c r="BM757" i="11"/>
  <c r="BH757" i="11"/>
  <c r="BM756" i="11"/>
  <c r="BH756" i="11"/>
  <c r="BM755" i="11"/>
  <c r="BH755" i="11"/>
  <c r="BM754" i="11"/>
  <c r="BH754" i="11"/>
  <c r="BM753" i="11"/>
  <c r="BH753" i="11"/>
  <c r="BM752" i="11"/>
  <c r="BH752" i="11"/>
  <c r="BM751" i="11"/>
  <c r="BH751" i="11"/>
  <c r="BM750" i="11"/>
  <c r="BH750" i="11"/>
  <c r="BM749" i="11"/>
  <c r="BH749" i="11"/>
  <c r="BM748" i="11"/>
  <c r="BH748" i="11"/>
  <c r="BM747" i="11"/>
  <c r="BH747" i="11"/>
  <c r="BM746" i="11"/>
  <c r="BH746" i="11"/>
  <c r="BM745" i="11"/>
  <c r="BH745" i="11"/>
  <c r="BM744" i="11"/>
  <c r="BH744" i="11"/>
  <c r="BM743" i="11"/>
  <c r="BH743" i="11"/>
  <c r="BM742" i="11"/>
  <c r="BH742" i="11"/>
  <c r="BM741" i="11"/>
  <c r="BH741" i="11"/>
  <c r="BM740" i="11"/>
  <c r="BH740" i="11"/>
  <c r="BM739" i="11"/>
  <c r="BH739" i="11"/>
  <c r="BM738" i="11"/>
  <c r="BH738" i="11"/>
  <c r="BM737" i="11"/>
  <c r="BH737" i="11"/>
  <c r="BM736" i="11"/>
  <c r="BH736" i="11"/>
  <c r="BM735" i="11"/>
  <c r="BH735" i="11"/>
  <c r="BM734" i="11"/>
  <c r="BH734" i="11"/>
  <c r="BM733" i="11"/>
  <c r="BH733" i="11"/>
  <c r="BM732" i="11"/>
  <c r="BH732" i="11"/>
  <c r="BM731" i="11"/>
  <c r="BH731" i="11"/>
  <c r="BM730" i="11"/>
  <c r="BH730" i="11"/>
  <c r="BM729" i="11"/>
  <c r="BH729" i="11"/>
  <c r="BM728" i="11"/>
  <c r="BH728" i="11"/>
  <c r="BM727" i="11"/>
  <c r="BH727" i="11"/>
  <c r="BM726" i="11"/>
  <c r="BH726" i="11"/>
  <c r="BM725" i="11"/>
  <c r="BH725" i="11"/>
  <c r="BM724" i="11"/>
  <c r="BH724" i="11"/>
  <c r="BM723" i="11"/>
  <c r="BH723" i="11"/>
  <c r="BM722" i="11"/>
  <c r="BH722" i="11"/>
  <c r="BM721" i="11"/>
  <c r="BH721" i="11"/>
  <c r="BM720" i="11"/>
  <c r="BH720" i="11"/>
  <c r="BM719" i="11"/>
  <c r="BH719" i="11"/>
  <c r="BM718" i="11"/>
  <c r="BH718" i="11"/>
  <c r="BM717" i="11"/>
  <c r="BH717" i="11"/>
  <c r="BM716" i="11"/>
  <c r="BH716" i="11"/>
  <c r="BM715" i="11"/>
  <c r="BH715" i="11"/>
  <c r="BM714" i="11"/>
  <c r="BH714" i="11"/>
  <c r="BM713" i="11"/>
  <c r="BH713" i="11"/>
  <c r="BM712" i="11"/>
  <c r="BH712" i="11"/>
  <c r="BM711" i="11"/>
  <c r="BH711" i="11"/>
  <c r="BM710" i="11"/>
  <c r="BH710" i="11"/>
  <c r="BM709" i="11"/>
  <c r="BH709" i="11"/>
  <c r="BM708" i="11"/>
  <c r="BH708" i="11"/>
  <c r="BM707" i="11"/>
  <c r="BH707" i="11"/>
  <c r="BM706" i="11"/>
  <c r="BH706" i="11"/>
  <c r="BM705" i="11"/>
  <c r="BH705" i="11"/>
  <c r="BM704" i="11"/>
  <c r="BH704" i="11"/>
  <c r="BM703" i="11"/>
  <c r="BH703" i="11"/>
  <c r="BM702" i="11"/>
  <c r="BH702" i="11"/>
  <c r="BM701" i="11"/>
  <c r="BH701" i="11"/>
  <c r="BM700" i="11"/>
  <c r="BH700" i="11"/>
  <c r="BM699" i="11"/>
  <c r="BH699" i="11"/>
  <c r="BM698" i="11"/>
  <c r="BH698" i="11"/>
  <c r="BM697" i="11"/>
  <c r="BH697" i="11"/>
  <c r="BM696" i="11"/>
  <c r="BH696" i="11"/>
  <c r="BM695" i="11"/>
  <c r="BN695" i="11"/>
  <c r="BH695" i="11"/>
  <c r="BM694" i="11"/>
  <c r="BH694" i="11"/>
  <c r="BM693" i="11"/>
  <c r="BH693" i="11"/>
  <c r="BM692" i="11"/>
  <c r="BH692" i="11"/>
  <c r="BM691" i="11"/>
  <c r="BH691" i="11"/>
  <c r="BM690" i="11"/>
  <c r="BH690" i="11"/>
  <c r="BM689" i="11"/>
  <c r="BH689" i="11"/>
  <c r="BM688" i="11"/>
  <c r="BH688" i="11"/>
  <c r="BM687" i="11"/>
  <c r="BH687" i="11"/>
  <c r="BM686" i="11"/>
  <c r="BH686" i="11"/>
  <c r="BM685" i="11"/>
  <c r="BH685" i="11"/>
  <c r="BM684" i="11"/>
  <c r="BH684" i="11"/>
  <c r="BM683" i="11"/>
  <c r="BH683" i="11"/>
  <c r="BM682" i="11"/>
  <c r="BH682" i="11"/>
  <c r="BM681" i="11"/>
  <c r="BH681" i="11"/>
  <c r="BM680" i="11"/>
  <c r="BH680" i="11"/>
  <c r="BM679" i="11"/>
  <c r="BH679" i="11"/>
  <c r="BM678" i="11"/>
  <c r="BH678" i="11"/>
  <c r="BM677" i="11"/>
  <c r="BH677" i="11"/>
  <c r="BM676" i="11"/>
  <c r="BH676" i="11"/>
  <c r="BM675" i="11"/>
  <c r="BH675" i="11"/>
  <c r="BM674" i="11"/>
  <c r="BH674" i="11"/>
  <c r="BM673" i="11"/>
  <c r="BH673" i="11"/>
  <c r="BM672" i="11"/>
  <c r="BH672" i="11"/>
  <c r="BM671" i="11"/>
  <c r="BH671" i="11"/>
  <c r="BM670" i="11"/>
  <c r="BH670" i="11"/>
  <c r="BM669" i="11"/>
  <c r="BH669" i="11"/>
  <c r="BM668" i="11"/>
  <c r="BH668" i="11"/>
  <c r="BM667" i="11"/>
  <c r="BH667" i="11"/>
  <c r="BM666" i="11"/>
  <c r="BH666" i="11"/>
  <c r="BM665" i="11"/>
  <c r="BH665" i="11"/>
  <c r="BM664" i="11"/>
  <c r="BH664" i="11"/>
  <c r="BM663" i="11"/>
  <c r="BH663" i="11"/>
  <c r="BM662" i="11"/>
  <c r="BH662" i="11"/>
  <c r="BM661" i="11"/>
  <c r="BH661" i="11"/>
  <c r="BM660" i="11"/>
  <c r="BH660" i="11"/>
  <c r="BM659" i="11"/>
  <c r="BH659" i="11"/>
  <c r="BM658" i="11"/>
  <c r="BH658" i="11"/>
  <c r="BM657" i="11"/>
  <c r="BH657" i="11"/>
  <c r="BM656" i="11"/>
  <c r="BH656" i="11"/>
  <c r="BM655" i="11"/>
  <c r="BH655" i="11"/>
  <c r="BM654" i="11"/>
  <c r="BH654" i="11"/>
  <c r="BM653" i="11"/>
  <c r="BH653" i="11"/>
  <c r="BM652" i="11"/>
  <c r="BH652" i="11"/>
  <c r="BM651" i="11"/>
  <c r="BH651" i="11"/>
  <c r="BM650" i="11"/>
  <c r="BH650" i="11"/>
  <c r="BM649" i="11"/>
  <c r="BH649" i="11"/>
  <c r="BM648" i="11"/>
  <c r="BH648" i="11"/>
  <c r="BM647" i="11"/>
  <c r="BH647" i="11"/>
  <c r="BM646" i="11"/>
  <c r="BH646" i="11"/>
  <c r="BM645" i="11"/>
  <c r="BH645" i="11"/>
  <c r="BM644" i="11"/>
  <c r="BH644" i="11"/>
  <c r="BM643" i="11"/>
  <c r="BH643" i="11"/>
  <c r="BM642" i="11"/>
  <c r="BH642" i="11"/>
  <c r="BM641" i="11"/>
  <c r="BH641" i="11"/>
  <c r="BM640" i="11"/>
  <c r="BH640" i="11"/>
  <c r="BM639" i="11"/>
  <c r="BH639" i="11"/>
  <c r="BM638" i="11"/>
  <c r="BH638" i="11"/>
  <c r="BM637" i="11"/>
  <c r="BH637" i="11"/>
  <c r="BM636" i="11"/>
  <c r="BH636" i="11"/>
  <c r="BM635" i="11"/>
  <c r="BH635" i="11"/>
  <c r="BM634" i="11"/>
  <c r="BH634" i="11"/>
  <c r="BM633" i="11"/>
  <c r="BH633" i="11"/>
  <c r="BM632" i="11"/>
  <c r="BH632" i="11"/>
  <c r="BM631" i="11"/>
  <c r="BH631" i="11"/>
  <c r="BM630" i="11"/>
  <c r="BH630" i="11"/>
  <c r="BM629" i="11"/>
  <c r="BH629" i="11"/>
  <c r="BM628" i="11"/>
  <c r="BH628" i="11"/>
  <c r="BM627" i="11"/>
  <c r="BH627" i="11"/>
  <c r="BM626" i="11"/>
  <c r="BH626" i="11"/>
  <c r="BM625" i="11"/>
  <c r="BH625" i="11"/>
  <c r="BM624" i="11"/>
  <c r="BH624" i="11"/>
  <c r="BM623" i="11"/>
  <c r="BH623" i="11"/>
  <c r="BM622" i="11"/>
  <c r="BH622" i="11"/>
  <c r="BM621" i="11"/>
  <c r="BH621" i="11"/>
  <c r="BM620" i="11"/>
  <c r="BH620" i="11"/>
  <c r="BM619" i="11"/>
  <c r="BH619" i="11"/>
  <c r="BM618" i="11"/>
  <c r="BH618" i="11"/>
  <c r="BM617" i="11"/>
  <c r="BH617" i="11"/>
  <c r="BM616" i="11"/>
  <c r="BH616" i="11"/>
  <c r="BM615" i="11"/>
  <c r="BH615" i="11"/>
  <c r="BM614" i="11"/>
  <c r="BH614" i="11"/>
  <c r="BM613" i="11"/>
  <c r="BH613" i="11"/>
  <c r="BM612" i="11"/>
  <c r="BH612" i="11"/>
  <c r="BM611" i="11"/>
  <c r="BH611" i="11"/>
  <c r="BM610" i="11"/>
  <c r="BH610" i="11"/>
  <c r="BM609" i="11"/>
  <c r="BH609" i="11"/>
  <c r="BM608" i="11"/>
  <c r="BH608" i="11"/>
  <c r="BM607" i="11"/>
  <c r="BH607" i="11"/>
  <c r="BM606" i="11"/>
  <c r="BH606" i="11"/>
  <c r="BM605" i="11"/>
  <c r="BH605" i="11"/>
  <c r="BM604" i="11"/>
  <c r="BH604" i="11"/>
  <c r="BM603" i="11"/>
  <c r="BH603" i="11"/>
  <c r="BM602" i="11"/>
  <c r="BH602" i="11"/>
  <c r="BM601" i="11"/>
  <c r="BH601" i="11"/>
  <c r="BM600" i="11"/>
  <c r="BH600" i="11"/>
  <c r="BM599" i="11"/>
  <c r="BH599" i="11"/>
  <c r="BM598" i="11"/>
  <c r="BH598" i="11"/>
  <c r="BM597" i="11"/>
  <c r="BH597" i="11"/>
  <c r="BM596" i="11"/>
  <c r="BH596" i="11"/>
  <c r="BM595" i="11"/>
  <c r="BH595" i="11"/>
  <c r="BM594" i="11"/>
  <c r="BH594" i="11"/>
  <c r="BM593" i="11"/>
  <c r="BH593" i="11"/>
  <c r="BM592" i="11"/>
  <c r="BH592" i="11"/>
  <c r="BM591" i="11"/>
  <c r="BH591" i="11"/>
  <c r="BM590" i="11"/>
  <c r="BH590" i="11"/>
  <c r="BM589" i="11"/>
  <c r="BH589" i="11"/>
  <c r="BM588" i="11"/>
  <c r="BH588" i="11"/>
  <c r="BM587" i="11"/>
  <c r="BH587" i="11"/>
  <c r="BM586" i="11"/>
  <c r="BH586" i="11"/>
  <c r="BM585" i="11"/>
  <c r="BH585" i="11"/>
  <c r="BM584" i="11"/>
  <c r="BH584" i="11"/>
  <c r="BM583" i="11"/>
  <c r="BH583" i="11"/>
  <c r="BM582" i="11"/>
  <c r="BH582" i="11"/>
  <c r="BM581" i="11"/>
  <c r="BH581" i="11"/>
  <c r="BM580" i="11"/>
  <c r="BH580" i="11"/>
  <c r="BM579" i="11"/>
  <c r="BH579" i="11"/>
  <c r="BM578" i="11"/>
  <c r="BH578" i="11"/>
  <c r="BM577" i="11"/>
  <c r="BH577" i="11"/>
  <c r="BM576" i="11"/>
  <c r="BH576" i="11"/>
  <c r="BM575" i="11"/>
  <c r="BH575" i="11"/>
  <c r="BM574" i="11"/>
  <c r="BH574" i="11"/>
  <c r="BM573" i="11"/>
  <c r="BH573" i="11"/>
  <c r="BM572" i="11"/>
  <c r="BH572" i="11"/>
  <c r="BM571" i="11"/>
  <c r="BH571" i="11"/>
  <c r="BM570" i="11"/>
  <c r="BH570" i="11"/>
  <c r="BM569" i="11"/>
  <c r="BH569" i="11"/>
  <c r="BM568" i="11"/>
  <c r="BH568" i="11"/>
  <c r="BM567" i="11"/>
  <c r="BH567" i="11"/>
  <c r="BM566" i="11"/>
  <c r="BH566" i="11"/>
  <c r="BM565" i="11"/>
  <c r="BH565" i="11"/>
  <c r="BM564" i="11"/>
  <c r="BH564" i="11"/>
  <c r="BM563" i="11"/>
  <c r="BH563" i="11"/>
  <c r="BM562" i="11"/>
  <c r="BH562" i="11"/>
  <c r="BM561" i="11"/>
  <c r="BH561" i="11"/>
  <c r="BM560" i="11"/>
  <c r="BH560" i="11"/>
  <c r="BM559" i="11"/>
  <c r="BH559" i="11"/>
  <c r="BM558" i="11"/>
  <c r="BH558" i="11"/>
  <c r="BM557" i="11"/>
  <c r="BH557" i="11"/>
  <c r="BM556" i="11"/>
  <c r="BH556" i="11"/>
  <c r="BM555" i="11"/>
  <c r="BH555" i="11"/>
  <c r="BM554" i="11"/>
  <c r="BH554" i="11"/>
  <c r="BM553" i="11"/>
  <c r="BH553" i="11"/>
  <c r="BM552" i="11"/>
  <c r="BH552" i="11"/>
  <c r="BM551" i="11"/>
  <c r="BH551" i="11"/>
  <c r="BM550" i="11"/>
  <c r="BH550" i="11"/>
  <c r="BM549" i="11"/>
  <c r="BH549" i="11"/>
  <c r="BM548" i="11"/>
  <c r="BH548" i="11"/>
  <c r="BM547" i="11"/>
  <c r="BH547" i="11"/>
  <c r="BM546" i="11"/>
  <c r="BH546" i="11"/>
  <c r="BM545" i="11"/>
  <c r="BH545" i="11"/>
  <c r="BM544" i="11"/>
  <c r="BH544" i="11"/>
  <c r="BM543" i="11"/>
  <c r="BH543" i="11"/>
  <c r="BM542" i="11"/>
  <c r="BH542" i="11"/>
  <c r="BM541" i="11"/>
  <c r="BH541" i="11"/>
  <c r="BM540" i="11"/>
  <c r="BH540" i="11"/>
  <c r="BM539" i="11"/>
  <c r="BH539" i="11"/>
  <c r="BM538" i="11"/>
  <c r="BH538" i="11"/>
  <c r="BM537" i="11"/>
  <c r="BH537" i="11"/>
  <c r="BM536" i="11"/>
  <c r="BH536" i="11"/>
  <c r="BM535" i="11"/>
  <c r="BH535" i="11"/>
  <c r="BM534" i="11"/>
  <c r="BN534" i="11"/>
  <c r="BH534" i="11"/>
  <c r="BM533" i="11"/>
  <c r="BH533" i="11"/>
  <c r="BM532" i="11"/>
  <c r="BH532" i="11"/>
  <c r="BM531" i="11"/>
  <c r="BH531" i="11"/>
  <c r="BM530" i="11"/>
  <c r="BH530" i="11"/>
  <c r="BM529" i="11"/>
  <c r="BH529" i="11"/>
  <c r="BM528" i="11"/>
  <c r="BH528" i="11"/>
  <c r="BM527" i="11"/>
  <c r="BH527" i="11"/>
  <c r="BM526" i="11"/>
  <c r="BH526" i="11"/>
  <c r="BM525" i="11"/>
  <c r="BH525" i="11"/>
  <c r="BM524" i="11"/>
  <c r="BH524" i="11"/>
  <c r="BM523" i="11"/>
  <c r="BH523" i="11"/>
  <c r="BM522" i="11"/>
  <c r="BH522" i="11"/>
  <c r="BM521" i="11"/>
  <c r="BH521" i="11"/>
  <c r="BM520" i="11"/>
  <c r="BH520" i="11"/>
  <c r="BM519" i="11"/>
  <c r="BH519" i="11"/>
  <c r="BM518" i="11"/>
  <c r="BH518" i="11"/>
  <c r="BM517" i="11"/>
  <c r="BH517" i="11"/>
  <c r="BM516" i="11"/>
  <c r="BH516" i="11"/>
  <c r="BM515" i="11"/>
  <c r="BH515" i="11"/>
  <c r="BM514" i="11"/>
  <c r="BH514" i="11"/>
  <c r="BM513" i="11"/>
  <c r="BH513" i="11"/>
  <c r="BM512" i="11"/>
  <c r="BH512" i="11"/>
  <c r="BM511" i="11"/>
  <c r="BH511" i="11"/>
  <c r="BM510" i="11"/>
  <c r="BH510" i="11"/>
  <c r="BM509" i="11"/>
  <c r="BH509" i="11"/>
  <c r="BM508" i="11"/>
  <c r="BH508" i="11"/>
  <c r="BM507" i="11"/>
  <c r="BH507" i="11"/>
  <c r="BM506" i="11"/>
  <c r="BH506" i="11"/>
  <c r="BM505" i="11"/>
  <c r="BH505" i="11"/>
  <c r="BM504" i="11"/>
  <c r="BH504" i="11"/>
  <c r="BM503" i="11"/>
  <c r="BH503" i="11"/>
  <c r="BM502" i="11"/>
  <c r="BH502" i="11"/>
  <c r="BM501" i="11"/>
  <c r="BH501" i="11"/>
  <c r="BM500" i="11"/>
  <c r="BH500" i="11"/>
  <c r="BM499" i="11"/>
  <c r="BH499" i="11"/>
  <c r="BM498" i="11"/>
  <c r="BH498" i="11"/>
  <c r="BM497" i="11"/>
  <c r="BH497" i="11"/>
  <c r="BM496" i="11"/>
  <c r="BH496" i="11"/>
  <c r="BM495" i="11"/>
  <c r="BH495" i="11"/>
  <c r="BM494" i="11"/>
  <c r="BH494" i="11"/>
  <c r="BM493" i="11"/>
  <c r="BH493" i="11"/>
  <c r="BM492" i="11"/>
  <c r="BH492" i="11"/>
  <c r="BM491" i="11"/>
  <c r="BH491" i="11"/>
  <c r="BM490" i="11"/>
  <c r="BH490" i="11"/>
  <c r="BM489" i="11"/>
  <c r="BH489" i="11"/>
  <c r="BM488" i="11"/>
  <c r="BH488" i="11"/>
  <c r="BM487" i="11"/>
  <c r="BH487" i="11"/>
  <c r="BM486" i="11"/>
  <c r="BH486" i="11"/>
  <c r="BM485" i="11"/>
  <c r="BH485" i="11"/>
  <c r="BM484" i="11"/>
  <c r="BH484" i="11"/>
  <c r="BM483" i="11"/>
  <c r="BH483" i="11"/>
  <c r="BM482" i="11"/>
  <c r="BH482" i="11"/>
  <c r="BM481" i="11"/>
  <c r="BH481" i="11"/>
  <c r="BM480" i="11"/>
  <c r="BH480" i="11"/>
  <c r="BM479" i="11"/>
  <c r="BH479" i="11"/>
  <c r="BM478" i="11"/>
  <c r="BH478" i="11"/>
  <c r="BM477" i="11"/>
  <c r="BH477" i="11"/>
  <c r="BM476" i="11"/>
  <c r="BH476" i="11"/>
  <c r="BM475" i="11"/>
  <c r="BH475" i="11"/>
  <c r="BM474" i="11"/>
  <c r="BH474" i="11"/>
  <c r="BM473" i="11"/>
  <c r="BH473" i="11"/>
  <c r="BM472" i="11"/>
  <c r="BH472" i="11"/>
  <c r="BM471" i="11"/>
  <c r="BH471" i="11"/>
  <c r="BM470" i="11"/>
  <c r="BH470" i="11"/>
  <c r="BM469" i="11"/>
  <c r="BH469" i="11"/>
  <c r="BM468" i="11"/>
  <c r="BH468" i="11"/>
  <c r="BM467" i="11"/>
  <c r="BH467" i="11"/>
  <c r="BM466" i="11"/>
  <c r="BH466" i="11"/>
  <c r="BM465" i="11"/>
  <c r="BH465" i="11"/>
  <c r="BM464" i="11"/>
  <c r="BH464" i="11"/>
  <c r="BM463" i="11"/>
  <c r="BH463" i="11"/>
  <c r="BM462" i="11"/>
  <c r="BH462" i="11"/>
  <c r="BM461" i="11"/>
  <c r="BH461" i="11"/>
  <c r="BM460" i="11"/>
  <c r="BH460" i="11"/>
  <c r="BM459" i="11"/>
  <c r="BH459" i="11"/>
  <c r="BM458" i="11"/>
  <c r="BH458" i="11"/>
  <c r="BM457" i="11"/>
  <c r="BH457" i="11"/>
  <c r="BM456" i="11"/>
  <c r="BH456" i="11"/>
  <c r="BM455" i="11"/>
  <c r="BH455" i="11"/>
  <c r="BM454" i="11"/>
  <c r="BH454" i="11"/>
  <c r="BM453" i="11"/>
  <c r="BH453" i="11"/>
  <c r="BM452" i="11"/>
  <c r="BH452" i="11"/>
  <c r="BM451" i="11"/>
  <c r="BH451" i="11"/>
  <c r="BM450" i="11"/>
  <c r="BH450" i="11"/>
  <c r="BM449" i="11"/>
  <c r="BH449" i="11"/>
  <c r="BM448" i="11"/>
  <c r="BH448" i="11"/>
  <c r="BM447" i="11"/>
  <c r="BH447" i="11"/>
  <c r="BM446" i="11"/>
  <c r="BH446" i="11"/>
  <c r="BM445" i="11"/>
  <c r="BH445" i="11"/>
  <c r="BM444" i="11"/>
  <c r="BH444" i="11"/>
  <c r="BM443" i="11"/>
  <c r="BH443" i="11"/>
  <c r="BM442" i="11"/>
  <c r="BH442" i="11"/>
  <c r="BM441" i="11"/>
  <c r="BH441" i="11"/>
  <c r="BM440" i="11"/>
  <c r="BH440" i="11"/>
  <c r="BM439" i="11"/>
  <c r="BH439" i="11"/>
  <c r="BM438" i="11"/>
  <c r="BH438" i="11"/>
  <c r="BM437" i="11"/>
  <c r="BH437" i="11"/>
  <c r="BM436" i="11"/>
  <c r="BH436" i="11"/>
  <c r="BM435" i="11"/>
  <c r="BH435" i="11"/>
  <c r="BM434" i="11"/>
  <c r="BH434" i="11"/>
  <c r="BM433" i="11"/>
  <c r="BH433" i="11"/>
  <c r="BM432" i="11"/>
  <c r="BH432" i="11"/>
  <c r="BM431" i="11"/>
  <c r="BH431" i="11"/>
  <c r="BM430" i="11"/>
  <c r="BH430" i="11"/>
  <c r="BM429" i="11"/>
  <c r="BH429" i="11"/>
  <c r="BM428" i="11"/>
  <c r="BH428" i="11"/>
  <c r="BM427" i="11"/>
  <c r="BH427" i="11"/>
  <c r="BM426" i="11"/>
  <c r="BH426" i="11"/>
  <c r="BM425" i="11"/>
  <c r="BH425" i="11"/>
  <c r="BM424" i="11"/>
  <c r="BH424" i="11"/>
  <c r="BM423" i="11"/>
  <c r="BH423" i="11"/>
  <c r="BM422" i="11"/>
  <c r="BH422" i="11"/>
  <c r="BM421" i="11"/>
  <c r="BH421" i="11"/>
  <c r="BM420" i="11"/>
  <c r="BH420" i="11"/>
  <c r="BM419" i="11"/>
  <c r="BH419" i="11"/>
  <c r="BM418" i="11"/>
  <c r="BH418" i="11"/>
  <c r="BM417" i="11"/>
  <c r="BH417" i="11"/>
  <c r="BM416" i="11"/>
  <c r="BH416" i="11"/>
  <c r="BM415" i="11"/>
  <c r="BH415" i="11"/>
  <c r="BM414" i="11"/>
  <c r="BH414" i="11"/>
  <c r="BM413" i="11"/>
  <c r="BH413" i="11"/>
  <c r="BM412" i="11"/>
  <c r="BH412" i="11"/>
  <c r="BM411" i="11"/>
  <c r="BH411" i="11"/>
  <c r="BM410" i="11"/>
  <c r="BH410" i="11"/>
  <c r="BM409" i="11"/>
  <c r="BH409" i="11"/>
  <c r="BM408" i="11"/>
  <c r="BH408" i="11"/>
  <c r="BM407" i="11"/>
  <c r="BH407" i="11"/>
  <c r="BM406" i="11"/>
  <c r="BH406" i="11"/>
  <c r="BM405" i="11"/>
  <c r="BH405" i="11"/>
  <c r="BM404" i="11"/>
  <c r="BH404" i="11"/>
  <c r="BM403" i="11"/>
  <c r="BH403" i="11"/>
  <c r="BM402" i="11"/>
  <c r="BH402" i="11"/>
  <c r="BM401" i="11"/>
  <c r="BH401" i="11"/>
  <c r="BM400" i="11"/>
  <c r="BH400" i="11"/>
  <c r="BM399" i="11"/>
  <c r="BH399" i="11"/>
  <c r="BM398" i="11"/>
  <c r="BH398" i="11"/>
  <c r="BM397" i="11"/>
  <c r="BH397" i="11"/>
  <c r="BM396" i="11"/>
  <c r="BH396" i="11"/>
  <c r="BM395" i="11"/>
  <c r="BH395" i="11"/>
  <c r="BM394" i="11"/>
  <c r="BH394" i="11"/>
  <c r="BM393" i="11"/>
  <c r="BH393" i="11"/>
  <c r="BM392" i="11"/>
  <c r="BH392" i="11"/>
  <c r="BM391" i="11"/>
  <c r="BH391" i="11"/>
  <c r="BM390" i="11"/>
  <c r="BH390" i="11"/>
  <c r="BM389" i="11"/>
  <c r="BH389" i="11"/>
  <c r="BM388" i="11"/>
  <c r="BH388" i="11"/>
  <c r="BM387" i="11"/>
  <c r="BH387" i="11"/>
  <c r="BM386" i="11"/>
  <c r="BH386" i="11"/>
  <c r="BM385" i="11"/>
  <c r="BH385" i="11"/>
  <c r="BM384" i="11"/>
  <c r="BH384" i="11"/>
  <c r="BM383" i="11"/>
  <c r="BH383" i="11"/>
  <c r="BM382" i="11"/>
  <c r="BH382" i="11"/>
  <c r="BM381" i="11"/>
  <c r="BH381" i="11"/>
  <c r="BM380" i="11"/>
  <c r="BH380" i="11"/>
  <c r="BM379" i="11"/>
  <c r="BH379" i="11"/>
  <c r="BM378" i="11"/>
  <c r="BH378" i="11"/>
  <c r="BM377" i="11"/>
  <c r="BH377" i="11"/>
  <c r="BM376" i="11"/>
  <c r="BH376" i="11"/>
  <c r="BM375" i="11"/>
  <c r="BH375" i="11"/>
  <c r="BM374" i="11"/>
  <c r="BH374" i="11"/>
  <c r="BM373" i="11"/>
  <c r="BH373" i="11"/>
  <c r="BM372" i="11"/>
  <c r="BH372" i="11"/>
  <c r="BM371" i="11"/>
  <c r="BH371" i="11"/>
  <c r="BM370" i="11"/>
  <c r="BH370" i="11"/>
  <c r="BM369" i="11"/>
  <c r="BH369" i="11"/>
  <c r="BM368" i="11"/>
  <c r="BH368" i="11"/>
  <c r="BM367" i="11"/>
  <c r="BH367" i="11"/>
  <c r="BM366" i="11"/>
  <c r="BH366" i="11"/>
  <c r="BM365" i="11"/>
  <c r="BH365" i="11"/>
  <c r="BM364" i="11"/>
  <c r="BH364" i="11"/>
  <c r="BM363" i="11"/>
  <c r="BH363" i="11"/>
  <c r="BM362" i="11"/>
  <c r="BH362" i="11"/>
  <c r="BM361" i="11"/>
  <c r="BH361" i="11"/>
  <c r="BM360" i="11"/>
  <c r="BH360" i="11"/>
  <c r="BM359" i="11"/>
  <c r="BH359" i="11"/>
  <c r="BM358" i="11"/>
  <c r="BH358" i="11"/>
  <c r="BM357" i="11"/>
  <c r="BH357" i="11"/>
  <c r="BM356" i="11"/>
  <c r="BH356" i="11"/>
  <c r="BM355" i="11"/>
  <c r="BH355" i="11"/>
  <c r="BM354" i="11"/>
  <c r="BH354" i="11"/>
  <c r="BM353" i="11"/>
  <c r="BH353" i="11"/>
  <c r="BM352" i="11"/>
  <c r="BH352" i="11"/>
  <c r="BM351" i="11"/>
  <c r="BH351" i="11"/>
  <c r="BM350" i="11"/>
  <c r="BH350" i="11"/>
  <c r="BM349" i="11"/>
  <c r="BH349" i="11"/>
  <c r="BM348" i="11"/>
  <c r="BH348" i="11"/>
  <c r="BM347" i="11"/>
  <c r="BH347" i="11"/>
  <c r="BM346" i="11"/>
  <c r="BH346" i="11"/>
  <c r="BM345" i="11"/>
  <c r="BH345" i="11"/>
  <c r="BM344" i="11"/>
  <c r="BH344" i="11"/>
  <c r="BM343" i="11"/>
  <c r="BH343" i="11"/>
  <c r="BM342" i="11"/>
  <c r="BH342" i="11"/>
  <c r="BM341" i="11"/>
  <c r="BH341" i="11"/>
  <c r="BM340" i="11"/>
  <c r="BH340" i="11"/>
  <c r="BM339" i="11"/>
  <c r="BH339" i="11"/>
  <c r="BM338" i="11"/>
  <c r="BH338" i="11"/>
  <c r="BM337" i="11"/>
  <c r="BH337" i="11"/>
  <c r="BM336" i="11"/>
  <c r="BH336" i="11"/>
  <c r="BM335" i="11"/>
  <c r="BH335" i="11"/>
  <c r="BM334" i="11"/>
  <c r="BH334" i="11"/>
  <c r="BM333" i="11"/>
  <c r="BH333" i="11"/>
  <c r="BM332" i="11"/>
  <c r="BH332" i="11"/>
  <c r="BM331" i="11"/>
  <c r="BH331" i="11"/>
  <c r="BM330" i="11"/>
  <c r="BH330" i="11"/>
  <c r="BM329" i="11"/>
  <c r="BH329" i="11"/>
  <c r="BM328" i="11"/>
  <c r="BH328" i="11"/>
  <c r="BM327" i="11"/>
  <c r="BH327" i="11"/>
  <c r="BM326" i="11"/>
  <c r="BH326" i="11"/>
  <c r="BM325" i="11"/>
  <c r="BH325" i="11"/>
  <c r="BM324" i="11"/>
  <c r="BH324" i="11"/>
  <c r="BM323" i="11"/>
  <c r="BH323" i="11"/>
  <c r="BM322" i="11"/>
  <c r="BH322" i="11"/>
  <c r="BM321" i="11"/>
  <c r="BH321" i="11"/>
  <c r="BM320" i="11"/>
  <c r="BH320" i="11"/>
  <c r="BM319" i="11"/>
  <c r="BH319" i="11"/>
  <c r="BM318" i="11"/>
  <c r="BH318" i="11"/>
  <c r="BM317" i="11"/>
  <c r="BH317" i="11"/>
  <c r="BM316" i="11"/>
  <c r="BH316" i="11"/>
  <c r="BM315" i="11"/>
  <c r="BH315" i="11"/>
  <c r="BM314" i="11"/>
  <c r="BH314" i="11"/>
  <c r="BM313" i="11"/>
  <c r="BH313" i="11"/>
  <c r="BM312" i="11"/>
  <c r="BH312" i="11"/>
  <c r="BM311" i="11"/>
  <c r="BH311" i="11"/>
  <c r="BM310" i="11"/>
  <c r="BH310" i="11"/>
  <c r="BM309" i="11"/>
  <c r="BH309" i="11"/>
  <c r="BM308" i="11"/>
  <c r="BH308" i="11"/>
  <c r="BM307" i="11"/>
  <c r="BH307" i="11"/>
  <c r="BM306" i="11"/>
  <c r="BH306" i="11"/>
  <c r="BM305" i="11"/>
  <c r="BH305" i="11"/>
  <c r="BM304" i="11"/>
  <c r="BH304" i="11"/>
  <c r="BM303" i="11"/>
  <c r="BH303" i="11"/>
  <c r="BM302" i="11"/>
  <c r="BH302" i="11"/>
  <c r="BM301" i="11"/>
  <c r="BH301" i="11"/>
  <c r="BM300" i="11"/>
  <c r="BH300" i="11"/>
  <c r="BM299" i="11"/>
  <c r="BH299" i="11"/>
  <c r="BM298" i="11"/>
  <c r="BH298" i="11"/>
  <c r="BM297" i="11"/>
  <c r="BH297" i="11"/>
  <c r="BM296" i="11"/>
  <c r="BH296" i="11"/>
  <c r="BM295" i="11"/>
  <c r="BH295" i="11"/>
  <c r="BM294" i="11"/>
  <c r="BH294" i="11"/>
  <c r="BM293" i="11"/>
  <c r="BH293" i="11"/>
  <c r="BM292" i="11"/>
  <c r="BH292" i="11"/>
  <c r="BM291" i="11"/>
  <c r="BH291" i="11"/>
  <c r="BM290" i="11"/>
  <c r="BH290" i="11"/>
  <c r="BM289" i="11"/>
  <c r="BH289" i="11"/>
  <c r="BM288" i="11"/>
  <c r="BH288" i="11"/>
  <c r="BM287" i="11"/>
  <c r="BH287" i="11"/>
  <c r="BM286" i="11"/>
  <c r="BH286" i="11"/>
  <c r="BM285" i="11"/>
  <c r="BH285" i="11"/>
  <c r="BM284" i="11"/>
  <c r="BH284" i="11"/>
  <c r="BM283" i="11"/>
  <c r="BH283" i="11"/>
  <c r="BM282" i="11"/>
  <c r="BH282" i="11"/>
  <c r="BM281" i="11"/>
  <c r="BH281" i="11"/>
  <c r="BM280" i="11"/>
  <c r="BH280" i="11"/>
  <c r="BM279" i="11"/>
  <c r="BH279" i="11"/>
  <c r="BM278" i="11"/>
  <c r="BH278" i="11"/>
  <c r="BM277" i="11"/>
  <c r="BH277" i="11"/>
  <c r="BM276" i="11"/>
  <c r="BH276" i="11"/>
  <c r="BM275" i="11"/>
  <c r="BH275" i="11"/>
  <c r="BM274" i="11"/>
  <c r="BH274" i="11"/>
  <c r="BM273" i="11"/>
  <c r="BH273" i="11"/>
  <c r="BM272" i="11"/>
  <c r="BH272" i="11"/>
  <c r="BM271" i="11"/>
  <c r="BH271" i="11"/>
  <c r="BM270" i="11"/>
  <c r="BH270" i="11"/>
  <c r="BM269" i="11"/>
  <c r="BH269" i="11"/>
  <c r="BM268" i="11"/>
  <c r="BH268" i="11"/>
  <c r="BM267" i="11"/>
  <c r="BH267" i="11"/>
  <c r="BM266" i="11"/>
  <c r="BH266" i="11"/>
  <c r="BM265" i="11"/>
  <c r="BH265" i="11"/>
  <c r="BM264" i="11"/>
  <c r="BH264" i="11"/>
  <c r="BM263" i="11"/>
  <c r="BH263" i="11"/>
  <c r="BM262" i="11"/>
  <c r="BH262" i="11"/>
  <c r="BM261" i="11"/>
  <c r="BH261" i="11"/>
  <c r="BM260" i="11"/>
  <c r="BH260" i="11"/>
  <c r="BM259" i="11"/>
  <c r="BH259" i="11"/>
  <c r="BM258" i="11"/>
  <c r="BH258" i="11"/>
  <c r="BM257" i="11"/>
  <c r="BH257" i="11"/>
  <c r="BM256" i="11"/>
  <c r="BH256" i="11"/>
  <c r="BM255" i="11"/>
  <c r="BH255" i="11"/>
  <c r="BM254" i="11"/>
  <c r="BH254" i="11"/>
  <c r="BM253" i="11"/>
  <c r="BH253" i="11"/>
  <c r="BM252" i="11"/>
  <c r="BH252" i="11"/>
  <c r="BM251" i="11"/>
  <c r="BH251" i="11"/>
  <c r="BM250" i="11"/>
  <c r="BH250" i="11"/>
  <c r="BM249" i="11"/>
  <c r="BH249" i="11"/>
  <c r="BM248" i="11"/>
  <c r="BH248" i="11"/>
  <c r="BM247" i="11"/>
  <c r="BH247" i="11"/>
  <c r="BM246" i="11"/>
  <c r="BH246" i="11"/>
  <c r="BM245" i="11"/>
  <c r="BH245" i="11"/>
  <c r="BM244" i="11"/>
  <c r="BH244" i="11"/>
  <c r="BM243" i="11"/>
  <c r="BH243" i="11"/>
  <c r="BM242" i="11"/>
  <c r="BH242" i="11"/>
  <c r="BM241" i="11"/>
  <c r="BH241" i="11"/>
  <c r="BM240" i="11"/>
  <c r="BH240" i="11"/>
  <c r="BM239" i="11"/>
  <c r="BH239" i="11"/>
  <c r="BM238" i="11"/>
  <c r="BH238" i="11"/>
  <c r="BM237" i="11"/>
  <c r="BH237" i="11"/>
  <c r="BM236" i="11"/>
  <c r="BH236" i="11"/>
  <c r="BM235" i="11"/>
  <c r="BH235" i="11"/>
  <c r="BM234" i="11"/>
  <c r="BH234" i="11"/>
  <c r="BM233" i="11"/>
  <c r="BH233" i="11"/>
  <c r="BM232" i="11"/>
  <c r="BH232" i="11"/>
  <c r="BM231" i="11"/>
  <c r="BH231" i="11"/>
  <c r="BM230" i="11"/>
  <c r="BH230" i="11"/>
  <c r="BM229" i="11"/>
  <c r="BH229" i="11"/>
  <c r="BM228" i="11"/>
  <c r="BH228" i="11"/>
  <c r="BM227" i="11"/>
  <c r="BH227" i="11"/>
  <c r="BM226" i="11"/>
  <c r="BH226" i="11"/>
  <c r="BM225" i="11"/>
  <c r="BH225" i="11"/>
  <c r="BM224" i="11"/>
  <c r="BH224" i="11"/>
  <c r="BM223" i="11"/>
  <c r="BH223" i="11"/>
  <c r="BM222" i="11"/>
  <c r="BH222" i="11"/>
  <c r="BM221" i="11"/>
  <c r="BH221" i="11"/>
  <c r="BM220" i="11"/>
  <c r="BH220" i="11"/>
  <c r="BM219" i="11"/>
  <c r="BH219" i="11"/>
  <c r="BM218" i="11"/>
  <c r="BH218" i="11"/>
  <c r="BM217" i="11"/>
  <c r="BH217" i="11"/>
  <c r="BM216" i="11"/>
  <c r="BH216" i="11"/>
  <c r="BM215" i="11"/>
  <c r="BH215" i="11"/>
  <c r="BM214" i="11"/>
  <c r="BH214" i="11"/>
  <c r="BM213" i="11"/>
  <c r="BH213" i="11"/>
  <c r="BM212" i="11"/>
  <c r="BH212" i="11"/>
  <c r="BM211" i="11"/>
  <c r="BH211" i="11"/>
  <c r="BM210" i="11"/>
  <c r="BH210" i="11"/>
  <c r="BM209" i="11"/>
  <c r="BH209" i="11"/>
  <c r="BM208" i="11"/>
  <c r="BH208" i="11"/>
  <c r="BM207" i="11"/>
  <c r="BH207" i="11"/>
  <c r="BM206" i="11"/>
  <c r="BH206" i="11"/>
  <c r="BM205" i="11"/>
  <c r="BH205" i="11"/>
  <c r="BM204" i="11"/>
  <c r="BH204" i="11"/>
  <c r="BM203" i="11"/>
  <c r="BH203" i="11"/>
  <c r="BM202" i="11"/>
  <c r="BH202" i="11"/>
  <c r="BM201" i="11"/>
  <c r="BH201" i="11"/>
  <c r="BM200" i="11"/>
  <c r="BH200" i="11"/>
  <c r="BM199" i="11"/>
  <c r="BH199" i="11"/>
  <c r="BM198" i="11"/>
  <c r="BH198" i="11"/>
  <c r="BM197" i="11"/>
  <c r="BH197" i="11"/>
  <c r="BM196" i="11"/>
  <c r="BH196" i="11"/>
  <c r="BM195" i="11"/>
  <c r="BH195" i="11"/>
  <c r="BM194" i="11"/>
  <c r="BH194" i="11"/>
  <c r="BM193" i="11"/>
  <c r="BH193" i="11"/>
  <c r="BM192" i="11"/>
  <c r="BH192" i="11"/>
  <c r="BM191" i="11"/>
  <c r="BH191" i="11"/>
  <c r="BM190" i="11"/>
  <c r="BH190" i="11"/>
  <c r="BM189" i="11"/>
  <c r="BH189" i="11"/>
  <c r="BM188" i="11"/>
  <c r="BH188" i="11"/>
  <c r="BM187" i="11"/>
  <c r="BH187" i="11"/>
  <c r="BM186" i="11"/>
  <c r="BH186" i="11"/>
  <c r="BM185" i="11"/>
  <c r="BH185" i="11"/>
  <c r="BM184" i="11"/>
  <c r="BH184" i="11"/>
  <c r="BM183" i="11"/>
  <c r="BH183" i="11"/>
  <c r="BM182" i="11"/>
  <c r="BH182" i="11"/>
  <c r="BM181" i="11"/>
  <c r="BH181" i="11"/>
  <c r="BM180" i="11"/>
  <c r="BH180" i="11"/>
  <c r="BM179" i="11"/>
  <c r="BH179" i="11"/>
  <c r="BM178" i="11"/>
  <c r="BH178" i="11"/>
  <c r="BM177" i="11"/>
  <c r="BH177" i="11"/>
  <c r="BM176" i="11"/>
  <c r="BH176" i="11"/>
  <c r="BM175" i="11"/>
  <c r="BH175" i="11"/>
  <c r="BM174" i="11"/>
  <c r="BH174" i="11"/>
  <c r="BM173" i="11"/>
  <c r="BH173" i="11"/>
  <c r="BM172" i="11"/>
  <c r="BH172" i="11"/>
  <c r="BM171" i="11"/>
  <c r="BH171" i="11"/>
  <c r="BM170" i="11"/>
  <c r="BH170" i="11"/>
  <c r="BM169" i="11"/>
  <c r="BH169" i="11"/>
  <c r="BM168" i="11"/>
  <c r="BH168" i="11"/>
  <c r="BM167" i="11"/>
  <c r="BH167" i="11"/>
  <c r="BM166" i="11"/>
  <c r="BH166" i="11"/>
  <c r="BM165" i="11"/>
  <c r="BH165" i="11"/>
  <c r="BM164" i="11"/>
  <c r="BH164" i="11"/>
  <c r="BM163" i="11"/>
  <c r="BH163" i="11"/>
  <c r="BM162" i="11"/>
  <c r="BH162" i="11"/>
  <c r="BM161" i="11"/>
  <c r="BH161" i="11"/>
  <c r="BM160" i="11"/>
  <c r="BH160" i="11"/>
  <c r="BM159" i="11"/>
  <c r="BH159" i="11"/>
  <c r="BM158" i="11"/>
  <c r="BH158" i="11"/>
  <c r="BM157" i="11"/>
  <c r="BH157" i="11"/>
  <c r="BM156" i="11"/>
  <c r="BH156" i="11"/>
  <c r="BM155" i="11"/>
  <c r="BH155" i="11"/>
  <c r="BM154" i="11"/>
  <c r="BH154" i="11"/>
  <c r="BM153" i="11"/>
  <c r="BH153" i="11"/>
  <c r="BM152" i="11"/>
  <c r="BH152" i="11"/>
  <c r="BM151" i="11"/>
  <c r="BH151" i="11"/>
  <c r="BM150" i="11"/>
  <c r="BH150" i="11"/>
  <c r="BM149" i="11"/>
  <c r="BH149" i="11"/>
  <c r="BM148" i="11"/>
  <c r="BH148" i="11"/>
  <c r="BM147" i="11"/>
  <c r="BH147" i="11"/>
  <c r="BM146" i="11"/>
  <c r="BH146" i="11"/>
  <c r="BM145" i="11"/>
  <c r="BH145" i="11"/>
  <c r="BM144" i="11"/>
  <c r="BH144" i="11"/>
  <c r="BM143" i="11"/>
  <c r="BH143" i="11"/>
  <c r="BM142" i="11"/>
  <c r="BH142" i="11"/>
  <c r="BM141" i="11"/>
  <c r="BH141" i="11"/>
  <c r="BM140" i="11"/>
  <c r="BH140" i="11"/>
  <c r="BM139" i="11"/>
  <c r="BH139" i="11"/>
  <c r="BM138" i="11"/>
  <c r="BH138" i="11"/>
  <c r="BM137" i="11"/>
  <c r="BH137" i="11"/>
  <c r="BM136" i="11"/>
  <c r="BH136" i="11"/>
  <c r="BM135" i="11"/>
  <c r="BH135" i="11"/>
  <c r="BM134" i="11"/>
  <c r="BH134" i="11"/>
  <c r="BM133" i="11"/>
  <c r="BH133" i="11"/>
  <c r="BM132" i="11"/>
  <c r="BH132" i="11"/>
  <c r="BM131" i="11"/>
  <c r="BH131" i="11"/>
  <c r="BM130" i="11"/>
  <c r="BH130" i="11"/>
  <c r="BM129" i="11"/>
  <c r="BH129" i="11"/>
  <c r="BM128" i="11"/>
  <c r="BH128" i="11"/>
  <c r="BM127" i="11"/>
  <c r="BH127" i="11"/>
  <c r="BM126" i="11"/>
  <c r="BH126" i="11"/>
  <c r="BM125" i="11"/>
  <c r="BH125" i="11"/>
  <c r="BM124" i="11"/>
  <c r="BH124" i="11"/>
  <c r="BM123" i="11"/>
  <c r="BH123" i="11"/>
  <c r="BM122" i="11"/>
  <c r="BH122" i="11"/>
  <c r="BM121" i="11"/>
  <c r="BH121" i="11"/>
  <c r="BM120" i="11"/>
  <c r="BH120" i="11"/>
  <c r="BM119" i="11"/>
  <c r="BH119" i="11"/>
  <c r="BM118" i="11"/>
  <c r="BH118" i="11"/>
  <c r="BM117" i="11"/>
  <c r="BH117" i="11"/>
  <c r="BM116" i="11"/>
  <c r="BH116" i="11"/>
  <c r="BM115" i="11"/>
  <c r="BH115" i="11"/>
  <c r="BM114" i="11"/>
  <c r="BH114" i="11"/>
  <c r="BM113" i="11"/>
  <c r="BH113" i="11"/>
  <c r="BM112" i="11"/>
  <c r="BH112" i="11"/>
  <c r="BM111" i="11"/>
  <c r="BH111" i="11"/>
  <c r="BM110" i="11"/>
  <c r="BH110" i="11"/>
  <c r="BM109" i="11"/>
  <c r="BH109" i="11"/>
  <c r="BM108" i="11"/>
  <c r="BH108" i="11"/>
  <c r="BM107" i="11"/>
  <c r="BH107" i="11"/>
  <c r="BM106" i="11"/>
  <c r="BH106" i="11"/>
  <c r="BM105" i="11"/>
  <c r="BH105" i="11"/>
  <c r="BM104" i="11"/>
  <c r="BH104" i="11"/>
  <c r="BM103" i="11"/>
  <c r="BH103" i="11"/>
  <c r="BM102" i="11"/>
  <c r="BH102" i="11"/>
  <c r="BM101" i="11"/>
  <c r="BH101" i="11"/>
  <c r="BM100" i="11"/>
  <c r="BH100" i="11"/>
  <c r="BM99" i="11"/>
  <c r="BH99" i="11"/>
  <c r="BM98" i="11"/>
  <c r="BH98" i="11"/>
  <c r="BM97" i="11"/>
  <c r="BH97" i="11"/>
  <c r="BM96" i="11"/>
  <c r="BH96" i="11"/>
  <c r="BM95" i="11"/>
  <c r="BH95" i="11"/>
  <c r="BM94" i="11"/>
  <c r="BH94" i="11"/>
  <c r="BM93" i="11"/>
  <c r="BH93" i="11"/>
  <c r="BM92" i="11"/>
  <c r="BH92" i="11"/>
  <c r="BM91" i="11"/>
  <c r="BH91" i="11"/>
  <c r="BM90" i="11"/>
  <c r="BH90" i="11"/>
  <c r="BM89" i="11"/>
  <c r="BH89" i="11"/>
  <c r="BM88" i="11"/>
  <c r="BH88" i="11"/>
  <c r="BM87" i="11"/>
  <c r="BH87" i="11"/>
  <c r="BM86" i="11"/>
  <c r="BH86" i="11"/>
  <c r="BM85" i="11"/>
  <c r="BH85" i="11"/>
  <c r="BM84" i="11"/>
  <c r="BH84" i="11"/>
  <c r="BM83" i="11"/>
  <c r="BH83" i="11"/>
  <c r="BM82" i="11"/>
  <c r="BH82" i="11"/>
  <c r="BM81" i="11"/>
  <c r="BH81" i="11"/>
  <c r="BM80" i="11"/>
  <c r="BH80" i="11"/>
  <c r="BM79" i="11"/>
  <c r="BH79" i="11"/>
  <c r="BM78" i="11"/>
  <c r="BH78" i="11"/>
  <c r="BM77" i="11"/>
  <c r="BH77" i="11"/>
  <c r="BM76" i="11"/>
  <c r="BH76" i="11"/>
  <c r="BM75" i="11"/>
  <c r="BH75" i="11"/>
  <c r="BM74" i="11"/>
  <c r="BH74" i="11"/>
  <c r="BM73" i="11"/>
  <c r="BH73" i="11"/>
  <c r="BM72" i="11"/>
  <c r="BH72" i="11"/>
  <c r="BM71" i="11"/>
  <c r="BH71" i="11"/>
  <c r="BM70" i="11"/>
  <c r="BH70" i="11"/>
  <c r="BM69" i="11"/>
  <c r="BH69" i="11"/>
  <c r="BM68" i="11"/>
  <c r="BH68" i="11"/>
  <c r="BM67" i="11"/>
  <c r="BH67" i="11"/>
  <c r="BM66" i="11"/>
  <c r="BH66" i="11"/>
  <c r="BM65" i="11"/>
  <c r="BH65" i="11"/>
  <c r="BM64" i="11"/>
  <c r="BH64" i="11"/>
  <c r="BM63" i="11"/>
  <c r="BH63" i="11"/>
  <c r="BM62" i="11"/>
  <c r="BH62" i="11"/>
  <c r="BM61" i="11"/>
  <c r="BH61" i="11"/>
  <c r="BM60" i="11"/>
  <c r="BH60" i="11"/>
  <c r="BM59" i="11"/>
  <c r="BH59" i="11"/>
  <c r="BM58" i="11"/>
  <c r="BH58" i="11"/>
  <c r="BM57" i="11"/>
  <c r="BH57" i="11"/>
  <c r="BM56" i="11"/>
  <c r="BH56" i="11"/>
  <c r="BM55" i="11"/>
  <c r="BH55" i="11"/>
  <c r="BM54" i="11"/>
  <c r="BH54" i="11"/>
  <c r="BM53" i="11"/>
  <c r="BH53" i="11"/>
  <c r="BM52" i="11"/>
  <c r="BH52" i="11"/>
  <c r="BM51" i="11"/>
  <c r="BH51" i="11"/>
  <c r="BM50" i="11"/>
  <c r="BH50" i="11"/>
  <c r="BM49" i="11"/>
  <c r="BH49" i="11"/>
  <c r="BM48" i="11"/>
  <c r="BH48" i="11"/>
  <c r="BM47" i="11"/>
  <c r="BH47" i="11"/>
  <c r="BM46" i="11"/>
  <c r="BH46" i="11"/>
  <c r="BM45" i="11"/>
  <c r="BH45" i="11"/>
  <c r="BM44" i="11"/>
  <c r="BH44" i="11"/>
  <c r="BM43" i="11"/>
  <c r="BH43" i="11"/>
  <c r="BM42" i="11"/>
  <c r="BH42" i="11"/>
  <c r="BM41" i="11"/>
  <c r="BH41" i="11"/>
  <c r="BM40" i="11"/>
  <c r="BH40" i="11"/>
  <c r="BM39" i="11"/>
  <c r="BH39" i="11"/>
  <c r="BM38" i="11"/>
  <c r="BH38" i="11"/>
  <c r="BM37" i="11"/>
  <c r="BH37" i="11"/>
  <c r="BM36" i="11"/>
  <c r="BH36" i="11"/>
  <c r="BM35" i="11"/>
  <c r="BH35" i="11"/>
  <c r="BM34" i="11"/>
  <c r="BH34" i="11"/>
  <c r="BM33" i="11"/>
  <c r="BH33" i="11"/>
  <c r="BM32" i="11"/>
  <c r="BH32" i="11"/>
  <c r="BM31" i="11"/>
  <c r="BH31" i="11"/>
  <c r="BM30" i="11"/>
  <c r="BH30" i="11"/>
  <c r="BM29" i="11"/>
  <c r="BH29" i="11"/>
  <c r="BM28" i="11"/>
  <c r="BH28" i="11"/>
  <c r="BM27" i="11"/>
  <c r="BH27" i="11"/>
  <c r="BM26" i="11"/>
  <c r="BH26" i="11"/>
  <c r="BM25" i="11"/>
  <c r="BH25" i="11"/>
  <c r="BM24" i="11"/>
  <c r="BH24" i="11"/>
  <c r="BM23" i="11"/>
  <c r="BH23" i="11"/>
  <c r="BM22" i="11"/>
  <c r="BH22" i="11"/>
  <c r="BM21" i="11"/>
  <c r="BH21" i="11"/>
  <c r="BM20" i="11"/>
  <c r="BH20" i="11"/>
  <c r="BM19" i="11"/>
  <c r="BH19" i="11"/>
  <c r="BM18" i="11"/>
  <c r="BH18" i="11"/>
  <c r="BM17" i="11"/>
  <c r="BH17" i="11"/>
  <c r="BM16" i="11"/>
  <c r="BH16" i="11"/>
  <c r="BM15" i="11"/>
  <c r="BH15" i="11"/>
  <c r="BM14" i="11"/>
  <c r="BH14" i="11"/>
  <c r="BM13" i="11"/>
  <c r="BH13" i="11"/>
  <c r="BM12" i="11"/>
  <c r="BH12" i="11"/>
  <c r="BM11" i="11"/>
  <c r="BH11" i="11"/>
  <c r="BM10" i="11"/>
  <c r="BH10" i="11"/>
  <c r="BM9" i="11"/>
  <c r="BH9" i="11"/>
  <c r="BM8" i="11"/>
  <c r="BH8" i="11"/>
  <c r="BM7" i="11"/>
  <c r="BH7" i="11"/>
  <c r="BM6" i="11"/>
  <c r="BH6" i="11"/>
  <c r="BM5" i="11"/>
  <c r="BH5" i="11"/>
  <c r="BM4" i="11"/>
  <c r="BH4" i="11"/>
  <c r="BM3" i="11"/>
  <c r="BH3" i="11"/>
  <c r="BM2" i="11"/>
  <c r="BH2" i="11"/>
  <c r="BM1" i="11"/>
  <c r="BH1" i="11"/>
  <c r="BG1473" i="11"/>
  <c r="BG1474" i="11"/>
  <c r="BI1474" i="11"/>
  <c r="BG1475" i="11"/>
  <c r="BG1476" i="11"/>
  <c r="BG1477" i="11"/>
  <c r="BI1477" i="11"/>
  <c r="BG1478" i="11"/>
  <c r="BG1479" i="11"/>
  <c r="BG1480" i="11"/>
  <c r="BI1480" i="11"/>
  <c r="BG1481" i="11"/>
  <c r="BG1482" i="11"/>
  <c r="BG1483" i="11"/>
  <c r="BI1483" i="11"/>
  <c r="BG1484" i="11"/>
  <c r="BG1485" i="11"/>
  <c r="BG1486" i="11"/>
  <c r="BI1486" i="11"/>
  <c r="BG1487" i="11"/>
  <c r="BG1488" i="11"/>
  <c r="BG1489" i="11"/>
  <c r="BI1489" i="11"/>
  <c r="BG1490" i="11"/>
  <c r="BG1491" i="11"/>
  <c r="BG1492" i="11"/>
  <c r="BI1492" i="11"/>
  <c r="BG1493" i="11"/>
  <c r="BG1494" i="11"/>
  <c r="BG1495" i="11"/>
  <c r="BI1495" i="11"/>
  <c r="BG1496" i="11"/>
  <c r="BG1497" i="11"/>
  <c r="BG1498" i="11"/>
  <c r="BI1498" i="11"/>
  <c r="BG1499" i="11"/>
  <c r="BG1500" i="11"/>
  <c r="BG1441" i="11"/>
  <c r="BI1441" i="11"/>
  <c r="BG1442" i="11"/>
  <c r="BG1443" i="11"/>
  <c r="BG1444" i="11"/>
  <c r="BI1444" i="11"/>
  <c r="BG1445" i="11"/>
  <c r="BG1446" i="11"/>
  <c r="BG1447" i="11"/>
  <c r="BI1447" i="11"/>
  <c r="BG1448" i="11"/>
  <c r="BG1449" i="11"/>
  <c r="BG1450" i="11"/>
  <c r="BI1450" i="11"/>
  <c r="BG1451" i="11"/>
  <c r="BG1452" i="11"/>
  <c r="BG1453" i="11"/>
  <c r="BI1453" i="11"/>
  <c r="BG1454" i="11"/>
  <c r="BG1455" i="11"/>
  <c r="BG1456" i="11"/>
  <c r="BI1456" i="11"/>
  <c r="BG1457" i="11"/>
  <c r="BG1458" i="11"/>
  <c r="BG1459" i="11"/>
  <c r="BI1459" i="11"/>
  <c r="BG1460" i="11"/>
  <c r="BG1461" i="11"/>
  <c r="BG1462" i="11"/>
  <c r="BI1462" i="11"/>
  <c r="BG1463" i="11"/>
  <c r="BG1464" i="11"/>
  <c r="BG1465" i="11"/>
  <c r="BI1465" i="11"/>
  <c r="BG1466" i="11"/>
  <c r="BG1467" i="11"/>
  <c r="BG1468" i="11"/>
  <c r="BI1468" i="11"/>
  <c r="BG1469" i="11"/>
  <c r="BG1470" i="11"/>
  <c r="BG1471" i="11"/>
  <c r="BI1471" i="11"/>
  <c r="BG1472" i="11"/>
  <c r="BG1409" i="11"/>
  <c r="BI1409" i="11"/>
  <c r="BG1410" i="11"/>
  <c r="BG1411" i="11"/>
  <c r="BG1412" i="11"/>
  <c r="BI1412" i="11"/>
  <c r="BG1413" i="11"/>
  <c r="BG1414" i="11"/>
  <c r="BG1415" i="11"/>
  <c r="BI1415" i="11"/>
  <c r="BG1416" i="11"/>
  <c r="BG1417" i="11"/>
  <c r="BG1418" i="11"/>
  <c r="BI1418" i="11"/>
  <c r="BG1419" i="11"/>
  <c r="BG1420" i="11"/>
  <c r="BG1421" i="11"/>
  <c r="BI1421" i="11"/>
  <c r="BG1422" i="11"/>
  <c r="BG1423" i="11"/>
  <c r="BG1424" i="11"/>
  <c r="BI1424" i="11"/>
  <c r="BG1425" i="11"/>
  <c r="BG1426" i="11"/>
  <c r="BG1427" i="11"/>
  <c r="BI1427" i="11"/>
  <c r="BG1428" i="11"/>
  <c r="BG1429" i="11"/>
  <c r="BG1430" i="11"/>
  <c r="BI1430" i="11"/>
  <c r="BG1431" i="11"/>
  <c r="BG1432" i="11"/>
  <c r="BG1433" i="11"/>
  <c r="BI1433" i="11"/>
  <c r="BG1434" i="11"/>
  <c r="BG1435" i="11"/>
  <c r="BG1436" i="11"/>
  <c r="BI1436" i="11"/>
  <c r="BG1437" i="11"/>
  <c r="BG1438" i="11"/>
  <c r="BG1439" i="11"/>
  <c r="BI1439" i="11"/>
  <c r="BG1440" i="11"/>
  <c r="BG1377" i="11"/>
  <c r="BI1377" i="11"/>
  <c r="BG1378" i="11"/>
  <c r="BG1379" i="11"/>
  <c r="BG1380" i="11"/>
  <c r="BI1380" i="11"/>
  <c r="BG1381" i="11"/>
  <c r="BG1382" i="11"/>
  <c r="BG1383" i="11"/>
  <c r="BI1383" i="11"/>
  <c r="BG1384" i="11"/>
  <c r="BG1385" i="11"/>
  <c r="BG1386" i="11"/>
  <c r="BI1386" i="11"/>
  <c r="BG1387" i="11"/>
  <c r="BG1388" i="11"/>
  <c r="BG1389" i="11"/>
  <c r="BI1389" i="11"/>
  <c r="BG1390" i="11"/>
  <c r="BG1391" i="11"/>
  <c r="BG1392" i="11"/>
  <c r="BI1392" i="11"/>
  <c r="BG1393" i="11"/>
  <c r="BG1394" i="11"/>
  <c r="BG1395" i="11"/>
  <c r="BI1395" i="11"/>
  <c r="BG1396" i="11"/>
  <c r="BG1397" i="11"/>
  <c r="BG1398" i="11"/>
  <c r="BI1398" i="11"/>
  <c r="BG1399" i="11"/>
  <c r="BG1400" i="11"/>
  <c r="BG1401" i="11"/>
  <c r="BI1401" i="11"/>
  <c r="BG1402" i="11"/>
  <c r="BG1403" i="11"/>
  <c r="BG1404" i="11"/>
  <c r="BI1404" i="11"/>
  <c r="BG1405" i="11"/>
  <c r="BG1406" i="11"/>
  <c r="BG1407" i="11"/>
  <c r="BI1407" i="11"/>
  <c r="BG1408" i="11"/>
  <c r="BG1345" i="11"/>
  <c r="BI1345" i="11"/>
  <c r="BG1346" i="11"/>
  <c r="BG1347" i="11"/>
  <c r="BG1348" i="11"/>
  <c r="BI1348" i="11"/>
  <c r="BG1349" i="11"/>
  <c r="BG1350" i="11"/>
  <c r="BG1351" i="11"/>
  <c r="BI1351" i="11"/>
  <c r="BG1352" i="11"/>
  <c r="BG1353" i="11"/>
  <c r="BG1354" i="11"/>
  <c r="BI1354" i="11"/>
  <c r="BG1355" i="11"/>
  <c r="BG1356" i="11"/>
  <c r="BG1357" i="11"/>
  <c r="BI1357" i="11"/>
  <c r="BG1358" i="11"/>
  <c r="BG1359" i="11"/>
  <c r="BG1360" i="11"/>
  <c r="BI1360" i="11"/>
  <c r="BG1361" i="11"/>
  <c r="BG1362" i="11"/>
  <c r="BG1363" i="11"/>
  <c r="BI1363" i="11"/>
  <c r="BG1364" i="11"/>
  <c r="BG1365" i="11"/>
  <c r="BG1366" i="11"/>
  <c r="BI1366" i="11"/>
  <c r="BG1367" i="11"/>
  <c r="BG1368" i="11"/>
  <c r="BG1369" i="11"/>
  <c r="BI1369" i="11"/>
  <c r="BG1370" i="11"/>
  <c r="BG1371" i="11"/>
  <c r="BG1372" i="11"/>
  <c r="BI1372" i="11"/>
  <c r="BG1373" i="11"/>
  <c r="BG1374" i="11"/>
  <c r="BG1375" i="11"/>
  <c r="BI1375" i="11"/>
  <c r="BG1376" i="11"/>
  <c r="BG1313" i="11"/>
  <c r="BI1313" i="11"/>
  <c r="BG1314" i="11"/>
  <c r="BG1315" i="11"/>
  <c r="BG1316" i="11"/>
  <c r="BI1316" i="11"/>
  <c r="BG1317" i="11"/>
  <c r="BG1318" i="11"/>
  <c r="BG1319" i="11"/>
  <c r="BI1319" i="11"/>
  <c r="BG1320" i="11"/>
  <c r="BG1321" i="11"/>
  <c r="BG1322" i="11"/>
  <c r="BI1322" i="11"/>
  <c r="BG1323" i="11"/>
  <c r="BG1324" i="11"/>
  <c r="BG1325" i="11"/>
  <c r="BI1325" i="11"/>
  <c r="BG1326" i="11"/>
  <c r="BG1327" i="11"/>
  <c r="BG1328" i="11"/>
  <c r="BI1328" i="11"/>
  <c r="BG1329" i="11"/>
  <c r="BG1330" i="11"/>
  <c r="BG1331" i="11"/>
  <c r="BI1331" i="11"/>
  <c r="BG1332" i="11"/>
  <c r="BG1333" i="11"/>
  <c r="BG1334" i="11"/>
  <c r="BI1334" i="11"/>
  <c r="BG1335" i="11"/>
  <c r="BG1336" i="11"/>
  <c r="BG1337" i="11"/>
  <c r="BI1337" i="11"/>
  <c r="BG1338" i="11"/>
  <c r="BG1339" i="11"/>
  <c r="BG1340" i="11"/>
  <c r="BI1340" i="11"/>
  <c r="BG1341" i="11"/>
  <c r="BG1342" i="11"/>
  <c r="BG1343" i="11"/>
  <c r="BI1343" i="11"/>
  <c r="BG1344" i="11"/>
  <c r="BG1281" i="11"/>
  <c r="BI1281" i="11"/>
  <c r="BG1282" i="11"/>
  <c r="BG1283" i="11"/>
  <c r="BG1284" i="11"/>
  <c r="BI1284" i="11"/>
  <c r="BG1285" i="11"/>
  <c r="BG1286" i="11"/>
  <c r="BG1287" i="11"/>
  <c r="BI1287" i="11"/>
  <c r="BG1288" i="11"/>
  <c r="BG1289" i="11"/>
  <c r="BG1290" i="11"/>
  <c r="BI1290" i="11"/>
  <c r="BG1291" i="11"/>
  <c r="BG1292" i="11"/>
  <c r="BG1293" i="11"/>
  <c r="BI1293" i="11"/>
  <c r="BG1294" i="11"/>
  <c r="BG1295" i="11"/>
  <c r="BG1296" i="11"/>
  <c r="BI1296" i="11"/>
  <c r="BG1297" i="11"/>
  <c r="BG1298" i="11"/>
  <c r="BG1299" i="11"/>
  <c r="BI1299" i="11"/>
  <c r="BG1300" i="11"/>
  <c r="BG1301" i="11"/>
  <c r="BG1302" i="11"/>
  <c r="BI1302" i="11"/>
  <c r="BG1303" i="11"/>
  <c r="BG1304" i="11"/>
  <c r="BG1305" i="11"/>
  <c r="BI1305" i="11"/>
  <c r="BG1306" i="11"/>
  <c r="BG1307" i="11"/>
  <c r="BG1308" i="11"/>
  <c r="BI1308" i="11"/>
  <c r="BG1309" i="11"/>
  <c r="BG1310" i="11"/>
  <c r="BG1311" i="11"/>
  <c r="BI1311" i="11"/>
  <c r="BG1312" i="11"/>
  <c r="BG1249" i="11"/>
  <c r="BI1249" i="11"/>
  <c r="BG1250" i="11"/>
  <c r="BG1251" i="11"/>
  <c r="BG1252" i="11"/>
  <c r="BI1252" i="11"/>
  <c r="BG1253" i="11"/>
  <c r="BG1254" i="11"/>
  <c r="BG1255" i="11"/>
  <c r="BI1255" i="11"/>
  <c r="BG1256" i="11"/>
  <c r="BG1257" i="11"/>
  <c r="BG1258" i="11"/>
  <c r="BI1258" i="11"/>
  <c r="BG1259" i="11"/>
  <c r="BG1260" i="11"/>
  <c r="BG1261" i="11"/>
  <c r="BI1261" i="11"/>
  <c r="BG1262" i="11"/>
  <c r="BG1263" i="11"/>
  <c r="BG1264" i="11"/>
  <c r="BI1264" i="11"/>
  <c r="BG1265" i="11"/>
  <c r="BG1266" i="11"/>
  <c r="BG1267" i="11"/>
  <c r="BI1267" i="11"/>
  <c r="BG1268" i="11"/>
  <c r="BG1269" i="11"/>
  <c r="BG1270" i="11"/>
  <c r="BI1270" i="11"/>
  <c r="BG1271" i="11"/>
  <c r="BG1272" i="11"/>
  <c r="BG1273" i="11"/>
  <c r="BI1273" i="11"/>
  <c r="BG1274" i="11"/>
  <c r="BG1275" i="11"/>
  <c r="BG1276" i="11"/>
  <c r="BI1276" i="11"/>
  <c r="BG1277" i="11"/>
  <c r="BG1278" i="11"/>
  <c r="BG1279" i="11"/>
  <c r="BI1279" i="11"/>
  <c r="BG1280" i="11"/>
  <c r="BG1217" i="11"/>
  <c r="BI1217" i="11"/>
  <c r="BG1218" i="11"/>
  <c r="BG1219" i="11"/>
  <c r="BG1220" i="11"/>
  <c r="BI1220" i="11"/>
  <c r="BG1221" i="11"/>
  <c r="BG1222" i="11"/>
  <c r="BG1223" i="11"/>
  <c r="BI1223" i="11"/>
  <c r="BG1224" i="11"/>
  <c r="BG1225" i="11"/>
  <c r="BG1226" i="11"/>
  <c r="BI1226" i="11"/>
  <c r="BG1227" i="11"/>
  <c r="BG1228" i="11"/>
  <c r="BG1229" i="11"/>
  <c r="BI1229" i="11"/>
  <c r="BG1230" i="11"/>
  <c r="BG1231" i="11"/>
  <c r="BG1232" i="11"/>
  <c r="BI1232" i="11"/>
  <c r="BG1233" i="11"/>
  <c r="BG1234" i="11"/>
  <c r="BG1235" i="11"/>
  <c r="BI1235" i="11"/>
  <c r="BG1236" i="11"/>
  <c r="BG1237" i="11"/>
  <c r="BG1238" i="11"/>
  <c r="BI1238" i="11"/>
  <c r="BG1239" i="11"/>
  <c r="BG1240" i="11"/>
  <c r="BG1241" i="11"/>
  <c r="BI1241" i="11"/>
  <c r="BG1242" i="11"/>
  <c r="BG1243" i="11"/>
  <c r="BG1244" i="11"/>
  <c r="BI1244" i="11"/>
  <c r="BG1245" i="11"/>
  <c r="BG1246" i="11"/>
  <c r="BG1247" i="11"/>
  <c r="BI1247" i="11"/>
  <c r="BG1248" i="11"/>
  <c r="BG1185" i="11"/>
  <c r="BI1185" i="11"/>
  <c r="BG1186" i="11"/>
  <c r="BG1187" i="11"/>
  <c r="BG1188" i="11"/>
  <c r="BI1188" i="11"/>
  <c r="BG1189" i="11"/>
  <c r="BG1190" i="11"/>
  <c r="BG1191" i="11"/>
  <c r="BI1191" i="11"/>
  <c r="BG1192" i="11"/>
  <c r="BG1193" i="11"/>
  <c r="BG1194" i="11"/>
  <c r="BI1194" i="11"/>
  <c r="BG1195" i="11"/>
  <c r="BG1196" i="11"/>
  <c r="BG1197" i="11"/>
  <c r="BI1197" i="11"/>
  <c r="BG1198" i="11"/>
  <c r="BG1199" i="11"/>
  <c r="BG1200" i="11"/>
  <c r="BI1200" i="11"/>
  <c r="BG1201" i="11"/>
  <c r="BG1202" i="11"/>
  <c r="BG1203" i="11"/>
  <c r="BI1203" i="11"/>
  <c r="BG1204" i="11"/>
  <c r="BG1205" i="11"/>
  <c r="BG1206" i="11"/>
  <c r="BI1206" i="11"/>
  <c r="BG1207" i="11"/>
  <c r="BG1208" i="11"/>
  <c r="BG1209" i="11"/>
  <c r="BI1209" i="11"/>
  <c r="BG1210" i="11"/>
  <c r="BG1211" i="11"/>
  <c r="BG1212" i="11"/>
  <c r="BI1212" i="11"/>
  <c r="BG1213" i="11"/>
  <c r="BG1214" i="11"/>
  <c r="BG1215" i="11"/>
  <c r="BI1215" i="11"/>
  <c r="BG1216" i="11"/>
  <c r="BG1153" i="11"/>
  <c r="BI1153" i="11"/>
  <c r="BG1154" i="11"/>
  <c r="BG1155" i="11"/>
  <c r="BG1156" i="11"/>
  <c r="BI1156" i="11"/>
  <c r="BG1157" i="11"/>
  <c r="BG1158" i="11"/>
  <c r="BG1159" i="11"/>
  <c r="BI1159" i="11"/>
  <c r="BG1160" i="11"/>
  <c r="BG1161" i="11"/>
  <c r="BG1162" i="11"/>
  <c r="BI1162" i="11"/>
  <c r="BG1163" i="11"/>
  <c r="BG1164" i="11"/>
  <c r="BG1165" i="11"/>
  <c r="BI1165" i="11"/>
  <c r="BG1166" i="11"/>
  <c r="BG1167" i="11"/>
  <c r="BG1168" i="11"/>
  <c r="BI1168" i="11"/>
  <c r="BG1169" i="11"/>
  <c r="BG1170" i="11"/>
  <c r="BG1171" i="11"/>
  <c r="BI1171" i="11"/>
  <c r="BG1172" i="11"/>
  <c r="BG1173" i="11"/>
  <c r="BG1174" i="11"/>
  <c r="BI1174" i="11"/>
  <c r="BG1175" i="11"/>
  <c r="BG1176" i="11"/>
  <c r="BG1177" i="11"/>
  <c r="BI1177" i="11"/>
  <c r="BG1178" i="11"/>
  <c r="BG1179" i="11"/>
  <c r="BG1180" i="11"/>
  <c r="BI1180" i="11"/>
  <c r="BG1181" i="11"/>
  <c r="BG1182" i="11"/>
  <c r="BG1183" i="11"/>
  <c r="BI1183" i="11"/>
  <c r="BG1184" i="11"/>
  <c r="BG1121" i="11"/>
  <c r="BI1121" i="11"/>
  <c r="BG1122" i="11"/>
  <c r="BG1123" i="11"/>
  <c r="BG1124" i="11"/>
  <c r="BI1124" i="11"/>
  <c r="BG1125" i="11"/>
  <c r="BG1126" i="11"/>
  <c r="BG1127" i="11"/>
  <c r="BI1127" i="11"/>
  <c r="BG1128" i="11"/>
  <c r="BG1129" i="11"/>
  <c r="BG1130" i="11"/>
  <c r="BI1130" i="11"/>
  <c r="BG1131" i="11"/>
  <c r="BG1132" i="11"/>
  <c r="BG1133" i="11"/>
  <c r="BI1133" i="11"/>
  <c r="BG1134" i="11"/>
  <c r="BG1135" i="11"/>
  <c r="BG1136" i="11"/>
  <c r="BI1136" i="11"/>
  <c r="BG1137" i="11"/>
  <c r="BG1138" i="11"/>
  <c r="BG1139" i="11"/>
  <c r="BI1139" i="11"/>
  <c r="BG1140" i="11"/>
  <c r="BG1141" i="11"/>
  <c r="BG1142" i="11"/>
  <c r="BI1142" i="11"/>
  <c r="BG1143" i="11"/>
  <c r="BG1144" i="11"/>
  <c r="BG1145" i="11"/>
  <c r="BI1145" i="11"/>
  <c r="BG1146" i="11"/>
  <c r="BG1147" i="11"/>
  <c r="BG1148" i="11"/>
  <c r="BI1148" i="11"/>
  <c r="BG1149" i="11"/>
  <c r="BG1150" i="11"/>
  <c r="BG1151" i="11"/>
  <c r="BI1151" i="11"/>
  <c r="BG1152" i="11"/>
  <c r="BG1089" i="11"/>
  <c r="BI1089" i="11"/>
  <c r="BG1090" i="11"/>
  <c r="BG1091" i="11"/>
  <c r="BG1092" i="11"/>
  <c r="BI1092" i="11"/>
  <c r="BG1093" i="11"/>
  <c r="BG1094" i="11"/>
  <c r="BG1095" i="11"/>
  <c r="BI1095" i="11"/>
  <c r="BG1096" i="11"/>
  <c r="BG1097" i="11"/>
  <c r="BG1098" i="11"/>
  <c r="BI1098" i="11"/>
  <c r="BG1099" i="11"/>
  <c r="BG1100" i="11"/>
  <c r="BG1101" i="11"/>
  <c r="BI1101" i="11"/>
  <c r="BG1102" i="11"/>
  <c r="BG1103" i="11"/>
  <c r="BG1104" i="11"/>
  <c r="BI1104" i="11"/>
  <c r="BG1105" i="11"/>
  <c r="BG1106" i="11"/>
  <c r="BG1107" i="11"/>
  <c r="BI1107" i="11"/>
  <c r="BG1108" i="11"/>
  <c r="BG1109" i="11"/>
  <c r="BG1110" i="11"/>
  <c r="BI1110" i="11"/>
  <c r="BG1111" i="11"/>
  <c r="BG1112" i="11"/>
  <c r="BG1113" i="11"/>
  <c r="BI1113" i="11"/>
  <c r="BG1114" i="11"/>
  <c r="BG1115" i="11"/>
  <c r="BG1116" i="11"/>
  <c r="BI1116" i="11"/>
  <c r="BG1117" i="11"/>
  <c r="BG1118" i="11"/>
  <c r="BG1119" i="11"/>
  <c r="BI1119" i="11"/>
  <c r="BG1120" i="11"/>
  <c r="BG1057" i="11"/>
  <c r="BI1057" i="11"/>
  <c r="BG1058" i="11"/>
  <c r="BG1059" i="11"/>
  <c r="BG1060" i="11"/>
  <c r="BI1060" i="11"/>
  <c r="BG1061" i="11"/>
  <c r="BG1062" i="11"/>
  <c r="BG1063" i="11"/>
  <c r="BI1063" i="11"/>
  <c r="BG1064" i="11"/>
  <c r="BG1065" i="11"/>
  <c r="BG1066" i="11"/>
  <c r="BI1066" i="11"/>
  <c r="BG1067" i="11"/>
  <c r="BG1068" i="11"/>
  <c r="BG1069" i="11"/>
  <c r="BI1069" i="11"/>
  <c r="BG1070" i="11"/>
  <c r="BG1071" i="11"/>
  <c r="BG1072" i="11"/>
  <c r="BI1072" i="11"/>
  <c r="BG1073" i="11"/>
  <c r="BG1074" i="11"/>
  <c r="BG1075" i="11"/>
  <c r="BI1075" i="11"/>
  <c r="BG1076" i="11"/>
  <c r="BG1077" i="11"/>
  <c r="BG1078" i="11"/>
  <c r="BI1078" i="11"/>
  <c r="BG1079" i="11"/>
  <c r="BG1080" i="11"/>
  <c r="BG1081" i="11"/>
  <c r="BI1081" i="11"/>
  <c r="BG1082" i="11"/>
  <c r="BG1083" i="11"/>
  <c r="BG1084" i="11"/>
  <c r="BI1084" i="11"/>
  <c r="BG1085" i="11"/>
  <c r="BG1086" i="11"/>
  <c r="BG1087" i="11"/>
  <c r="BI1087" i="11"/>
  <c r="BG1088" i="11"/>
  <c r="BG1025" i="11"/>
  <c r="BI1025" i="11"/>
  <c r="BG1026" i="11"/>
  <c r="BG1027" i="11"/>
  <c r="BG1028" i="11"/>
  <c r="BI1028" i="11"/>
  <c r="BG1029" i="11"/>
  <c r="BG1030" i="11"/>
  <c r="BG1031" i="11"/>
  <c r="BI1031" i="11"/>
  <c r="BG1032" i="11"/>
  <c r="BG1033" i="11"/>
  <c r="BG1034" i="11"/>
  <c r="BI1034" i="11"/>
  <c r="BG1035" i="11"/>
  <c r="BG1036" i="11"/>
  <c r="BG1037" i="11"/>
  <c r="BI1037" i="11"/>
  <c r="BG1038" i="11"/>
  <c r="BG1039" i="11"/>
  <c r="BG1040" i="11"/>
  <c r="BI1040" i="11"/>
  <c r="BG1041" i="11"/>
  <c r="BG1042" i="11"/>
  <c r="BG1043" i="11"/>
  <c r="BI1043" i="11"/>
  <c r="BG1044" i="11"/>
  <c r="BG1045" i="11"/>
  <c r="BG1046" i="11"/>
  <c r="BI1046" i="11"/>
  <c r="BG1047" i="11"/>
  <c r="BG1048" i="11"/>
  <c r="BG1049" i="11"/>
  <c r="BI1049" i="11"/>
  <c r="BG1050" i="11"/>
  <c r="BG1051" i="11"/>
  <c r="BG1052" i="11"/>
  <c r="BI1052" i="11"/>
  <c r="BG1053" i="11"/>
  <c r="BG1054" i="11"/>
  <c r="BG1055" i="11"/>
  <c r="BI1055" i="11"/>
  <c r="BG1056" i="11"/>
  <c r="BG993" i="11"/>
  <c r="BL993" i="11"/>
  <c r="BN993" i="11"/>
  <c r="BG994" i="11"/>
  <c r="BL994" i="11"/>
  <c r="BG995" i="11"/>
  <c r="BI995" i="11"/>
  <c r="BL995" i="11"/>
  <c r="BG996" i="11"/>
  <c r="BL996" i="11"/>
  <c r="BN996" i="11"/>
  <c r="BG997" i="11"/>
  <c r="BL997" i="11"/>
  <c r="BG998" i="11"/>
  <c r="BI998" i="11"/>
  <c r="BL998" i="11"/>
  <c r="BG999" i="11"/>
  <c r="BL999" i="11"/>
  <c r="BN999" i="11"/>
  <c r="BG1000" i="11"/>
  <c r="BL1000" i="11"/>
  <c r="BG1001" i="11"/>
  <c r="BI1001" i="11"/>
  <c r="BG1002" i="11"/>
  <c r="BG1003" i="11"/>
  <c r="BG1004" i="11"/>
  <c r="BI1004" i="11"/>
  <c r="BG1005" i="11"/>
  <c r="BG1006" i="11"/>
  <c r="BG1007" i="11"/>
  <c r="BI1007" i="11"/>
  <c r="BG1008" i="11"/>
  <c r="BG1009" i="11"/>
  <c r="BG1010" i="11"/>
  <c r="BI1010" i="11"/>
  <c r="BG1011" i="11"/>
  <c r="BG1012" i="11"/>
  <c r="BG1013" i="11"/>
  <c r="BI1013" i="11"/>
  <c r="BG1014" i="11"/>
  <c r="BG1015" i="11"/>
  <c r="BG1016" i="11"/>
  <c r="BI1016" i="11"/>
  <c r="BG1017" i="11"/>
  <c r="BG1018" i="11"/>
  <c r="BG1019" i="11"/>
  <c r="BI1019" i="11"/>
  <c r="BG1020" i="11"/>
  <c r="BG1021" i="11"/>
  <c r="BG1022" i="11"/>
  <c r="BI1022" i="11"/>
  <c r="BG1023" i="11"/>
  <c r="BG1024" i="11"/>
  <c r="BG961" i="11"/>
  <c r="BL961" i="11"/>
  <c r="BN961" i="11"/>
  <c r="BG962" i="11"/>
  <c r="BL962" i="11"/>
  <c r="BG963" i="11"/>
  <c r="BI963" i="11"/>
  <c r="BL963" i="11"/>
  <c r="BG964" i="11"/>
  <c r="BL964" i="11"/>
  <c r="BN964" i="11"/>
  <c r="BG965" i="11"/>
  <c r="BL965" i="11"/>
  <c r="BG966" i="11"/>
  <c r="BI966" i="11"/>
  <c r="BL966" i="11"/>
  <c r="BG967" i="11"/>
  <c r="BL967" i="11"/>
  <c r="BN967" i="11"/>
  <c r="BG968" i="11"/>
  <c r="BL968" i="11"/>
  <c r="BG969" i="11"/>
  <c r="BI969" i="11"/>
  <c r="BL969" i="11"/>
  <c r="BG970" i="11"/>
  <c r="BL970" i="11"/>
  <c r="BN970" i="11"/>
  <c r="BG971" i="11"/>
  <c r="BL971" i="11"/>
  <c r="BG972" i="11"/>
  <c r="BI972" i="11"/>
  <c r="BL972" i="11"/>
  <c r="BG973" i="11"/>
  <c r="BL973" i="11"/>
  <c r="BN973" i="11"/>
  <c r="BG974" i="11"/>
  <c r="BL974" i="11"/>
  <c r="BG975" i="11"/>
  <c r="BI975" i="11"/>
  <c r="BL975" i="11"/>
  <c r="BG976" i="11"/>
  <c r="BL976" i="11"/>
  <c r="BN976" i="11"/>
  <c r="BG977" i="11"/>
  <c r="BL977" i="11"/>
  <c r="BG978" i="11"/>
  <c r="BI978" i="11"/>
  <c r="BL978" i="11"/>
  <c r="BG979" i="11"/>
  <c r="BL979" i="11"/>
  <c r="BN979" i="11"/>
  <c r="BG980" i="11"/>
  <c r="BL980" i="11"/>
  <c r="BG981" i="11"/>
  <c r="BI981" i="11"/>
  <c r="BL981" i="11"/>
  <c r="BG982" i="11"/>
  <c r="BL982" i="11"/>
  <c r="BN982" i="11"/>
  <c r="BG983" i="11"/>
  <c r="BL983" i="11"/>
  <c r="BG984" i="11"/>
  <c r="BI984" i="11"/>
  <c r="BL984" i="11"/>
  <c r="BG985" i="11"/>
  <c r="BL985" i="11"/>
  <c r="BN985" i="11"/>
  <c r="BG986" i="11"/>
  <c r="BL986" i="11"/>
  <c r="BG987" i="11"/>
  <c r="BI987" i="11"/>
  <c r="BL987" i="11"/>
  <c r="BG988" i="11"/>
  <c r="BL988" i="11"/>
  <c r="BN988" i="11"/>
  <c r="BG989" i="11"/>
  <c r="BL989" i="11"/>
  <c r="BG990" i="11"/>
  <c r="BI990" i="11"/>
  <c r="BL990" i="11"/>
  <c r="BG991" i="11"/>
  <c r="BL991" i="11"/>
  <c r="BN991" i="11"/>
  <c r="BG992" i="11"/>
  <c r="BL992" i="11"/>
  <c r="BG929" i="11"/>
  <c r="BL929" i="11"/>
  <c r="BN929" i="11"/>
  <c r="BG930" i="11"/>
  <c r="BL930" i="11"/>
  <c r="BG931" i="11"/>
  <c r="BI931" i="11"/>
  <c r="BL931" i="11"/>
  <c r="BG932" i="11"/>
  <c r="BL932" i="11"/>
  <c r="BN932" i="11"/>
  <c r="BG933" i="11"/>
  <c r="BL933" i="11"/>
  <c r="BG934" i="11"/>
  <c r="BI934" i="11"/>
  <c r="BL934" i="11"/>
  <c r="BG935" i="11"/>
  <c r="BL935" i="11"/>
  <c r="BN935" i="11"/>
  <c r="BG936" i="11"/>
  <c r="BL936" i="11"/>
  <c r="BG937" i="11"/>
  <c r="BI937" i="11"/>
  <c r="BL937" i="11"/>
  <c r="BG938" i="11"/>
  <c r="BL938" i="11"/>
  <c r="BN938" i="11"/>
  <c r="BG939" i="11"/>
  <c r="BL939" i="11"/>
  <c r="BG940" i="11"/>
  <c r="BI940" i="11"/>
  <c r="BL940" i="11"/>
  <c r="BG941" i="11"/>
  <c r="BL941" i="11"/>
  <c r="BN941" i="11"/>
  <c r="BG942" i="11"/>
  <c r="BL942" i="11"/>
  <c r="BG943" i="11"/>
  <c r="BI943" i="11"/>
  <c r="BL943" i="11"/>
  <c r="BG944" i="11"/>
  <c r="BL944" i="11"/>
  <c r="BN944" i="11"/>
  <c r="BG945" i="11"/>
  <c r="BL945" i="11"/>
  <c r="BG946" i="11"/>
  <c r="BI946" i="11"/>
  <c r="BL946" i="11"/>
  <c r="BG947" i="11"/>
  <c r="BL947" i="11"/>
  <c r="BN947" i="11"/>
  <c r="BG948" i="11"/>
  <c r="BL948" i="11"/>
  <c r="BG949" i="11"/>
  <c r="BI949" i="11"/>
  <c r="BL949" i="11"/>
  <c r="BG950" i="11"/>
  <c r="BL950" i="11"/>
  <c r="BN950" i="11"/>
  <c r="BG951" i="11"/>
  <c r="BL951" i="11"/>
  <c r="BG952" i="11"/>
  <c r="BI952" i="11"/>
  <c r="BL952" i="11"/>
  <c r="BG953" i="11"/>
  <c r="BL953" i="11"/>
  <c r="BN953" i="11"/>
  <c r="BG954" i="11"/>
  <c r="BL954" i="11"/>
  <c r="BG955" i="11"/>
  <c r="BI955" i="11"/>
  <c r="BL955" i="11"/>
  <c r="BG956" i="11"/>
  <c r="BL956" i="11"/>
  <c r="BN956" i="11"/>
  <c r="BG957" i="11"/>
  <c r="BL957" i="11"/>
  <c r="BG958" i="11"/>
  <c r="BI958" i="11"/>
  <c r="BL958" i="11"/>
  <c r="BG959" i="11"/>
  <c r="BL959" i="11"/>
  <c r="BN959" i="11"/>
  <c r="BG960" i="11"/>
  <c r="BL960" i="11"/>
  <c r="BG897" i="11"/>
  <c r="BL897" i="11"/>
  <c r="BN897" i="11"/>
  <c r="BG898" i="11"/>
  <c r="BL898" i="11"/>
  <c r="BG899" i="11"/>
  <c r="BI899" i="11"/>
  <c r="BL899" i="11"/>
  <c r="BG900" i="11"/>
  <c r="BL900" i="11"/>
  <c r="BN900" i="11"/>
  <c r="BG901" i="11"/>
  <c r="BL901" i="11"/>
  <c r="BG902" i="11"/>
  <c r="BI902" i="11"/>
  <c r="BL902" i="11"/>
  <c r="BG903" i="11"/>
  <c r="BL903" i="11"/>
  <c r="BN903" i="11"/>
  <c r="BG904" i="11"/>
  <c r="BL904" i="11"/>
  <c r="BG905" i="11"/>
  <c r="BI905" i="11"/>
  <c r="BL905" i="11"/>
  <c r="BG906" i="11"/>
  <c r="BL906" i="11"/>
  <c r="BN906" i="11"/>
  <c r="BG907" i="11"/>
  <c r="BL907" i="11"/>
  <c r="BG908" i="11"/>
  <c r="BI908" i="11"/>
  <c r="BL908" i="11"/>
  <c r="BG909" i="11"/>
  <c r="BL909" i="11"/>
  <c r="BN909" i="11"/>
  <c r="BG910" i="11"/>
  <c r="BL910" i="11"/>
  <c r="BG911" i="11"/>
  <c r="BI911" i="11"/>
  <c r="BL911" i="11"/>
  <c r="BG912" i="11"/>
  <c r="BL912" i="11"/>
  <c r="BN912" i="11"/>
  <c r="BG913" i="11"/>
  <c r="BL913" i="11"/>
  <c r="BG914" i="11"/>
  <c r="BI914" i="11"/>
  <c r="BL914" i="11"/>
  <c r="BG915" i="11"/>
  <c r="BL915" i="11"/>
  <c r="BN915" i="11"/>
  <c r="BG916" i="11"/>
  <c r="BL916" i="11"/>
  <c r="BG917" i="11"/>
  <c r="BI917" i="11"/>
  <c r="BL917" i="11"/>
  <c r="BG918" i="11"/>
  <c r="BL918" i="11"/>
  <c r="BN918" i="11"/>
  <c r="BG919" i="11"/>
  <c r="BL919" i="11"/>
  <c r="BG920" i="11"/>
  <c r="BI920" i="11"/>
  <c r="BL920" i="11"/>
  <c r="BG921" i="11"/>
  <c r="BL921" i="11"/>
  <c r="BN921" i="11"/>
  <c r="BG922" i="11"/>
  <c r="BL922" i="11"/>
  <c r="BG923" i="11"/>
  <c r="BI923" i="11"/>
  <c r="BL923" i="11"/>
  <c r="BG924" i="11"/>
  <c r="BL924" i="11"/>
  <c r="BN924" i="11"/>
  <c r="BG925" i="11"/>
  <c r="BL925" i="11"/>
  <c r="BG926" i="11"/>
  <c r="BI926" i="11"/>
  <c r="BL926" i="11"/>
  <c r="BG927" i="11"/>
  <c r="BL927" i="11"/>
  <c r="BN927" i="11"/>
  <c r="BG928" i="11"/>
  <c r="BL928" i="11"/>
  <c r="BG865" i="11"/>
  <c r="BL865" i="11"/>
  <c r="BN865" i="11"/>
  <c r="BG866" i="11"/>
  <c r="BL866" i="11"/>
  <c r="BG867" i="11"/>
  <c r="BI867" i="11"/>
  <c r="BL867" i="11"/>
  <c r="BG868" i="11"/>
  <c r="BL868" i="11"/>
  <c r="BN868" i="11"/>
  <c r="BG869" i="11"/>
  <c r="BL869" i="11"/>
  <c r="BG870" i="11"/>
  <c r="BI870" i="11"/>
  <c r="BL870" i="11"/>
  <c r="BG871" i="11"/>
  <c r="BL871" i="11"/>
  <c r="BN871" i="11"/>
  <c r="BG872" i="11"/>
  <c r="BL872" i="11"/>
  <c r="BG873" i="11"/>
  <c r="BI873" i="11"/>
  <c r="BL873" i="11"/>
  <c r="BG874" i="11"/>
  <c r="BL874" i="11"/>
  <c r="BN874" i="11"/>
  <c r="BG875" i="11"/>
  <c r="BL875" i="11"/>
  <c r="BG876" i="11"/>
  <c r="BI876" i="11"/>
  <c r="BL876" i="11"/>
  <c r="BG877" i="11"/>
  <c r="BL877" i="11"/>
  <c r="BN877" i="11"/>
  <c r="BG878" i="11"/>
  <c r="BL878" i="11"/>
  <c r="BG879" i="11"/>
  <c r="BI879" i="11"/>
  <c r="BL879" i="11"/>
  <c r="BG880" i="11"/>
  <c r="BL880" i="11"/>
  <c r="BN880" i="11"/>
  <c r="BG881" i="11"/>
  <c r="BL881" i="11"/>
  <c r="BG882" i="11"/>
  <c r="BI882" i="11"/>
  <c r="BL882" i="11"/>
  <c r="BG883" i="11"/>
  <c r="BL883" i="11"/>
  <c r="BN883" i="11"/>
  <c r="BG884" i="11"/>
  <c r="BL884" i="11"/>
  <c r="BG885" i="11"/>
  <c r="BI885" i="11"/>
  <c r="BL885" i="11"/>
  <c r="BG886" i="11"/>
  <c r="BL886" i="11"/>
  <c r="BN886" i="11"/>
  <c r="BG887" i="11"/>
  <c r="BL887" i="11"/>
  <c r="BG888" i="11"/>
  <c r="BI888" i="11"/>
  <c r="BL888" i="11"/>
  <c r="BG889" i="11"/>
  <c r="BL889" i="11"/>
  <c r="BN889" i="11"/>
  <c r="BG890" i="11"/>
  <c r="BL890" i="11"/>
  <c r="BG891" i="11"/>
  <c r="BI891" i="11"/>
  <c r="BL891" i="11"/>
  <c r="BG892" i="11"/>
  <c r="BL892" i="11"/>
  <c r="BN892" i="11"/>
  <c r="BG893" i="11"/>
  <c r="BL893" i="11"/>
  <c r="BG894" i="11"/>
  <c r="BI894" i="11"/>
  <c r="BL894" i="11"/>
  <c r="BG895" i="11"/>
  <c r="BL895" i="11"/>
  <c r="BN895" i="11"/>
  <c r="BG896" i="11"/>
  <c r="BL896" i="11"/>
  <c r="BG833" i="11"/>
  <c r="BL833" i="11"/>
  <c r="BN833" i="11"/>
  <c r="BG834" i="11"/>
  <c r="BL834" i="11"/>
  <c r="BG835" i="11"/>
  <c r="BI835" i="11"/>
  <c r="BL835" i="11"/>
  <c r="BG836" i="11"/>
  <c r="BL836" i="11"/>
  <c r="BN836" i="11"/>
  <c r="BG837" i="11"/>
  <c r="BL837" i="11"/>
  <c r="BG838" i="11"/>
  <c r="BI838" i="11"/>
  <c r="BL838" i="11"/>
  <c r="BG839" i="11"/>
  <c r="BL839" i="11"/>
  <c r="BN839" i="11"/>
  <c r="BG840" i="11"/>
  <c r="BL840" i="11"/>
  <c r="BG841" i="11"/>
  <c r="BI841" i="11"/>
  <c r="BL841" i="11"/>
  <c r="BG842" i="11"/>
  <c r="BL842" i="11"/>
  <c r="BN842" i="11"/>
  <c r="BG843" i="11"/>
  <c r="BL843" i="11"/>
  <c r="BG844" i="11"/>
  <c r="BI844" i="11"/>
  <c r="BL844" i="11"/>
  <c r="BG845" i="11"/>
  <c r="BL845" i="11"/>
  <c r="BN845" i="11"/>
  <c r="BG846" i="11"/>
  <c r="BL846" i="11"/>
  <c r="BG847" i="11"/>
  <c r="BI847" i="11"/>
  <c r="BL847" i="11"/>
  <c r="BG848" i="11"/>
  <c r="BL848" i="11"/>
  <c r="BN848" i="11"/>
  <c r="BG849" i="11"/>
  <c r="BL849" i="11"/>
  <c r="BG850" i="11"/>
  <c r="BI850" i="11"/>
  <c r="BL850" i="11"/>
  <c r="BG851" i="11"/>
  <c r="BL851" i="11"/>
  <c r="BN851" i="11"/>
  <c r="BG852" i="11"/>
  <c r="BL852" i="11"/>
  <c r="BG853" i="11"/>
  <c r="BI853" i="11"/>
  <c r="BL853" i="11"/>
  <c r="BG854" i="11"/>
  <c r="BL854" i="11"/>
  <c r="BN854" i="11"/>
  <c r="BG855" i="11"/>
  <c r="BL855" i="11"/>
  <c r="BG856" i="11"/>
  <c r="BI856" i="11"/>
  <c r="BL856" i="11"/>
  <c r="BG857" i="11"/>
  <c r="BL857" i="11"/>
  <c r="BN857" i="11"/>
  <c r="BG858" i="11"/>
  <c r="BL858" i="11"/>
  <c r="BG859" i="11"/>
  <c r="BI859" i="11"/>
  <c r="BL859" i="11"/>
  <c r="BG860" i="11"/>
  <c r="BL860" i="11"/>
  <c r="BN860" i="11"/>
  <c r="BG861" i="11"/>
  <c r="BL861" i="11"/>
  <c r="BG862" i="11"/>
  <c r="BI862" i="11"/>
  <c r="BL862" i="11"/>
  <c r="BG863" i="11"/>
  <c r="BL863" i="11"/>
  <c r="BN863" i="11"/>
  <c r="BG864" i="11"/>
  <c r="BL864" i="11"/>
  <c r="BG801" i="11"/>
  <c r="BL801" i="11"/>
  <c r="BN801" i="11"/>
  <c r="BG802" i="11"/>
  <c r="BL802" i="11"/>
  <c r="BG803" i="11"/>
  <c r="BI803" i="11"/>
  <c r="BL803" i="11"/>
  <c r="BG804" i="11"/>
  <c r="BL804" i="11"/>
  <c r="BN804" i="11"/>
  <c r="BG805" i="11"/>
  <c r="BL805" i="11"/>
  <c r="BG806" i="11"/>
  <c r="BI806" i="11"/>
  <c r="BL806" i="11"/>
  <c r="BG807" i="11"/>
  <c r="BL807" i="11"/>
  <c r="BN807" i="11"/>
  <c r="BG808" i="11"/>
  <c r="BL808" i="11"/>
  <c r="BG809" i="11"/>
  <c r="BI809" i="11"/>
  <c r="BL809" i="11"/>
  <c r="BG810" i="11"/>
  <c r="BL810" i="11"/>
  <c r="BN810" i="11"/>
  <c r="BG811" i="11"/>
  <c r="BL811" i="11"/>
  <c r="BG812" i="11"/>
  <c r="BI812" i="11"/>
  <c r="BL812" i="11"/>
  <c r="BG813" i="11"/>
  <c r="BL813" i="11"/>
  <c r="BN813" i="11"/>
  <c r="BG814" i="11"/>
  <c r="BL814" i="11"/>
  <c r="BG815" i="11"/>
  <c r="BI815" i="11"/>
  <c r="BL815" i="11"/>
  <c r="BG816" i="11"/>
  <c r="BL816" i="11"/>
  <c r="BN816" i="11"/>
  <c r="BG817" i="11"/>
  <c r="BL817" i="11"/>
  <c r="BG818" i="11"/>
  <c r="BI818" i="11"/>
  <c r="BL818" i="11"/>
  <c r="BG819" i="11"/>
  <c r="BL819" i="11"/>
  <c r="BN819" i="11"/>
  <c r="BG820" i="11"/>
  <c r="BL820" i="11"/>
  <c r="BG821" i="11"/>
  <c r="BI821" i="11"/>
  <c r="BL821" i="11"/>
  <c r="BG822" i="11"/>
  <c r="BL822" i="11"/>
  <c r="BN822" i="11"/>
  <c r="BG823" i="11"/>
  <c r="BL823" i="11"/>
  <c r="BG824" i="11"/>
  <c r="BI824" i="11"/>
  <c r="BL824" i="11"/>
  <c r="BG825" i="11"/>
  <c r="BL825" i="11"/>
  <c r="BN825" i="11"/>
  <c r="BG826" i="11"/>
  <c r="BL826" i="11"/>
  <c r="BG827" i="11"/>
  <c r="BI827" i="11"/>
  <c r="BL827" i="11"/>
  <c r="BG828" i="11"/>
  <c r="BL828" i="11"/>
  <c r="BN828" i="11"/>
  <c r="BG829" i="11"/>
  <c r="BL829" i="11"/>
  <c r="BG830" i="11"/>
  <c r="BI830" i="11"/>
  <c r="BL830" i="11"/>
  <c r="BG831" i="11"/>
  <c r="BL831" i="11"/>
  <c r="BN831" i="11"/>
  <c r="BG832" i="11"/>
  <c r="BL832" i="11"/>
  <c r="BG769" i="11"/>
  <c r="BL769" i="11"/>
  <c r="BN769" i="11"/>
  <c r="BG770" i="11"/>
  <c r="BL770" i="11"/>
  <c r="BG771" i="11"/>
  <c r="BI771" i="11"/>
  <c r="BL771" i="11"/>
  <c r="BG772" i="11"/>
  <c r="BL772" i="11"/>
  <c r="BN772" i="11"/>
  <c r="BG773" i="11"/>
  <c r="BL773" i="11"/>
  <c r="BG774" i="11"/>
  <c r="BI774" i="11"/>
  <c r="BL774" i="11"/>
  <c r="BG775" i="11"/>
  <c r="BL775" i="11"/>
  <c r="BN775" i="11"/>
  <c r="BG776" i="11"/>
  <c r="BL776" i="11"/>
  <c r="BG777" i="11"/>
  <c r="BI777" i="11"/>
  <c r="BL777" i="11"/>
  <c r="BG778" i="11"/>
  <c r="BL778" i="11"/>
  <c r="BN778" i="11"/>
  <c r="BG779" i="11"/>
  <c r="BL779" i="11"/>
  <c r="BG780" i="11"/>
  <c r="BI780" i="11"/>
  <c r="BL780" i="11"/>
  <c r="BG781" i="11"/>
  <c r="BL781" i="11"/>
  <c r="BN781" i="11"/>
  <c r="BG782" i="11"/>
  <c r="BL782" i="11"/>
  <c r="BG783" i="11"/>
  <c r="BI783" i="11"/>
  <c r="BL783" i="11"/>
  <c r="BG784" i="11"/>
  <c r="BL784" i="11"/>
  <c r="BN784" i="11"/>
  <c r="BG785" i="11"/>
  <c r="BL785" i="11"/>
  <c r="BG786" i="11"/>
  <c r="BI786" i="11"/>
  <c r="BL786" i="11"/>
  <c r="BG787" i="11"/>
  <c r="BL787" i="11"/>
  <c r="BN787" i="11"/>
  <c r="BG788" i="11"/>
  <c r="BL788" i="11"/>
  <c r="BG789" i="11"/>
  <c r="BI789" i="11"/>
  <c r="BL789" i="11"/>
  <c r="BG790" i="11"/>
  <c r="BL790" i="11"/>
  <c r="BN790" i="11"/>
  <c r="BG791" i="11"/>
  <c r="BL791" i="11"/>
  <c r="BG792" i="11"/>
  <c r="BI792" i="11"/>
  <c r="BL792" i="11"/>
  <c r="BG793" i="11"/>
  <c r="BL793" i="11"/>
  <c r="BN793" i="11"/>
  <c r="BG794" i="11"/>
  <c r="BL794" i="11"/>
  <c r="BG795" i="11"/>
  <c r="BI795" i="11"/>
  <c r="BL795" i="11"/>
  <c r="BG796" i="11"/>
  <c r="BL796" i="11"/>
  <c r="BN796" i="11"/>
  <c r="BG797" i="11"/>
  <c r="BL797" i="11"/>
  <c r="BG798" i="11"/>
  <c r="BI798" i="11"/>
  <c r="BL798" i="11"/>
  <c r="BG799" i="11"/>
  <c r="BL799" i="11"/>
  <c r="BN799" i="11"/>
  <c r="BG800" i="11"/>
  <c r="BL800" i="11"/>
  <c r="BG737" i="11"/>
  <c r="BL737" i="11"/>
  <c r="BN737" i="11"/>
  <c r="BG738" i="11"/>
  <c r="BL738" i="11"/>
  <c r="BG739" i="11"/>
  <c r="BI739" i="11"/>
  <c r="BL739" i="11"/>
  <c r="BG740" i="11"/>
  <c r="BL740" i="11"/>
  <c r="BN740" i="11"/>
  <c r="BG741" i="11"/>
  <c r="BL741" i="11"/>
  <c r="BG742" i="11"/>
  <c r="BI742" i="11"/>
  <c r="BL742" i="11"/>
  <c r="BG743" i="11"/>
  <c r="BL743" i="11"/>
  <c r="BN743" i="11"/>
  <c r="BG744" i="11"/>
  <c r="BL744" i="11"/>
  <c r="BG745" i="11"/>
  <c r="BI745" i="11"/>
  <c r="BL745" i="11"/>
  <c r="BG746" i="11"/>
  <c r="BL746" i="11"/>
  <c r="BN746" i="11"/>
  <c r="BG747" i="11"/>
  <c r="BL747" i="11"/>
  <c r="BG748" i="11"/>
  <c r="BI748" i="11"/>
  <c r="BL748" i="11"/>
  <c r="BG749" i="11"/>
  <c r="BL749" i="11"/>
  <c r="BN749" i="11"/>
  <c r="BG750" i="11"/>
  <c r="BL750" i="11"/>
  <c r="BG751" i="11"/>
  <c r="BI751" i="11"/>
  <c r="BL751" i="11"/>
  <c r="BG752" i="11"/>
  <c r="BL752" i="11"/>
  <c r="BN752" i="11"/>
  <c r="BG753" i="11"/>
  <c r="BL753" i="11"/>
  <c r="BG754" i="11"/>
  <c r="BI754" i="11"/>
  <c r="BL754" i="11"/>
  <c r="BG755" i="11"/>
  <c r="BL755" i="11"/>
  <c r="BN755" i="11"/>
  <c r="BG756" i="11"/>
  <c r="BL756" i="11"/>
  <c r="BG757" i="11"/>
  <c r="BI757" i="11"/>
  <c r="BL757" i="11"/>
  <c r="BG758" i="11"/>
  <c r="BL758" i="11"/>
  <c r="BN758" i="11"/>
  <c r="BG759" i="11"/>
  <c r="BL759" i="11"/>
  <c r="BG760" i="11"/>
  <c r="BI760" i="11"/>
  <c r="BL760" i="11"/>
  <c r="BG761" i="11"/>
  <c r="BL761" i="11"/>
  <c r="BN761" i="11"/>
  <c r="BG762" i="11"/>
  <c r="BL762" i="11"/>
  <c r="BG763" i="11"/>
  <c r="BI763" i="11"/>
  <c r="BL763" i="11"/>
  <c r="BG764" i="11"/>
  <c r="BL764" i="11"/>
  <c r="BN764" i="11"/>
  <c r="BG765" i="11"/>
  <c r="BL765" i="11"/>
  <c r="BG766" i="11"/>
  <c r="BI766" i="11"/>
  <c r="BL766" i="11"/>
  <c r="BG767" i="11"/>
  <c r="BL767" i="11"/>
  <c r="BN767" i="11"/>
  <c r="BG768" i="11"/>
  <c r="BL768" i="11"/>
  <c r="BG705" i="11"/>
  <c r="BL705" i="11"/>
  <c r="BN705" i="11"/>
  <c r="BG706" i="11"/>
  <c r="BL706" i="11"/>
  <c r="BG707" i="11"/>
  <c r="BI707" i="11"/>
  <c r="BL707" i="11"/>
  <c r="BG708" i="11"/>
  <c r="BL708" i="11"/>
  <c r="BN708" i="11"/>
  <c r="BG709" i="11"/>
  <c r="BL709" i="11"/>
  <c r="BG710" i="11"/>
  <c r="BI710" i="11"/>
  <c r="BL710" i="11"/>
  <c r="BG711" i="11"/>
  <c r="BL711" i="11"/>
  <c r="BN711" i="11"/>
  <c r="BG712" i="11"/>
  <c r="BL712" i="11"/>
  <c r="BG713" i="11"/>
  <c r="BI713" i="11"/>
  <c r="BL713" i="11"/>
  <c r="BG714" i="11"/>
  <c r="BL714" i="11"/>
  <c r="BN714" i="11"/>
  <c r="BG715" i="11"/>
  <c r="BL715" i="11"/>
  <c r="BG716" i="11"/>
  <c r="BL716" i="11"/>
  <c r="BG717" i="11"/>
  <c r="BL717" i="11"/>
  <c r="BN717" i="11"/>
  <c r="BG718" i="11"/>
  <c r="BL718" i="11"/>
  <c r="BG719" i="11"/>
  <c r="BI719" i="11"/>
  <c r="BL719" i="11"/>
  <c r="BG720" i="11"/>
  <c r="BL720" i="11"/>
  <c r="BN720" i="11"/>
  <c r="BG721" i="11"/>
  <c r="BL721" i="11"/>
  <c r="BG722" i="11"/>
  <c r="BI722" i="11"/>
  <c r="BL722" i="11"/>
  <c r="BG723" i="11"/>
  <c r="BL723" i="11"/>
  <c r="BN723" i="11"/>
  <c r="BG724" i="11"/>
  <c r="BL724" i="11"/>
  <c r="BG725" i="11"/>
  <c r="BI725" i="11"/>
  <c r="BL725" i="11"/>
  <c r="BG726" i="11"/>
  <c r="BL726" i="11"/>
  <c r="BN726" i="11"/>
  <c r="BG727" i="11"/>
  <c r="BL727" i="11"/>
  <c r="BG728" i="11"/>
  <c r="BI728" i="11"/>
  <c r="BL728" i="11"/>
  <c r="BG729" i="11"/>
  <c r="BL729" i="11"/>
  <c r="BN729" i="11"/>
  <c r="BG730" i="11"/>
  <c r="BL730" i="11"/>
  <c r="BG731" i="11"/>
  <c r="BI731" i="11"/>
  <c r="BL731" i="11"/>
  <c r="BG732" i="11"/>
  <c r="BL732" i="11"/>
  <c r="BN732" i="11"/>
  <c r="BG733" i="11"/>
  <c r="BL733" i="11"/>
  <c r="BG734" i="11"/>
  <c r="BI734" i="11"/>
  <c r="BL734" i="11"/>
  <c r="BG735" i="11"/>
  <c r="BL735" i="11"/>
  <c r="BN735" i="11"/>
  <c r="BG736" i="11"/>
  <c r="BL736" i="11"/>
  <c r="BG673" i="11"/>
  <c r="BL673" i="11"/>
  <c r="BN673" i="11"/>
  <c r="BG674" i="11"/>
  <c r="BL674" i="11"/>
  <c r="BG675" i="11"/>
  <c r="BI675" i="11"/>
  <c r="BL675" i="11"/>
  <c r="BG676" i="11"/>
  <c r="BL676" i="11"/>
  <c r="BN676" i="11"/>
  <c r="BG677" i="11"/>
  <c r="BL677" i="11"/>
  <c r="BG678" i="11"/>
  <c r="BI678" i="11"/>
  <c r="BL678" i="11"/>
  <c r="BG679" i="11"/>
  <c r="BL679" i="11"/>
  <c r="BN679" i="11"/>
  <c r="BG680" i="11"/>
  <c r="BL680" i="11"/>
  <c r="BG681" i="11"/>
  <c r="BI681" i="11"/>
  <c r="BL681" i="11"/>
  <c r="BG682" i="11"/>
  <c r="BL682" i="11"/>
  <c r="BN682" i="11"/>
  <c r="BG683" i="11"/>
  <c r="BL683" i="11"/>
  <c r="BG684" i="11"/>
  <c r="BI684" i="11"/>
  <c r="BL684" i="11"/>
  <c r="BG685" i="11"/>
  <c r="BL685" i="11"/>
  <c r="BN685" i="11"/>
  <c r="BG686" i="11"/>
  <c r="BL686" i="11"/>
  <c r="BG687" i="11"/>
  <c r="BI687" i="11"/>
  <c r="BL687" i="11"/>
  <c r="BG688" i="11"/>
  <c r="BL688" i="11"/>
  <c r="BN688" i="11"/>
  <c r="BG689" i="11"/>
  <c r="BL689" i="11"/>
  <c r="BG690" i="11"/>
  <c r="BI690" i="11"/>
  <c r="BL690" i="11"/>
  <c r="BG691" i="11"/>
  <c r="BL691" i="11"/>
  <c r="BN691" i="11"/>
  <c r="BG692" i="11"/>
  <c r="BL692" i="11"/>
  <c r="BG693" i="11"/>
  <c r="BI693" i="11"/>
  <c r="BL693" i="11"/>
  <c r="BG694" i="11"/>
  <c r="BL694" i="11"/>
  <c r="BN694" i="11"/>
  <c r="BG695" i="11"/>
  <c r="BL695" i="11"/>
  <c r="BG696" i="11"/>
  <c r="BI696" i="11"/>
  <c r="BL696" i="11"/>
  <c r="BG697" i="11"/>
  <c r="BL697" i="11"/>
  <c r="BN697" i="11"/>
  <c r="BG698" i="11"/>
  <c r="BL698" i="11"/>
  <c r="BG699" i="11"/>
  <c r="BI699" i="11"/>
  <c r="BL699" i="11"/>
  <c r="BG700" i="11"/>
  <c r="BL700" i="11"/>
  <c r="BN700" i="11"/>
  <c r="BG701" i="11"/>
  <c r="BL701" i="11"/>
  <c r="BG702" i="11"/>
  <c r="BI702" i="11"/>
  <c r="BL702" i="11"/>
  <c r="BG703" i="11"/>
  <c r="BL703" i="11"/>
  <c r="BN703" i="11"/>
  <c r="BG704" i="11"/>
  <c r="BL704" i="11"/>
  <c r="BG641" i="11"/>
  <c r="BL641" i="11"/>
  <c r="BN641" i="11"/>
  <c r="BG642" i="11"/>
  <c r="BL642" i="11"/>
  <c r="BG643" i="11"/>
  <c r="BI643" i="11"/>
  <c r="BL643" i="11"/>
  <c r="BG644" i="11"/>
  <c r="BL644" i="11"/>
  <c r="BN644" i="11"/>
  <c r="BG645" i="11"/>
  <c r="BL645" i="11"/>
  <c r="BG646" i="11"/>
  <c r="BI646" i="11"/>
  <c r="BL646" i="11"/>
  <c r="BG647" i="11"/>
  <c r="BL647" i="11"/>
  <c r="BN647" i="11"/>
  <c r="BG648" i="11"/>
  <c r="BL648" i="11"/>
  <c r="BG649" i="11"/>
  <c r="BI649" i="11"/>
  <c r="BL649" i="11"/>
  <c r="BG650" i="11"/>
  <c r="BL650" i="11"/>
  <c r="BN650" i="11"/>
  <c r="BG651" i="11"/>
  <c r="BL651" i="11"/>
  <c r="BG652" i="11"/>
  <c r="BI652" i="11"/>
  <c r="BL652" i="11"/>
  <c r="BG653" i="11"/>
  <c r="BL653" i="11"/>
  <c r="BN653" i="11"/>
  <c r="BG654" i="11"/>
  <c r="BL654" i="11"/>
  <c r="BG655" i="11"/>
  <c r="BI655" i="11"/>
  <c r="BL655" i="11"/>
  <c r="BG656" i="11"/>
  <c r="BL656" i="11"/>
  <c r="BN656" i="11"/>
  <c r="BG657" i="11"/>
  <c r="BL657" i="11"/>
  <c r="BG658" i="11"/>
  <c r="BI658" i="11"/>
  <c r="BL658" i="11"/>
  <c r="BG659" i="11"/>
  <c r="BL659" i="11"/>
  <c r="BN659" i="11"/>
  <c r="BG660" i="11"/>
  <c r="BL660" i="11"/>
  <c r="BG661" i="11"/>
  <c r="BI661" i="11"/>
  <c r="BL661" i="11"/>
  <c r="BG662" i="11"/>
  <c r="BL662" i="11"/>
  <c r="BN662" i="11"/>
  <c r="BG663" i="11"/>
  <c r="BL663" i="11"/>
  <c r="BG664" i="11"/>
  <c r="BI664" i="11"/>
  <c r="BL664" i="11"/>
  <c r="BG665" i="11"/>
  <c r="BL665" i="11"/>
  <c r="BN665" i="11"/>
  <c r="BG666" i="11"/>
  <c r="BL666" i="11"/>
  <c r="BG667" i="11"/>
  <c r="BI667" i="11"/>
  <c r="BL667" i="11"/>
  <c r="BG668" i="11"/>
  <c r="BL668" i="11"/>
  <c r="BN668" i="11"/>
  <c r="BG669" i="11"/>
  <c r="BL669" i="11"/>
  <c r="BG670" i="11"/>
  <c r="BI670" i="11"/>
  <c r="BL670" i="11"/>
  <c r="BG671" i="11"/>
  <c r="BL671" i="11"/>
  <c r="BN671" i="11"/>
  <c r="BG672" i="11"/>
  <c r="BL672" i="11"/>
  <c r="BG609" i="11"/>
  <c r="BL609" i="11"/>
  <c r="BN609" i="11"/>
  <c r="BG610" i="11"/>
  <c r="BL610" i="11"/>
  <c r="BG611" i="11"/>
  <c r="BI611" i="11"/>
  <c r="BL611" i="11"/>
  <c r="BG612" i="11"/>
  <c r="BL612" i="11"/>
  <c r="BN612" i="11"/>
  <c r="BG613" i="11"/>
  <c r="BL613" i="11"/>
  <c r="BG614" i="11"/>
  <c r="BI614" i="11"/>
  <c r="BL614" i="11"/>
  <c r="BG615" i="11"/>
  <c r="BL615" i="11"/>
  <c r="BN615" i="11"/>
  <c r="BG616" i="11"/>
  <c r="BL616" i="11"/>
  <c r="BG617" i="11"/>
  <c r="BI617" i="11"/>
  <c r="BL617" i="11"/>
  <c r="BG618" i="11"/>
  <c r="BL618" i="11"/>
  <c r="BN618" i="11"/>
  <c r="BG619" i="11"/>
  <c r="BL619" i="11"/>
  <c r="BG620" i="11"/>
  <c r="BI620" i="11"/>
  <c r="BL620" i="11"/>
  <c r="BG621" i="11"/>
  <c r="BL621" i="11"/>
  <c r="BN621" i="11"/>
  <c r="BG622" i="11"/>
  <c r="BL622" i="11"/>
  <c r="BG623" i="11"/>
  <c r="BI623" i="11"/>
  <c r="BL623" i="11"/>
  <c r="BG624" i="11"/>
  <c r="BL624" i="11"/>
  <c r="BN624" i="11"/>
  <c r="BG625" i="11"/>
  <c r="BL625" i="11"/>
  <c r="BG626" i="11"/>
  <c r="BI626" i="11"/>
  <c r="BL626" i="11"/>
  <c r="BG627" i="11"/>
  <c r="BL627" i="11"/>
  <c r="BN627" i="11"/>
  <c r="BG628" i="11"/>
  <c r="BL628" i="11"/>
  <c r="BG629" i="11"/>
  <c r="BI629" i="11"/>
  <c r="BL629" i="11"/>
  <c r="BG630" i="11"/>
  <c r="BL630" i="11"/>
  <c r="BN630" i="11"/>
  <c r="BG631" i="11"/>
  <c r="BL631" i="11"/>
  <c r="BG632" i="11"/>
  <c r="BI632" i="11"/>
  <c r="BL632" i="11"/>
  <c r="BG633" i="11"/>
  <c r="BL633" i="11"/>
  <c r="BN633" i="11"/>
  <c r="BG634" i="11"/>
  <c r="BL634" i="11"/>
  <c r="BG635" i="11"/>
  <c r="BL635" i="11"/>
  <c r="BG636" i="11"/>
  <c r="BL636" i="11"/>
  <c r="BN636" i="11"/>
  <c r="BG637" i="11"/>
  <c r="BL637" i="11"/>
  <c r="BG638" i="11"/>
  <c r="BI638" i="11"/>
  <c r="BL638" i="11"/>
  <c r="BG639" i="11"/>
  <c r="BL639" i="11"/>
  <c r="BN639" i="11"/>
  <c r="BG640" i="11"/>
  <c r="BL640" i="11"/>
  <c r="BG577" i="11"/>
  <c r="BL577" i="11"/>
  <c r="BN577" i="11"/>
  <c r="BG578" i="11"/>
  <c r="BL578" i="11"/>
  <c r="BG579" i="11"/>
  <c r="BI579" i="11"/>
  <c r="BL579" i="11"/>
  <c r="BG580" i="11"/>
  <c r="BL580" i="11"/>
  <c r="BN580" i="11"/>
  <c r="BG581" i="11"/>
  <c r="BL581" i="11"/>
  <c r="BG582" i="11"/>
  <c r="BI582" i="11"/>
  <c r="BL582" i="11"/>
  <c r="BG583" i="11"/>
  <c r="BL583" i="11"/>
  <c r="BN583" i="11"/>
  <c r="BG584" i="11"/>
  <c r="BL584" i="11"/>
  <c r="BG585" i="11"/>
  <c r="BI585" i="11"/>
  <c r="BL585" i="11"/>
  <c r="BG586" i="11"/>
  <c r="BL586" i="11"/>
  <c r="BN586" i="11"/>
  <c r="BG587" i="11"/>
  <c r="BL587" i="11"/>
  <c r="BG588" i="11"/>
  <c r="BI588" i="11"/>
  <c r="BL588" i="11"/>
  <c r="BG589" i="11"/>
  <c r="BL589" i="11"/>
  <c r="BN589" i="11"/>
  <c r="BG590" i="11"/>
  <c r="BL590" i="11"/>
  <c r="BG591" i="11"/>
  <c r="BI591" i="11"/>
  <c r="BL591" i="11"/>
  <c r="BG592" i="11"/>
  <c r="BL592" i="11"/>
  <c r="BN592" i="11"/>
  <c r="BG593" i="11"/>
  <c r="BL593" i="11"/>
  <c r="BG594" i="11"/>
  <c r="BI594" i="11"/>
  <c r="BL594" i="11"/>
  <c r="BG595" i="11"/>
  <c r="BL595" i="11"/>
  <c r="BN595" i="11"/>
  <c r="BG596" i="11"/>
  <c r="BL596" i="11"/>
  <c r="BG597" i="11"/>
  <c r="BI597" i="11"/>
  <c r="BL597" i="11"/>
  <c r="BG598" i="11"/>
  <c r="BL598" i="11"/>
  <c r="BN598" i="11"/>
  <c r="BG599" i="11"/>
  <c r="BL599" i="11"/>
  <c r="BG600" i="11"/>
  <c r="BI600" i="11"/>
  <c r="BL600" i="11"/>
  <c r="BG601" i="11"/>
  <c r="BL601" i="11"/>
  <c r="BN601" i="11"/>
  <c r="BG602" i="11"/>
  <c r="BL602" i="11"/>
  <c r="BG603" i="11"/>
  <c r="BI603" i="11"/>
  <c r="BL603" i="11"/>
  <c r="BG604" i="11"/>
  <c r="BL604" i="11"/>
  <c r="BN604" i="11"/>
  <c r="BG605" i="11"/>
  <c r="BL605" i="11"/>
  <c r="BG606" i="11"/>
  <c r="BI606" i="11"/>
  <c r="BL606" i="11"/>
  <c r="BG607" i="11"/>
  <c r="BL607" i="11"/>
  <c r="BN607" i="11"/>
  <c r="BG608" i="11"/>
  <c r="BL608" i="11"/>
  <c r="BG545" i="11"/>
  <c r="BL545" i="11"/>
  <c r="BN545" i="11"/>
  <c r="BG546" i="11"/>
  <c r="BL546" i="11"/>
  <c r="BG547" i="11"/>
  <c r="BI547" i="11"/>
  <c r="BL547" i="11"/>
  <c r="BG548" i="11"/>
  <c r="BL548" i="11"/>
  <c r="BN548" i="11"/>
  <c r="BG549" i="11"/>
  <c r="BL549" i="11"/>
  <c r="BG550" i="11"/>
  <c r="BI550" i="11"/>
  <c r="BL550" i="11"/>
  <c r="BG551" i="11"/>
  <c r="BL551" i="11"/>
  <c r="BN551" i="11"/>
  <c r="BG552" i="11"/>
  <c r="BL552" i="11"/>
  <c r="BG553" i="11"/>
  <c r="BI553" i="11"/>
  <c r="BL553" i="11"/>
  <c r="BG554" i="11"/>
  <c r="BL554" i="11"/>
  <c r="BN554" i="11"/>
  <c r="BG555" i="11"/>
  <c r="BL555" i="11"/>
  <c r="BG556" i="11"/>
  <c r="BI556" i="11"/>
  <c r="BL556" i="11"/>
  <c r="BG557" i="11"/>
  <c r="BL557" i="11"/>
  <c r="BN557" i="11"/>
  <c r="BG558" i="11"/>
  <c r="BL558" i="11"/>
  <c r="BG559" i="11"/>
  <c r="BI559" i="11"/>
  <c r="BL559" i="11"/>
  <c r="BG560" i="11"/>
  <c r="BL560" i="11"/>
  <c r="BN560" i="11"/>
  <c r="BG561" i="11"/>
  <c r="BL561" i="11"/>
  <c r="BG562" i="11"/>
  <c r="BI562" i="11"/>
  <c r="BL562" i="11"/>
  <c r="BG563" i="11"/>
  <c r="BL563" i="11"/>
  <c r="BN563" i="11"/>
  <c r="BG564" i="11"/>
  <c r="BL564" i="11"/>
  <c r="BG565" i="11"/>
  <c r="BI565" i="11"/>
  <c r="BL565" i="11"/>
  <c r="BG566" i="11"/>
  <c r="BL566" i="11"/>
  <c r="BN566" i="11"/>
  <c r="BG567" i="11"/>
  <c r="BL567" i="11"/>
  <c r="BG568" i="11"/>
  <c r="BI568" i="11"/>
  <c r="BL568" i="11"/>
  <c r="BG569" i="11"/>
  <c r="BL569" i="11"/>
  <c r="BN569" i="11"/>
  <c r="BG570" i="11"/>
  <c r="BL570" i="11"/>
  <c r="BG571" i="11"/>
  <c r="BI571" i="11"/>
  <c r="BL571" i="11"/>
  <c r="BG572" i="11"/>
  <c r="BL572" i="11"/>
  <c r="BN572" i="11"/>
  <c r="BG573" i="11"/>
  <c r="BL573" i="11"/>
  <c r="BG574" i="11"/>
  <c r="BI574" i="11"/>
  <c r="BL574" i="11"/>
  <c r="BG575" i="11"/>
  <c r="BL575" i="11"/>
  <c r="BN575" i="11"/>
  <c r="BG576" i="11"/>
  <c r="BL576" i="11"/>
  <c r="BG513" i="11"/>
  <c r="BL513" i="11"/>
  <c r="BN513" i="11"/>
  <c r="BG514" i="11"/>
  <c r="BL514" i="11"/>
  <c r="BG515" i="11"/>
  <c r="BI515" i="11"/>
  <c r="BL515" i="11"/>
  <c r="BG516" i="11"/>
  <c r="BL516" i="11"/>
  <c r="BN516" i="11"/>
  <c r="BG517" i="11"/>
  <c r="BL517" i="11"/>
  <c r="BG518" i="11"/>
  <c r="BI518" i="11"/>
  <c r="BL518" i="11"/>
  <c r="BG519" i="11"/>
  <c r="BL519" i="11"/>
  <c r="BN519" i="11"/>
  <c r="BG520" i="11"/>
  <c r="BL520" i="11"/>
  <c r="BG521" i="11"/>
  <c r="BI521" i="11"/>
  <c r="BL521" i="11"/>
  <c r="BG522" i="11"/>
  <c r="BL522" i="11"/>
  <c r="BN522" i="11"/>
  <c r="BG523" i="11"/>
  <c r="BL523" i="11"/>
  <c r="BG524" i="11"/>
  <c r="BI524" i="11"/>
  <c r="BL524" i="11"/>
  <c r="BG525" i="11"/>
  <c r="BL525" i="11"/>
  <c r="BN525" i="11"/>
  <c r="BG526" i="11"/>
  <c r="BL526" i="11"/>
  <c r="BG527" i="11"/>
  <c r="BI527" i="11"/>
  <c r="BL527" i="11"/>
  <c r="BG528" i="11"/>
  <c r="BL528" i="11"/>
  <c r="BN528" i="11"/>
  <c r="BG529" i="11"/>
  <c r="BL529" i="11"/>
  <c r="BG530" i="11"/>
  <c r="BI530" i="11"/>
  <c r="BL530" i="11"/>
  <c r="BG531" i="11"/>
  <c r="BL531" i="11"/>
  <c r="BN531" i="11"/>
  <c r="BG532" i="11"/>
  <c r="BL532" i="11"/>
  <c r="BG533" i="11"/>
  <c r="BI533" i="11"/>
  <c r="BL533" i="11"/>
  <c r="BG534" i="11"/>
  <c r="BL534" i="11"/>
  <c r="BG535" i="11"/>
  <c r="BL535" i="11"/>
  <c r="BG536" i="11"/>
  <c r="BI536" i="11"/>
  <c r="BL536" i="11"/>
  <c r="BG537" i="11"/>
  <c r="BL537" i="11"/>
  <c r="BG538" i="11"/>
  <c r="BL538" i="11"/>
  <c r="BG539" i="11"/>
  <c r="BI539" i="11"/>
  <c r="BL539" i="11"/>
  <c r="BG540" i="11"/>
  <c r="BL540" i="11"/>
  <c r="BN540" i="11"/>
  <c r="BG541" i="11"/>
  <c r="BL541" i="11"/>
  <c r="BG542" i="11"/>
  <c r="BI542" i="11"/>
  <c r="BL542" i="11"/>
  <c r="BG543" i="11"/>
  <c r="BL543" i="11"/>
  <c r="BN543" i="11"/>
  <c r="BG544" i="11"/>
  <c r="BL544" i="11"/>
  <c r="BG481" i="11"/>
  <c r="BL481" i="11"/>
  <c r="BN481" i="11"/>
  <c r="BG482" i="11"/>
  <c r="BL482" i="11"/>
  <c r="BG483" i="11"/>
  <c r="BI483" i="11"/>
  <c r="BL483" i="11"/>
  <c r="BG484" i="11"/>
  <c r="BL484" i="11"/>
  <c r="BN484" i="11"/>
  <c r="BG485" i="11"/>
  <c r="BL485" i="11"/>
  <c r="BG486" i="11"/>
  <c r="BI486" i="11"/>
  <c r="BL486" i="11"/>
  <c r="BG487" i="11"/>
  <c r="BL487" i="11"/>
  <c r="BN487" i="11"/>
  <c r="BG488" i="11"/>
  <c r="BL488" i="11"/>
  <c r="BG489" i="11"/>
  <c r="BI489" i="11"/>
  <c r="BL489" i="11"/>
  <c r="BG490" i="11"/>
  <c r="BL490" i="11"/>
  <c r="BN490" i="11"/>
  <c r="BG491" i="11"/>
  <c r="BL491" i="11"/>
  <c r="BG492" i="11"/>
  <c r="BI492" i="11"/>
  <c r="BL492" i="11"/>
  <c r="BG493" i="11"/>
  <c r="BL493" i="11"/>
  <c r="BN493" i="11"/>
  <c r="BG494" i="11"/>
  <c r="BL494" i="11"/>
  <c r="BG495" i="11"/>
  <c r="BI495" i="11"/>
  <c r="BL495" i="11"/>
  <c r="BG496" i="11"/>
  <c r="BL496" i="11"/>
  <c r="BN496" i="11"/>
  <c r="BG497" i="11"/>
  <c r="BL497" i="11"/>
  <c r="BG498" i="11"/>
  <c r="BI498" i="11"/>
  <c r="BL498" i="11"/>
  <c r="BG499" i="11"/>
  <c r="BL499" i="11"/>
  <c r="BN499" i="11"/>
  <c r="BG500" i="11"/>
  <c r="BL500" i="11"/>
  <c r="BG501" i="11"/>
  <c r="BI501" i="11"/>
  <c r="BL501" i="11"/>
  <c r="BG502" i="11"/>
  <c r="BL502" i="11"/>
  <c r="BN502" i="11"/>
  <c r="BG503" i="11"/>
  <c r="BL503" i="11"/>
  <c r="BG504" i="11"/>
  <c r="BI504" i="11"/>
  <c r="BL504" i="11"/>
  <c r="BG505" i="11"/>
  <c r="BL505" i="11"/>
  <c r="BN505" i="11"/>
  <c r="BG506" i="11"/>
  <c r="BL506" i="11"/>
  <c r="BG507" i="11"/>
  <c r="BI507" i="11"/>
  <c r="BL507" i="11"/>
  <c r="BG508" i="11"/>
  <c r="BL508" i="11"/>
  <c r="BN508" i="11"/>
  <c r="BG509" i="11"/>
  <c r="BL509" i="11"/>
  <c r="BG510" i="11"/>
  <c r="BI510" i="11"/>
  <c r="BL510" i="11"/>
  <c r="BG511" i="11"/>
  <c r="BL511" i="11"/>
  <c r="BN511" i="11"/>
  <c r="BG512" i="11"/>
  <c r="BL512" i="11"/>
  <c r="BG449" i="11"/>
  <c r="BL449" i="11"/>
  <c r="BN449" i="11"/>
  <c r="BG450" i="11"/>
  <c r="BL450" i="11"/>
  <c r="BG451" i="11"/>
  <c r="BI451" i="11"/>
  <c r="BL451" i="11"/>
  <c r="BG452" i="11"/>
  <c r="BL452" i="11"/>
  <c r="BN452" i="11"/>
  <c r="BG453" i="11"/>
  <c r="BL453" i="11"/>
  <c r="BG454" i="11"/>
  <c r="BI454" i="11"/>
  <c r="BL454" i="11"/>
  <c r="BG455" i="11"/>
  <c r="BL455" i="11"/>
  <c r="BN455" i="11"/>
  <c r="BG456" i="11"/>
  <c r="BL456" i="11"/>
  <c r="BG457" i="11"/>
  <c r="BI457" i="11"/>
  <c r="BL457" i="11"/>
  <c r="BG458" i="11"/>
  <c r="BL458" i="11"/>
  <c r="BN458" i="11"/>
  <c r="BG459" i="11"/>
  <c r="BL459" i="11"/>
  <c r="BG460" i="11"/>
  <c r="BI460" i="11"/>
  <c r="BL460" i="11"/>
  <c r="BG461" i="11"/>
  <c r="BL461" i="11"/>
  <c r="BN461" i="11"/>
  <c r="BG462" i="11"/>
  <c r="BL462" i="11"/>
  <c r="BG463" i="11"/>
  <c r="BI463" i="11"/>
  <c r="BL463" i="11"/>
  <c r="BG464" i="11"/>
  <c r="BL464" i="11"/>
  <c r="BN464" i="11"/>
  <c r="BG465" i="11"/>
  <c r="BL465" i="11"/>
  <c r="BG466" i="11"/>
  <c r="BI466" i="11"/>
  <c r="BL466" i="11"/>
  <c r="BG467" i="11"/>
  <c r="BL467" i="11"/>
  <c r="BN467" i="11"/>
  <c r="BG468" i="11"/>
  <c r="BL468" i="11"/>
  <c r="BG469" i="11"/>
  <c r="BI469" i="11"/>
  <c r="BL469" i="11"/>
  <c r="BG470" i="11"/>
  <c r="BL470" i="11"/>
  <c r="BN470" i="11"/>
  <c r="BG471" i="11"/>
  <c r="BL471" i="11"/>
  <c r="BG472" i="11"/>
  <c r="BI472" i="11"/>
  <c r="BL472" i="11"/>
  <c r="BG473" i="11"/>
  <c r="BL473" i="11"/>
  <c r="BN473" i="11"/>
  <c r="BG474" i="11"/>
  <c r="BL474" i="11"/>
  <c r="BG475" i="11"/>
  <c r="BI475" i="11"/>
  <c r="BL475" i="11"/>
  <c r="BG476" i="11"/>
  <c r="BL476" i="11"/>
  <c r="BN476" i="11"/>
  <c r="BG477" i="11"/>
  <c r="BL477" i="11"/>
  <c r="BG478" i="11"/>
  <c r="BI478" i="11"/>
  <c r="BL478" i="11"/>
  <c r="BG479" i="11"/>
  <c r="BL479" i="11"/>
  <c r="BN479" i="11"/>
  <c r="BG480" i="11"/>
  <c r="BL480" i="11"/>
  <c r="BG417" i="11"/>
  <c r="BL417" i="11"/>
  <c r="BN417" i="11"/>
  <c r="BG418" i="11"/>
  <c r="BL418" i="11"/>
  <c r="BG419" i="11"/>
  <c r="BI419" i="11"/>
  <c r="BL419" i="11"/>
  <c r="BG420" i="11"/>
  <c r="BL420" i="11"/>
  <c r="BN420" i="11"/>
  <c r="BG421" i="11"/>
  <c r="BL421" i="11"/>
  <c r="BG422" i="11"/>
  <c r="BI422" i="11"/>
  <c r="BL422" i="11"/>
  <c r="BG423" i="11"/>
  <c r="BL423" i="11"/>
  <c r="BN423" i="11"/>
  <c r="BG424" i="11"/>
  <c r="BL424" i="11"/>
  <c r="BG425" i="11"/>
  <c r="BI425" i="11"/>
  <c r="BL425" i="11"/>
  <c r="BG426" i="11"/>
  <c r="BL426" i="11"/>
  <c r="BN426" i="11"/>
  <c r="BG427" i="11"/>
  <c r="BL427" i="11"/>
  <c r="BG428" i="11"/>
  <c r="BI428" i="11"/>
  <c r="BL428" i="11"/>
  <c r="BG429" i="11"/>
  <c r="BL429" i="11"/>
  <c r="BN429" i="11"/>
  <c r="BG430" i="11"/>
  <c r="BL430" i="11"/>
  <c r="BG431" i="11"/>
  <c r="BI431" i="11"/>
  <c r="BL431" i="11"/>
  <c r="BG432" i="11"/>
  <c r="BL432" i="11"/>
  <c r="BN432" i="11"/>
  <c r="BG433" i="11"/>
  <c r="BL433" i="11"/>
  <c r="BG434" i="11"/>
  <c r="BI434" i="11"/>
  <c r="BL434" i="11"/>
  <c r="BG435" i="11"/>
  <c r="BL435" i="11"/>
  <c r="BN435" i="11"/>
  <c r="BG436" i="11"/>
  <c r="BL436" i="11"/>
  <c r="BG437" i="11"/>
  <c r="BI437" i="11"/>
  <c r="BL437" i="11"/>
  <c r="BG438" i="11"/>
  <c r="BL438" i="11"/>
  <c r="BN438" i="11"/>
  <c r="BG439" i="11"/>
  <c r="BL439" i="11"/>
  <c r="BG440" i="11"/>
  <c r="BI440" i="11"/>
  <c r="BL440" i="11"/>
  <c r="BG441" i="11"/>
  <c r="BL441" i="11"/>
  <c r="BN441" i="11"/>
  <c r="BG442" i="11"/>
  <c r="BL442" i="11"/>
  <c r="BG443" i="11"/>
  <c r="BI443" i="11"/>
  <c r="BL443" i="11"/>
  <c r="BG444" i="11"/>
  <c r="BL444" i="11"/>
  <c r="BN444" i="11"/>
  <c r="BG445" i="11"/>
  <c r="BL445" i="11"/>
  <c r="BG446" i="11"/>
  <c r="BI446" i="11"/>
  <c r="BL446" i="11"/>
  <c r="BG447" i="11"/>
  <c r="BL447" i="11"/>
  <c r="BN447" i="11"/>
  <c r="BG448" i="11"/>
  <c r="BL448" i="11"/>
  <c r="BG385" i="11"/>
  <c r="BL385" i="11"/>
  <c r="BN385" i="11"/>
  <c r="BG386" i="11"/>
  <c r="BL386" i="11"/>
  <c r="BG387" i="11"/>
  <c r="BI387" i="11"/>
  <c r="BL387" i="11"/>
  <c r="BG388" i="11"/>
  <c r="BL388" i="11"/>
  <c r="BN388" i="11"/>
  <c r="BG389" i="11"/>
  <c r="BL389" i="11"/>
  <c r="BG390" i="11"/>
  <c r="BI390" i="11"/>
  <c r="BL390" i="11"/>
  <c r="BG391" i="11"/>
  <c r="BL391" i="11"/>
  <c r="BN391" i="11"/>
  <c r="BG392" i="11"/>
  <c r="BL392" i="11"/>
  <c r="BG393" i="11"/>
  <c r="BI393" i="11"/>
  <c r="BL393" i="11"/>
  <c r="BG394" i="11"/>
  <c r="BL394" i="11"/>
  <c r="BN394" i="11"/>
  <c r="BG395" i="11"/>
  <c r="BL395" i="11"/>
  <c r="BG396" i="11"/>
  <c r="BI396" i="11"/>
  <c r="BL396" i="11"/>
  <c r="BG397" i="11"/>
  <c r="BL397" i="11"/>
  <c r="BN397" i="11"/>
  <c r="BG398" i="11"/>
  <c r="BL398" i="11"/>
  <c r="BG399" i="11"/>
  <c r="BI399" i="11"/>
  <c r="BL399" i="11"/>
  <c r="BG400" i="11"/>
  <c r="BL400" i="11"/>
  <c r="BN400" i="11"/>
  <c r="BG401" i="11"/>
  <c r="BL401" i="11"/>
  <c r="BG402" i="11"/>
  <c r="BI402" i="11"/>
  <c r="BL402" i="11"/>
  <c r="BG403" i="11"/>
  <c r="BL403" i="11"/>
  <c r="BN403" i="11"/>
  <c r="BG404" i="11"/>
  <c r="BL404" i="11"/>
  <c r="BG405" i="11"/>
  <c r="BI405" i="11"/>
  <c r="BL405" i="11"/>
  <c r="BG406" i="11"/>
  <c r="BL406" i="11"/>
  <c r="BN406" i="11"/>
  <c r="BG407" i="11"/>
  <c r="BL407" i="11"/>
  <c r="BG408" i="11"/>
  <c r="BI408" i="11"/>
  <c r="BL408" i="11"/>
  <c r="BG409" i="11"/>
  <c r="BL409" i="11"/>
  <c r="BN409" i="11"/>
  <c r="BG410" i="11"/>
  <c r="BL410" i="11"/>
  <c r="BG411" i="11"/>
  <c r="BI411" i="11"/>
  <c r="BL411" i="11"/>
  <c r="BG412" i="11"/>
  <c r="BL412" i="11"/>
  <c r="BN412" i="11"/>
  <c r="BG413" i="11"/>
  <c r="BL413" i="11"/>
  <c r="BG414" i="11"/>
  <c r="BI414" i="11"/>
  <c r="BL414" i="11"/>
  <c r="BG415" i="11"/>
  <c r="BL415" i="11"/>
  <c r="BN415" i="11"/>
  <c r="BG416" i="11"/>
  <c r="BL416" i="11"/>
  <c r="BG353" i="11"/>
  <c r="BL353" i="11"/>
  <c r="BN353" i="11"/>
  <c r="BG354" i="11"/>
  <c r="BL354" i="11"/>
  <c r="BG355" i="11"/>
  <c r="BI355" i="11"/>
  <c r="BL355" i="11"/>
  <c r="BG356" i="11"/>
  <c r="BL356" i="11"/>
  <c r="BN356" i="11"/>
  <c r="BG357" i="11"/>
  <c r="BL357" i="11"/>
  <c r="BG358" i="11"/>
  <c r="BI358" i="11"/>
  <c r="BL358" i="11"/>
  <c r="BG359" i="11"/>
  <c r="BL359" i="11"/>
  <c r="BN359" i="11"/>
  <c r="BG360" i="11"/>
  <c r="BL360" i="11"/>
  <c r="BG361" i="11"/>
  <c r="BI361" i="11"/>
  <c r="BL361" i="11"/>
  <c r="BG362" i="11"/>
  <c r="BL362" i="11"/>
  <c r="BN362" i="11"/>
  <c r="BG363" i="11"/>
  <c r="BL363" i="11"/>
  <c r="BG364" i="11"/>
  <c r="BI364" i="11"/>
  <c r="BL364" i="11"/>
  <c r="BG365" i="11"/>
  <c r="BL365" i="11"/>
  <c r="BN365" i="11"/>
  <c r="BG366" i="11"/>
  <c r="BL366" i="11"/>
  <c r="BG367" i="11"/>
  <c r="BI367" i="11"/>
  <c r="BL367" i="11"/>
  <c r="BG368" i="11"/>
  <c r="BL368" i="11"/>
  <c r="BN368" i="11"/>
  <c r="BG369" i="11"/>
  <c r="BL369" i="11"/>
  <c r="BG370" i="11"/>
  <c r="BI370" i="11"/>
  <c r="BL370" i="11"/>
  <c r="BG371" i="11"/>
  <c r="BL371" i="11"/>
  <c r="BN371" i="11"/>
  <c r="BG372" i="11"/>
  <c r="BL372" i="11"/>
  <c r="BG373" i="11"/>
  <c r="BI373" i="11"/>
  <c r="BL373" i="11"/>
  <c r="BG374" i="11"/>
  <c r="BL374" i="11"/>
  <c r="BN374" i="11"/>
  <c r="BG375" i="11"/>
  <c r="BL375" i="11"/>
  <c r="BG376" i="11"/>
  <c r="BI376" i="11"/>
  <c r="BL376" i="11"/>
  <c r="BG377" i="11"/>
  <c r="BL377" i="11"/>
  <c r="BN377" i="11"/>
  <c r="BG378" i="11"/>
  <c r="BL378" i="11"/>
  <c r="BG379" i="11"/>
  <c r="BI379" i="11"/>
  <c r="BL379" i="11"/>
  <c r="BG380" i="11"/>
  <c r="BL380" i="11"/>
  <c r="BN380" i="11"/>
  <c r="BG381" i="11"/>
  <c r="BL381" i="11"/>
  <c r="BG382" i="11"/>
  <c r="BI382" i="11"/>
  <c r="BL382" i="11"/>
  <c r="BG383" i="11"/>
  <c r="BL383" i="11"/>
  <c r="BN383" i="11"/>
  <c r="BG384" i="11"/>
  <c r="BL384" i="11"/>
  <c r="BG321" i="11"/>
  <c r="BL321" i="11"/>
  <c r="BN321" i="11"/>
  <c r="BG322" i="11"/>
  <c r="BL322" i="11"/>
  <c r="BG323" i="11"/>
  <c r="BI323" i="11"/>
  <c r="BL323" i="11"/>
  <c r="BG324" i="11"/>
  <c r="BL324" i="11"/>
  <c r="BN324" i="11"/>
  <c r="BG325" i="11"/>
  <c r="BL325" i="11"/>
  <c r="BG326" i="11"/>
  <c r="BI326" i="11"/>
  <c r="BL326" i="11"/>
  <c r="BG327" i="11"/>
  <c r="BL327" i="11"/>
  <c r="BN327" i="11"/>
  <c r="BG328" i="11"/>
  <c r="BL328" i="11"/>
  <c r="BG329" i="11"/>
  <c r="BI329" i="11"/>
  <c r="BL329" i="11"/>
  <c r="BG330" i="11"/>
  <c r="BL330" i="11"/>
  <c r="BN330" i="11"/>
  <c r="BG331" i="11"/>
  <c r="BL331" i="11"/>
  <c r="BG332" i="11"/>
  <c r="BI332" i="11"/>
  <c r="BL332" i="11"/>
  <c r="BG333" i="11"/>
  <c r="BL333" i="11"/>
  <c r="BN333" i="11"/>
  <c r="BG334" i="11"/>
  <c r="BL334" i="11"/>
  <c r="BG335" i="11"/>
  <c r="BI335" i="11"/>
  <c r="BL335" i="11"/>
  <c r="BG336" i="11"/>
  <c r="BL336" i="11"/>
  <c r="BN336" i="11"/>
  <c r="BG337" i="11"/>
  <c r="BL337" i="11"/>
  <c r="BG338" i="11"/>
  <c r="BI338" i="11"/>
  <c r="BL338" i="11"/>
  <c r="BG339" i="11"/>
  <c r="BL339" i="11"/>
  <c r="BN339" i="11"/>
  <c r="BG340" i="11"/>
  <c r="BL340" i="11"/>
  <c r="BG341" i="11"/>
  <c r="BI341" i="11"/>
  <c r="BL341" i="11"/>
  <c r="BG342" i="11"/>
  <c r="BL342" i="11"/>
  <c r="BN342" i="11"/>
  <c r="BG343" i="11"/>
  <c r="BL343" i="11"/>
  <c r="BG344" i="11"/>
  <c r="BI344" i="11"/>
  <c r="BL344" i="11"/>
  <c r="BG345" i="11"/>
  <c r="BL345" i="11"/>
  <c r="BN345" i="11"/>
  <c r="BG346" i="11"/>
  <c r="BL346" i="11"/>
  <c r="BG347" i="11"/>
  <c r="BI347" i="11"/>
  <c r="BL347" i="11"/>
  <c r="BG348" i="11"/>
  <c r="BL348" i="11"/>
  <c r="BN348" i="11"/>
  <c r="BG349" i="11"/>
  <c r="BL349" i="11"/>
  <c r="BG350" i="11"/>
  <c r="BI350" i="11"/>
  <c r="BL350" i="11"/>
  <c r="BG351" i="11"/>
  <c r="BL351" i="11"/>
  <c r="BN351" i="11"/>
  <c r="BG352" i="11"/>
  <c r="BL352" i="11"/>
  <c r="BG289" i="11"/>
  <c r="BL289" i="11"/>
  <c r="BN289" i="11"/>
  <c r="BG290" i="11"/>
  <c r="BL290" i="11"/>
  <c r="BG291" i="11"/>
  <c r="BI291" i="11"/>
  <c r="BL291" i="11"/>
  <c r="BG292" i="11"/>
  <c r="BL292" i="11"/>
  <c r="BN292" i="11"/>
  <c r="BG293" i="11"/>
  <c r="BL293" i="11"/>
  <c r="BG294" i="11"/>
  <c r="BI294" i="11"/>
  <c r="BL294" i="11"/>
  <c r="BG295" i="11"/>
  <c r="BL295" i="11"/>
  <c r="BN295" i="11"/>
  <c r="BG296" i="11"/>
  <c r="BL296" i="11"/>
  <c r="BG297" i="11"/>
  <c r="BI297" i="11"/>
  <c r="BL297" i="11"/>
  <c r="BG298" i="11"/>
  <c r="BL298" i="11"/>
  <c r="BN298" i="11"/>
  <c r="BG299" i="11"/>
  <c r="BL299" i="11"/>
  <c r="BG300" i="11"/>
  <c r="BI300" i="11"/>
  <c r="BL300" i="11"/>
  <c r="BG301" i="11"/>
  <c r="BL301" i="11"/>
  <c r="BN301" i="11"/>
  <c r="BG302" i="11"/>
  <c r="BL302" i="11"/>
  <c r="BG303" i="11"/>
  <c r="BI303" i="11"/>
  <c r="BL303" i="11"/>
  <c r="BG304" i="11"/>
  <c r="BL304" i="11"/>
  <c r="BN304" i="11"/>
  <c r="BG305" i="11"/>
  <c r="BL305" i="11"/>
  <c r="BG306" i="11"/>
  <c r="BI306" i="11"/>
  <c r="BL306" i="11"/>
  <c r="BG307" i="11"/>
  <c r="BL307" i="11"/>
  <c r="BN307" i="11"/>
  <c r="BG308" i="11"/>
  <c r="BL308" i="11"/>
  <c r="BG309" i="11"/>
  <c r="BI309" i="11"/>
  <c r="BL309" i="11"/>
  <c r="BG310" i="11"/>
  <c r="BL310" i="11"/>
  <c r="BN310" i="11"/>
  <c r="BG311" i="11"/>
  <c r="BL311" i="11"/>
  <c r="BG312" i="11"/>
  <c r="BI312" i="11"/>
  <c r="BL312" i="11"/>
  <c r="BG313" i="11"/>
  <c r="BL313" i="11"/>
  <c r="BN313" i="11"/>
  <c r="BG314" i="11"/>
  <c r="BL314" i="11"/>
  <c r="BG315" i="11"/>
  <c r="BI315" i="11"/>
  <c r="BL315" i="11"/>
  <c r="BG316" i="11"/>
  <c r="BL316" i="11"/>
  <c r="BN316" i="11"/>
  <c r="BG317" i="11"/>
  <c r="BL317" i="11"/>
  <c r="BG318" i="11"/>
  <c r="BI318" i="11"/>
  <c r="BL318" i="11"/>
  <c r="BG319" i="11"/>
  <c r="BL319" i="11"/>
  <c r="BN319" i="11"/>
  <c r="BG320" i="11"/>
  <c r="BL320" i="11"/>
  <c r="BG257" i="11"/>
  <c r="BL257" i="11"/>
  <c r="BN257" i="11"/>
  <c r="BG258" i="11"/>
  <c r="BL258" i="11"/>
  <c r="BG259" i="11"/>
  <c r="BI259" i="11"/>
  <c r="BL259" i="11"/>
  <c r="BG260" i="11"/>
  <c r="BL260" i="11"/>
  <c r="BN260" i="11"/>
  <c r="BG261" i="11"/>
  <c r="BL261" i="11"/>
  <c r="BG262" i="11"/>
  <c r="BI262" i="11"/>
  <c r="BL262" i="11"/>
  <c r="BG263" i="11"/>
  <c r="BL263" i="11"/>
  <c r="BN263" i="11"/>
  <c r="BG264" i="11"/>
  <c r="BL264" i="11"/>
  <c r="BG265" i="11"/>
  <c r="BI265" i="11"/>
  <c r="BL265" i="11"/>
  <c r="BG266" i="11"/>
  <c r="BL266" i="11"/>
  <c r="BN266" i="11"/>
  <c r="BG267" i="11"/>
  <c r="BL267" i="11"/>
  <c r="BG268" i="11"/>
  <c r="BI268" i="11"/>
  <c r="BL268" i="11"/>
  <c r="BG269" i="11"/>
  <c r="BL269" i="11"/>
  <c r="BN269" i="11"/>
  <c r="BG270" i="11"/>
  <c r="BL270" i="11"/>
  <c r="BG271" i="11"/>
  <c r="BI271" i="11"/>
  <c r="BL271" i="11"/>
  <c r="BG272" i="11"/>
  <c r="BL272" i="11"/>
  <c r="BN272" i="11"/>
  <c r="BG273" i="11"/>
  <c r="BL273" i="11"/>
  <c r="BG274" i="11"/>
  <c r="BI274" i="11"/>
  <c r="BL274" i="11"/>
  <c r="BG275" i="11"/>
  <c r="BL275" i="11"/>
  <c r="BN275" i="11"/>
  <c r="BG276" i="11"/>
  <c r="BL276" i="11"/>
  <c r="BG277" i="11"/>
  <c r="BI277" i="11"/>
  <c r="BL277" i="11"/>
  <c r="BG278" i="11"/>
  <c r="BL278" i="11"/>
  <c r="BN278" i="11"/>
  <c r="BG279" i="11"/>
  <c r="BL279" i="11"/>
  <c r="BG280" i="11"/>
  <c r="BI280" i="11"/>
  <c r="BL280" i="11"/>
  <c r="BG281" i="11"/>
  <c r="BL281" i="11"/>
  <c r="BN281" i="11"/>
  <c r="BG282" i="11"/>
  <c r="BL282" i="11"/>
  <c r="BG283" i="11"/>
  <c r="BI283" i="11"/>
  <c r="BL283" i="11"/>
  <c r="BG284" i="11"/>
  <c r="BL284" i="11"/>
  <c r="BN284" i="11"/>
  <c r="BG285" i="11"/>
  <c r="BL285" i="11"/>
  <c r="BG286" i="11"/>
  <c r="BI286" i="11"/>
  <c r="BL286" i="11"/>
  <c r="BG287" i="11"/>
  <c r="BL287" i="11"/>
  <c r="BN287" i="11"/>
  <c r="BG288" i="11"/>
  <c r="BL288" i="11"/>
  <c r="BG225" i="11"/>
  <c r="BL225" i="11"/>
  <c r="BN225" i="11"/>
  <c r="BG226" i="11"/>
  <c r="BL226" i="11"/>
  <c r="BG227" i="11"/>
  <c r="BI227" i="11"/>
  <c r="BL227" i="11"/>
  <c r="BG228" i="11"/>
  <c r="BL228" i="11"/>
  <c r="BN228" i="11"/>
  <c r="BG229" i="11"/>
  <c r="BL229" i="11"/>
  <c r="BG230" i="11"/>
  <c r="BI230" i="11"/>
  <c r="BL230" i="11"/>
  <c r="BG231" i="11"/>
  <c r="BL231" i="11"/>
  <c r="BN231" i="11"/>
  <c r="BG232" i="11"/>
  <c r="BL232" i="11"/>
  <c r="BG233" i="11"/>
  <c r="BI233" i="11"/>
  <c r="BL233" i="11"/>
  <c r="BG234" i="11"/>
  <c r="BL234" i="11"/>
  <c r="BN234" i="11"/>
  <c r="BG235" i="11"/>
  <c r="BL235" i="11"/>
  <c r="BG236" i="11"/>
  <c r="BI236" i="11"/>
  <c r="BL236" i="11"/>
  <c r="BG237" i="11"/>
  <c r="BL237" i="11"/>
  <c r="BN237" i="11"/>
  <c r="BG238" i="11"/>
  <c r="BL238" i="11"/>
  <c r="BG239" i="11"/>
  <c r="BI239" i="11"/>
  <c r="BL239" i="11"/>
  <c r="BG240" i="11"/>
  <c r="BL240" i="11"/>
  <c r="BN240" i="11"/>
  <c r="BG241" i="11"/>
  <c r="BL241" i="11"/>
  <c r="BG242" i="11"/>
  <c r="BI242" i="11"/>
  <c r="BL242" i="11"/>
  <c r="BG243" i="11"/>
  <c r="BL243" i="11"/>
  <c r="BN243" i="11"/>
  <c r="BG244" i="11"/>
  <c r="BL244" i="11"/>
  <c r="BG245" i="11"/>
  <c r="BI245" i="11"/>
  <c r="BL245" i="11"/>
  <c r="BG246" i="11"/>
  <c r="BL246" i="11"/>
  <c r="BN246" i="11"/>
  <c r="BG247" i="11"/>
  <c r="BL247" i="11"/>
  <c r="BG248" i="11"/>
  <c r="BI248" i="11"/>
  <c r="BL248" i="11"/>
  <c r="BG249" i="11"/>
  <c r="BL249" i="11"/>
  <c r="BN249" i="11"/>
  <c r="BG250" i="11"/>
  <c r="BL250" i="11"/>
  <c r="BG251" i="11"/>
  <c r="BI251" i="11"/>
  <c r="BL251" i="11"/>
  <c r="BG252" i="11"/>
  <c r="BL252" i="11"/>
  <c r="BN252" i="11"/>
  <c r="BG253" i="11"/>
  <c r="BL253" i="11"/>
  <c r="BG254" i="11"/>
  <c r="BI254" i="11"/>
  <c r="BL254" i="11"/>
  <c r="BG255" i="11"/>
  <c r="BL255" i="11"/>
  <c r="BN255" i="11"/>
  <c r="BG256" i="11"/>
  <c r="BL256" i="11"/>
  <c r="BG193" i="11"/>
  <c r="BL193" i="11"/>
  <c r="BN193" i="11"/>
  <c r="BG194" i="11"/>
  <c r="BL194" i="11"/>
  <c r="BG195" i="11"/>
  <c r="BI195" i="11"/>
  <c r="BL195" i="11"/>
  <c r="BG196" i="11"/>
  <c r="BL196" i="11"/>
  <c r="BN196" i="11"/>
  <c r="BG197" i="11"/>
  <c r="BL197" i="11"/>
  <c r="BG198" i="11"/>
  <c r="BI198" i="11"/>
  <c r="BL198" i="11"/>
  <c r="BG199" i="11"/>
  <c r="BL199" i="11"/>
  <c r="BN199" i="11"/>
  <c r="BG200" i="11"/>
  <c r="BL200" i="11"/>
  <c r="BG201" i="11"/>
  <c r="BI201" i="11"/>
  <c r="BL201" i="11"/>
  <c r="BG202" i="11"/>
  <c r="BL202" i="11"/>
  <c r="BN202" i="11"/>
  <c r="BG203" i="11"/>
  <c r="BL203" i="11"/>
  <c r="BG204" i="11"/>
  <c r="BI204" i="11"/>
  <c r="BL204" i="11"/>
  <c r="BG205" i="11"/>
  <c r="BL205" i="11"/>
  <c r="BN205" i="11"/>
  <c r="BG206" i="11"/>
  <c r="BL206" i="11"/>
  <c r="BG207" i="11"/>
  <c r="BI207" i="11"/>
  <c r="BL207" i="11"/>
  <c r="BG208" i="11"/>
  <c r="BL208" i="11"/>
  <c r="BN208" i="11"/>
  <c r="BG209" i="11"/>
  <c r="BL209" i="11"/>
  <c r="BG210" i="11"/>
  <c r="BI210" i="11"/>
  <c r="BL210" i="11"/>
  <c r="BG211" i="11"/>
  <c r="BL211" i="11"/>
  <c r="BN211" i="11"/>
  <c r="BG212" i="11"/>
  <c r="BL212" i="11"/>
  <c r="BG213" i="11"/>
  <c r="BI213" i="11"/>
  <c r="BL213" i="11"/>
  <c r="BG214" i="11"/>
  <c r="BL214" i="11"/>
  <c r="BN214" i="11"/>
  <c r="BG215" i="11"/>
  <c r="BL215" i="11"/>
  <c r="BG216" i="11"/>
  <c r="BI216" i="11"/>
  <c r="BL216" i="11"/>
  <c r="BG217" i="11"/>
  <c r="BL217" i="11"/>
  <c r="BN217" i="11"/>
  <c r="BG218" i="11"/>
  <c r="BL218" i="11"/>
  <c r="BG219" i="11"/>
  <c r="BI219" i="11"/>
  <c r="BL219" i="11"/>
  <c r="BG220" i="11"/>
  <c r="BL220" i="11"/>
  <c r="BN220" i="11"/>
  <c r="BG221" i="11"/>
  <c r="BL221" i="11"/>
  <c r="BG222" i="11"/>
  <c r="BI222" i="11"/>
  <c r="BL222" i="11"/>
  <c r="BG223" i="11"/>
  <c r="BL223" i="11"/>
  <c r="BN223" i="11"/>
  <c r="BG224" i="11"/>
  <c r="BL224" i="11"/>
  <c r="BG161" i="11"/>
  <c r="BL161" i="11"/>
  <c r="BN161" i="11"/>
  <c r="BG162" i="11"/>
  <c r="BL162" i="11"/>
  <c r="BG163" i="11"/>
  <c r="BI163" i="11"/>
  <c r="BL163" i="11"/>
  <c r="BG164" i="11"/>
  <c r="BL164" i="11"/>
  <c r="BN164" i="11"/>
  <c r="BG165" i="11"/>
  <c r="BL165" i="11"/>
  <c r="BG166" i="11"/>
  <c r="BI166" i="11"/>
  <c r="BL166" i="11"/>
  <c r="BG167" i="11"/>
  <c r="BL167" i="11"/>
  <c r="BN167" i="11"/>
  <c r="BG168" i="11"/>
  <c r="BL168" i="11"/>
  <c r="BG169" i="11"/>
  <c r="BI169" i="11"/>
  <c r="BL169" i="11"/>
  <c r="BG170" i="11"/>
  <c r="BL170" i="11"/>
  <c r="BN170" i="11"/>
  <c r="BG171" i="11"/>
  <c r="BL171" i="11"/>
  <c r="BG172" i="11"/>
  <c r="BI172" i="11"/>
  <c r="BL172" i="11"/>
  <c r="BG173" i="11"/>
  <c r="BL173" i="11"/>
  <c r="BN173" i="11"/>
  <c r="BG174" i="11"/>
  <c r="BL174" i="11"/>
  <c r="BG175" i="11"/>
  <c r="BI175" i="11"/>
  <c r="BL175" i="11"/>
  <c r="BG176" i="11"/>
  <c r="BL176" i="11"/>
  <c r="BN176" i="11"/>
  <c r="BG177" i="11"/>
  <c r="BL177" i="11"/>
  <c r="BG178" i="11"/>
  <c r="BI178" i="11"/>
  <c r="BL178" i="11"/>
  <c r="BG179" i="11"/>
  <c r="BL179" i="11"/>
  <c r="BN179" i="11"/>
  <c r="BG180" i="11"/>
  <c r="BL180" i="11"/>
  <c r="BG181" i="11"/>
  <c r="BI181" i="11"/>
  <c r="BL181" i="11"/>
  <c r="BG182" i="11"/>
  <c r="BL182" i="11"/>
  <c r="BN182" i="11"/>
  <c r="BG183" i="11"/>
  <c r="BL183" i="11"/>
  <c r="BG184" i="11"/>
  <c r="BI184" i="11"/>
  <c r="BL184" i="11"/>
  <c r="BG185" i="11"/>
  <c r="BI185" i="11"/>
  <c r="BL185" i="11"/>
  <c r="BN185" i="11"/>
  <c r="BG186" i="11"/>
  <c r="BL186" i="11"/>
  <c r="BN186" i="11"/>
  <c r="BG187" i="11"/>
  <c r="BI187" i="11"/>
  <c r="BL187" i="11"/>
  <c r="BG188" i="11"/>
  <c r="BI188" i="11"/>
  <c r="BL188" i="11"/>
  <c r="BN188" i="11"/>
  <c r="BG189" i="11"/>
  <c r="BL189" i="11"/>
  <c r="BN189" i="11"/>
  <c r="BG190" i="11"/>
  <c r="BI190" i="11"/>
  <c r="BL190" i="11"/>
  <c r="BG191" i="11"/>
  <c r="BI191" i="11"/>
  <c r="BL191" i="11"/>
  <c r="BN191" i="11"/>
  <c r="BG192" i="11"/>
  <c r="BL192" i="11"/>
  <c r="BN192" i="11"/>
  <c r="BG129" i="11"/>
  <c r="BL129" i="11"/>
  <c r="BN129" i="11"/>
  <c r="BG130" i="11"/>
  <c r="BL130" i="11"/>
  <c r="BG131" i="11"/>
  <c r="BI131" i="11"/>
  <c r="BL131" i="11"/>
  <c r="BG132" i="11"/>
  <c r="BL132" i="11"/>
  <c r="BN132" i="11"/>
  <c r="BG133" i="11"/>
  <c r="BL133" i="11"/>
  <c r="BG134" i="11"/>
  <c r="BI134" i="11"/>
  <c r="BL134" i="11"/>
  <c r="BG135" i="11"/>
  <c r="BL135" i="11"/>
  <c r="BN135" i="11"/>
  <c r="BG136" i="11"/>
  <c r="BL136" i="11"/>
  <c r="BG137" i="11"/>
  <c r="BI137" i="11"/>
  <c r="BL137" i="11"/>
  <c r="BG138" i="11"/>
  <c r="BL138" i="11"/>
  <c r="BN138" i="11"/>
  <c r="BG139" i="11"/>
  <c r="BL139" i="11"/>
  <c r="BG140" i="11"/>
  <c r="BI140" i="11"/>
  <c r="BL140" i="11"/>
  <c r="BG141" i="11"/>
  <c r="BL141" i="11"/>
  <c r="BN141" i="11"/>
  <c r="BG142" i="11"/>
  <c r="BL142" i="11"/>
  <c r="BG143" i="11"/>
  <c r="BI143" i="11"/>
  <c r="BL143" i="11"/>
  <c r="BG144" i="11"/>
  <c r="BL144" i="11"/>
  <c r="BN144" i="11"/>
  <c r="BG145" i="11"/>
  <c r="BL145" i="11"/>
  <c r="BG146" i="11"/>
  <c r="BI146" i="11"/>
  <c r="BL146" i="11"/>
  <c r="BG147" i="11"/>
  <c r="BL147" i="11"/>
  <c r="BN147" i="11"/>
  <c r="BG148" i="11"/>
  <c r="BL148" i="11"/>
  <c r="BG149" i="11"/>
  <c r="BI149" i="11"/>
  <c r="BL149" i="11"/>
  <c r="BG150" i="11"/>
  <c r="BL150" i="11"/>
  <c r="BN150" i="11"/>
  <c r="BG151" i="11"/>
  <c r="BL151" i="11"/>
  <c r="BG152" i="11"/>
  <c r="BI152" i="11"/>
  <c r="BL152" i="11"/>
  <c r="BG153" i="11"/>
  <c r="BL153" i="11"/>
  <c r="BN153" i="11"/>
  <c r="BG154" i="11"/>
  <c r="BL154" i="11"/>
  <c r="BG155" i="11"/>
  <c r="BI155" i="11"/>
  <c r="BL155" i="11"/>
  <c r="BG156" i="11"/>
  <c r="BL156" i="11"/>
  <c r="BN156" i="11"/>
  <c r="BG157" i="11"/>
  <c r="BL157" i="11"/>
  <c r="BG158" i="11"/>
  <c r="BI158" i="11"/>
  <c r="BL158" i="11"/>
  <c r="BG159" i="11"/>
  <c r="BL159" i="11"/>
  <c r="BN159" i="11"/>
  <c r="BG160" i="11"/>
  <c r="BL160" i="11"/>
  <c r="BG97" i="11"/>
  <c r="BL97" i="11"/>
  <c r="BN97" i="11"/>
  <c r="BG98" i="11"/>
  <c r="BL98" i="11"/>
  <c r="BG99" i="11"/>
  <c r="BI99" i="11"/>
  <c r="BL99" i="11"/>
  <c r="BG100" i="11"/>
  <c r="BL100" i="11"/>
  <c r="BN100" i="11"/>
  <c r="BG101" i="11"/>
  <c r="BL101" i="11"/>
  <c r="BG102" i="11"/>
  <c r="BI102" i="11"/>
  <c r="BL102" i="11"/>
  <c r="BG103" i="11"/>
  <c r="BL103" i="11"/>
  <c r="BN103" i="11"/>
  <c r="BG104" i="11"/>
  <c r="BL104" i="11"/>
  <c r="BG105" i="11"/>
  <c r="BI105" i="11"/>
  <c r="BL105" i="11"/>
  <c r="BG106" i="11"/>
  <c r="BL106" i="11"/>
  <c r="BN106" i="11"/>
  <c r="BG107" i="11"/>
  <c r="BL107" i="11"/>
  <c r="BG108" i="11"/>
  <c r="BI108" i="11"/>
  <c r="BL108" i="11"/>
  <c r="BG109" i="11"/>
  <c r="BL109" i="11"/>
  <c r="BN109" i="11"/>
  <c r="BG110" i="11"/>
  <c r="BL110" i="11"/>
  <c r="BG111" i="11"/>
  <c r="BI111" i="11"/>
  <c r="BL111" i="11"/>
  <c r="BG112" i="11"/>
  <c r="BL112" i="11"/>
  <c r="BN112" i="11"/>
  <c r="BG113" i="11"/>
  <c r="BL113" i="11"/>
  <c r="BG114" i="11"/>
  <c r="BI114" i="11"/>
  <c r="BL114" i="11"/>
  <c r="BG115" i="11"/>
  <c r="BL115" i="11"/>
  <c r="BN115" i="11"/>
  <c r="BG116" i="11"/>
  <c r="BL116" i="11"/>
  <c r="BG117" i="11"/>
  <c r="BI117" i="11"/>
  <c r="BL117" i="11"/>
  <c r="BG118" i="11"/>
  <c r="BL118" i="11"/>
  <c r="BN118" i="11"/>
  <c r="BG119" i="11"/>
  <c r="BL119" i="11"/>
  <c r="BG120" i="11"/>
  <c r="BI120" i="11"/>
  <c r="BL120" i="11"/>
  <c r="BG121" i="11"/>
  <c r="BL121" i="11"/>
  <c r="BN121" i="11"/>
  <c r="BG122" i="11"/>
  <c r="BL122" i="11"/>
  <c r="BG123" i="11"/>
  <c r="BI123" i="11"/>
  <c r="BL123" i="11"/>
  <c r="BG124" i="11"/>
  <c r="BL124" i="11"/>
  <c r="BN124" i="11"/>
  <c r="BG125" i="11"/>
  <c r="BL125" i="11"/>
  <c r="BG126" i="11"/>
  <c r="BI126" i="11"/>
  <c r="BL126" i="11"/>
  <c r="BG127" i="11"/>
  <c r="BL127" i="11"/>
  <c r="BN127" i="11"/>
  <c r="BG128" i="11"/>
  <c r="BL128" i="11"/>
  <c r="BG65" i="11"/>
  <c r="BI65" i="11"/>
  <c r="BL65" i="11"/>
  <c r="BN65" i="11"/>
  <c r="BG66" i="11"/>
  <c r="BL66" i="11"/>
  <c r="BN66" i="11"/>
  <c r="BG67" i="11"/>
  <c r="BI67" i="11"/>
  <c r="BL67" i="11"/>
  <c r="BG68" i="11"/>
  <c r="BI68" i="11"/>
  <c r="BL68" i="11"/>
  <c r="BN68" i="11"/>
  <c r="BG69" i="11"/>
  <c r="BL69" i="11"/>
  <c r="BN69" i="11"/>
  <c r="BG70" i="11"/>
  <c r="BI70" i="11"/>
  <c r="BL70" i="11"/>
  <c r="BG71" i="11"/>
  <c r="BI71" i="11"/>
  <c r="BL71" i="11"/>
  <c r="BN71" i="11"/>
  <c r="BG72" i="11"/>
  <c r="BL72" i="11"/>
  <c r="BN72" i="11"/>
  <c r="BG73" i="11"/>
  <c r="BI73" i="11"/>
  <c r="BL73" i="11"/>
  <c r="BG74" i="11"/>
  <c r="BI74" i="11"/>
  <c r="BL74" i="11"/>
  <c r="BN74" i="11"/>
  <c r="BG75" i="11"/>
  <c r="BL75" i="11"/>
  <c r="BN75" i="11"/>
  <c r="BG76" i="11"/>
  <c r="BI76" i="11"/>
  <c r="BL76" i="11"/>
  <c r="BG77" i="11"/>
  <c r="BI77" i="11"/>
  <c r="BL77" i="11"/>
  <c r="BN77" i="11"/>
  <c r="BG78" i="11"/>
  <c r="BL78" i="11"/>
  <c r="BN78" i="11"/>
  <c r="BG79" i="11"/>
  <c r="BI79" i="11"/>
  <c r="BL79" i="11"/>
  <c r="BG80" i="11"/>
  <c r="BI80" i="11"/>
  <c r="BL80" i="11"/>
  <c r="BN80" i="11"/>
  <c r="BG81" i="11"/>
  <c r="BL81" i="11"/>
  <c r="BN81" i="11"/>
  <c r="BG82" i="11"/>
  <c r="BI82" i="11"/>
  <c r="BL82" i="11"/>
  <c r="BG83" i="11"/>
  <c r="BI83" i="11"/>
  <c r="BL83" i="11"/>
  <c r="BN83" i="11"/>
  <c r="BG84" i="11"/>
  <c r="BL84" i="11"/>
  <c r="BN84" i="11"/>
  <c r="BG85" i="11"/>
  <c r="BI85" i="11"/>
  <c r="BL85" i="11"/>
  <c r="BG86" i="11"/>
  <c r="BI86" i="11"/>
  <c r="BL86" i="11"/>
  <c r="BN86" i="11"/>
  <c r="BG87" i="11"/>
  <c r="BL87" i="11"/>
  <c r="BN87" i="11"/>
  <c r="BG88" i="11"/>
  <c r="BI88" i="11"/>
  <c r="BL88" i="11"/>
  <c r="BG89" i="11"/>
  <c r="BI89" i="11"/>
  <c r="BL89" i="11"/>
  <c r="BN89" i="11"/>
  <c r="BG90" i="11"/>
  <c r="BL90" i="11"/>
  <c r="BN90" i="11"/>
  <c r="BG91" i="11"/>
  <c r="BI91" i="11"/>
  <c r="BL91" i="11"/>
  <c r="BG92" i="11"/>
  <c r="BI92" i="11"/>
  <c r="BL92" i="11"/>
  <c r="BN92" i="11"/>
  <c r="BG93" i="11"/>
  <c r="BL93" i="11"/>
  <c r="BN93" i="11"/>
  <c r="BG94" i="11"/>
  <c r="BI94" i="11"/>
  <c r="BL94" i="11"/>
  <c r="BG95" i="11"/>
  <c r="BI95" i="11"/>
  <c r="BL95" i="11"/>
  <c r="BN95" i="11"/>
  <c r="BG96" i="11"/>
  <c r="BL96" i="11"/>
  <c r="BN96" i="11"/>
  <c r="BG33" i="11"/>
  <c r="BL33" i="11"/>
  <c r="BN33" i="11"/>
  <c r="BG34" i="11"/>
  <c r="BL34" i="11"/>
  <c r="BG35" i="11"/>
  <c r="BI35" i="11"/>
  <c r="BL35" i="11"/>
  <c r="BG36" i="11"/>
  <c r="BL36" i="11"/>
  <c r="BN36" i="11"/>
  <c r="BG37" i="11"/>
  <c r="BL37" i="11"/>
  <c r="BG38" i="11"/>
  <c r="BI38" i="11"/>
  <c r="BL38" i="11"/>
  <c r="BG39" i="11"/>
  <c r="BL39" i="11"/>
  <c r="BN39" i="11"/>
  <c r="BG40" i="11"/>
  <c r="BL40" i="11"/>
  <c r="BG41" i="11"/>
  <c r="BI41" i="11"/>
  <c r="BL41" i="11"/>
  <c r="BG42" i="11"/>
  <c r="BL42" i="11"/>
  <c r="BN42" i="11"/>
  <c r="BG43" i="11"/>
  <c r="BL43" i="11"/>
  <c r="BG44" i="11"/>
  <c r="BI44" i="11"/>
  <c r="BL44" i="11"/>
  <c r="BG45" i="11"/>
  <c r="BL45" i="11"/>
  <c r="BN45" i="11"/>
  <c r="BG46" i="11"/>
  <c r="BL46" i="11"/>
  <c r="BG47" i="11"/>
  <c r="BI47" i="11"/>
  <c r="BL47" i="11"/>
  <c r="BG48" i="11"/>
  <c r="BL48" i="11"/>
  <c r="BN48" i="11"/>
  <c r="BG49" i="11"/>
  <c r="BL49" i="11"/>
  <c r="BG50" i="11"/>
  <c r="BI50" i="11"/>
  <c r="BL50" i="11"/>
  <c r="BG51" i="11"/>
  <c r="BL51" i="11"/>
  <c r="BN51" i="11"/>
  <c r="BG52" i="11"/>
  <c r="BL52" i="11"/>
  <c r="BG53" i="11"/>
  <c r="BI53" i="11"/>
  <c r="BL53" i="11"/>
  <c r="BG54" i="11"/>
  <c r="BL54" i="11"/>
  <c r="BN54" i="11"/>
  <c r="BG55" i="11"/>
  <c r="BL55" i="11"/>
  <c r="BG56" i="11"/>
  <c r="BI56" i="11"/>
  <c r="BL56" i="11"/>
  <c r="BG57" i="11"/>
  <c r="BL57" i="11"/>
  <c r="BN57" i="11"/>
  <c r="BG58" i="11"/>
  <c r="BL58" i="11"/>
  <c r="BG59" i="11"/>
  <c r="BI59" i="11"/>
  <c r="BL59" i="11"/>
  <c r="BG60" i="11"/>
  <c r="BL60" i="11"/>
  <c r="BN60" i="11"/>
  <c r="BG61" i="11"/>
  <c r="BL61" i="11"/>
  <c r="BG62" i="11"/>
  <c r="BI62" i="11"/>
  <c r="BL62" i="11"/>
  <c r="BG63" i="11"/>
  <c r="BL63" i="11"/>
  <c r="BN63" i="11"/>
  <c r="BG64" i="11"/>
  <c r="BL64" i="11"/>
  <c r="BG1" i="11"/>
  <c r="BL1" i="11"/>
  <c r="BN1" i="11"/>
  <c r="BG2" i="11"/>
  <c r="BL2" i="11"/>
  <c r="BG3" i="11"/>
  <c r="BI3" i="11"/>
  <c r="BL3" i="11"/>
  <c r="BG4" i="11"/>
  <c r="BL4" i="11"/>
  <c r="BN4" i="11"/>
  <c r="BG5" i="11"/>
  <c r="BL5" i="11"/>
  <c r="BG6" i="11"/>
  <c r="BI6" i="11"/>
  <c r="BL6" i="11"/>
  <c r="BG7" i="11"/>
  <c r="BL7" i="11"/>
  <c r="BN7" i="11"/>
  <c r="BG8" i="11"/>
  <c r="BL8" i="11"/>
  <c r="BG9" i="11"/>
  <c r="BI9" i="11"/>
  <c r="BL9" i="11"/>
  <c r="BG10" i="11"/>
  <c r="BL10" i="11"/>
  <c r="BN10" i="11"/>
  <c r="BG11" i="11"/>
  <c r="BL11" i="11"/>
  <c r="BG12" i="11"/>
  <c r="BI12" i="11"/>
  <c r="BL12" i="11"/>
  <c r="BG13" i="11"/>
  <c r="BL13" i="11"/>
  <c r="BN13" i="11"/>
  <c r="BG14" i="11"/>
  <c r="BL14" i="11"/>
  <c r="BG15" i="11"/>
  <c r="BI15" i="11"/>
  <c r="BL15" i="11"/>
  <c r="BG16" i="11"/>
  <c r="BL16" i="11"/>
  <c r="BN16" i="11"/>
  <c r="BG17" i="11"/>
  <c r="BL17" i="11"/>
  <c r="BG18" i="11"/>
  <c r="BI18" i="11"/>
  <c r="BL18" i="11"/>
  <c r="BG19" i="11"/>
  <c r="BL19" i="11"/>
  <c r="BN19" i="11"/>
  <c r="BG20" i="11"/>
  <c r="BL20" i="11"/>
  <c r="BG21" i="11"/>
  <c r="BI21" i="11"/>
  <c r="BL21" i="11"/>
  <c r="BG22" i="11"/>
  <c r="BL22" i="11"/>
  <c r="BN22" i="11"/>
  <c r="BG23" i="11"/>
  <c r="BL23" i="11"/>
  <c r="BG24" i="11"/>
  <c r="BI24" i="11"/>
  <c r="BL24" i="11"/>
  <c r="BG25" i="11"/>
  <c r="BL25" i="11"/>
  <c r="BN25" i="11"/>
  <c r="BG26" i="11"/>
  <c r="BL26" i="11"/>
  <c r="BG27" i="11"/>
  <c r="BI27" i="11"/>
  <c r="BL27" i="11"/>
  <c r="BG28" i="11"/>
  <c r="BL28" i="11"/>
  <c r="BN28" i="11"/>
  <c r="BG29" i="11"/>
  <c r="BL29" i="11"/>
  <c r="BG30" i="11"/>
  <c r="BI30" i="11"/>
  <c r="BL30" i="11"/>
  <c r="BG31" i="11"/>
  <c r="BL31" i="11"/>
  <c r="BN31" i="11"/>
  <c r="BG32" i="11"/>
  <c r="BL32" i="11"/>
  <c r="BN183" i="11"/>
  <c r="BI182" i="11"/>
  <c r="BN180" i="11"/>
  <c r="BI179" i="11"/>
  <c r="BN177" i="11"/>
  <c r="BI176" i="11"/>
  <c r="BN174" i="11"/>
  <c r="BI173" i="11"/>
  <c r="BN171" i="11"/>
  <c r="BI170" i="11"/>
  <c r="BN168" i="11"/>
  <c r="BI167" i="11"/>
  <c r="BN165" i="11"/>
  <c r="BI164" i="11"/>
  <c r="BI32" i="11"/>
  <c r="BN30" i="11"/>
  <c r="BI29" i="11"/>
  <c r="BN27" i="11"/>
  <c r="BI26" i="11"/>
  <c r="BN24" i="11"/>
  <c r="BI23" i="11"/>
  <c r="BN21" i="11"/>
  <c r="BI20" i="11"/>
  <c r="BN18" i="11"/>
  <c r="BI17" i="11"/>
  <c r="BN15" i="11"/>
  <c r="BI14" i="11"/>
  <c r="BN12" i="11"/>
  <c r="BI11" i="11"/>
  <c r="BN9" i="11"/>
  <c r="BI8" i="11"/>
  <c r="BN6" i="11"/>
  <c r="BI5" i="11"/>
  <c r="BN3" i="11"/>
  <c r="BI2" i="11"/>
  <c r="BN162" i="11"/>
  <c r="BI161" i="11"/>
  <c r="BN288" i="11"/>
  <c r="BI287" i="11"/>
  <c r="BN285" i="11"/>
  <c r="BI284" i="11"/>
  <c r="BN282" i="11"/>
  <c r="BI281" i="11"/>
  <c r="BN279" i="11"/>
  <c r="BI278" i="11"/>
  <c r="BN276" i="11"/>
  <c r="BI275" i="11"/>
  <c r="BN273" i="11"/>
  <c r="BI272" i="11"/>
  <c r="BN270" i="11"/>
  <c r="BI269" i="11"/>
  <c r="BN267" i="11"/>
  <c r="BI266" i="11"/>
  <c r="BN264" i="11"/>
  <c r="BI263" i="11"/>
  <c r="BN261" i="11"/>
  <c r="BI260" i="11"/>
  <c r="BN258" i="11"/>
  <c r="BI257" i="11"/>
  <c r="BN384" i="11"/>
  <c r="BI383" i="11"/>
  <c r="BN381" i="11"/>
  <c r="BI380" i="11"/>
  <c r="BN378" i="11"/>
  <c r="BI377" i="11"/>
  <c r="BN375" i="11"/>
  <c r="BI374" i="11"/>
  <c r="BN372" i="11"/>
  <c r="BI371" i="11"/>
  <c r="BN369" i="11"/>
  <c r="BI368" i="11"/>
  <c r="BN366" i="11"/>
  <c r="BI365" i="11"/>
  <c r="BN363" i="11"/>
  <c r="BI362" i="11"/>
  <c r="BN360" i="11"/>
  <c r="BI359" i="11"/>
  <c r="BN357" i="11"/>
  <c r="BI356" i="11"/>
  <c r="BN354" i="11"/>
  <c r="BI353" i="11"/>
  <c r="BN480" i="11"/>
  <c r="BI479" i="11"/>
  <c r="BN477" i="11"/>
  <c r="BI476" i="11"/>
  <c r="BN474" i="11"/>
  <c r="BI473" i="11"/>
  <c r="BN471" i="11"/>
  <c r="BI470" i="11"/>
  <c r="BN468" i="11"/>
  <c r="BI467" i="11"/>
  <c r="BN465" i="11"/>
  <c r="BI464" i="11"/>
  <c r="BN462" i="11"/>
  <c r="BI461" i="11"/>
  <c r="BN459" i="11"/>
  <c r="BI458" i="11"/>
  <c r="BN456" i="11"/>
  <c r="BI455" i="11"/>
  <c r="BN453" i="11"/>
  <c r="BI452" i="11"/>
  <c r="BN450" i="11"/>
  <c r="BI449" i="11"/>
  <c r="BN576" i="11"/>
  <c r="BI575" i="11"/>
  <c r="BN573" i="11"/>
  <c r="BI572" i="11"/>
  <c r="BN570" i="11"/>
  <c r="BI569" i="11"/>
  <c r="BN567" i="11"/>
  <c r="BI566" i="11"/>
  <c r="BN564" i="11"/>
  <c r="BI563" i="11"/>
  <c r="BN561" i="11"/>
  <c r="BI560" i="11"/>
  <c r="BN558" i="11"/>
  <c r="BI557" i="11"/>
  <c r="BN555" i="11"/>
  <c r="BI554" i="11"/>
  <c r="BN552" i="11"/>
  <c r="BI128" i="11"/>
  <c r="BN126" i="11"/>
  <c r="BI125" i="11"/>
  <c r="BN123" i="11"/>
  <c r="BI122" i="11"/>
  <c r="BN120" i="11"/>
  <c r="BI119" i="11"/>
  <c r="BN117" i="11"/>
  <c r="BI116" i="11"/>
  <c r="BN114" i="11"/>
  <c r="BI113" i="11"/>
  <c r="BN111" i="11"/>
  <c r="BI110" i="11"/>
  <c r="BN108" i="11"/>
  <c r="BI107" i="11"/>
  <c r="BN105" i="11"/>
  <c r="BI104" i="11"/>
  <c r="BN102" i="11"/>
  <c r="BI101" i="11"/>
  <c r="BN99" i="11"/>
  <c r="BI98" i="11"/>
  <c r="BI224" i="11"/>
  <c r="BN222" i="11"/>
  <c r="BI221" i="11"/>
  <c r="BN219" i="11"/>
  <c r="BI218" i="11"/>
  <c r="BN216" i="11"/>
  <c r="BI215" i="11"/>
  <c r="BN213" i="11"/>
  <c r="BI212" i="11"/>
  <c r="BN210" i="11"/>
  <c r="BI209" i="11"/>
  <c r="BN207" i="11"/>
  <c r="BI206" i="11"/>
  <c r="BN204" i="11"/>
  <c r="BI203" i="11"/>
  <c r="BN201" i="11"/>
  <c r="BI200" i="11"/>
  <c r="BN198" i="11"/>
  <c r="BI197" i="11"/>
  <c r="BN195" i="11"/>
  <c r="BI194" i="11"/>
  <c r="BI320" i="11"/>
  <c r="BN318" i="11"/>
  <c r="BI317" i="11"/>
  <c r="BN315" i="11"/>
  <c r="BI314" i="11"/>
  <c r="BN312" i="11"/>
  <c r="BI311" i="11"/>
  <c r="BN309" i="11"/>
  <c r="BI308" i="11"/>
  <c r="BN306" i="11"/>
  <c r="BI305" i="11"/>
  <c r="BN303" i="11"/>
  <c r="BI302" i="11"/>
  <c r="BN300" i="11"/>
  <c r="BN64" i="11"/>
  <c r="BI63" i="11"/>
  <c r="BN61" i="11"/>
  <c r="BI60" i="11"/>
  <c r="BN58" i="11"/>
  <c r="BI57" i="11"/>
  <c r="BN55" i="11"/>
  <c r="BI54" i="11"/>
  <c r="BN52" i="11"/>
  <c r="BI51" i="11"/>
  <c r="BN49" i="11"/>
  <c r="BI48" i="11"/>
  <c r="BN46" i="11"/>
  <c r="BI45" i="11"/>
  <c r="BN43" i="11"/>
  <c r="BI42" i="11"/>
  <c r="BN40" i="11"/>
  <c r="BI39" i="11"/>
  <c r="BN37" i="11"/>
  <c r="BI36" i="11"/>
  <c r="BN34" i="11"/>
  <c r="BI33" i="11"/>
  <c r="BN160" i="11"/>
  <c r="BI159" i="11"/>
  <c r="BN157" i="11"/>
  <c r="BI156" i="11"/>
  <c r="BN154" i="11"/>
  <c r="BI153" i="11"/>
  <c r="BN151" i="11"/>
  <c r="BI150" i="11"/>
  <c r="BN148" i="11"/>
  <c r="BI147" i="11"/>
  <c r="BN145" i="11"/>
  <c r="BI144" i="11"/>
  <c r="BN142" i="11"/>
  <c r="BI141" i="11"/>
  <c r="BN139" i="11"/>
  <c r="BI138" i="11"/>
  <c r="BN136" i="11"/>
  <c r="BI135" i="11"/>
  <c r="BN133" i="11"/>
  <c r="BI132" i="11"/>
  <c r="BN130" i="11"/>
  <c r="BI129" i="11"/>
  <c r="BN256" i="11"/>
  <c r="BI255" i="11"/>
  <c r="BN253" i="11"/>
  <c r="BI252" i="11"/>
  <c r="BN250" i="11"/>
  <c r="BI249" i="11"/>
  <c r="BN247" i="11"/>
  <c r="BI246" i="11"/>
  <c r="BN244" i="11"/>
  <c r="BI243" i="11"/>
  <c r="BN241" i="11"/>
  <c r="BI240" i="11"/>
  <c r="BN238" i="11"/>
  <c r="BI237" i="11"/>
  <c r="BN235" i="11"/>
  <c r="BI234" i="11"/>
  <c r="BN232" i="11"/>
  <c r="BI231" i="11"/>
  <c r="BN229" i="11"/>
  <c r="BI228" i="11"/>
  <c r="BN226" i="11"/>
  <c r="BI225" i="11"/>
  <c r="BI96" i="11"/>
  <c r="BN94" i="11"/>
  <c r="BI93" i="11"/>
  <c r="BN91" i="11"/>
  <c r="BI90" i="11"/>
  <c r="BN88" i="11"/>
  <c r="BI87" i="11"/>
  <c r="BN85" i="11"/>
  <c r="BI84" i="11"/>
  <c r="BN82" i="11"/>
  <c r="BI81" i="11"/>
  <c r="BN79" i="11"/>
  <c r="BI78" i="11"/>
  <c r="BN76" i="11"/>
  <c r="BI75" i="11"/>
  <c r="BN73" i="11"/>
  <c r="BI72" i="11"/>
  <c r="BN70" i="11"/>
  <c r="BI69" i="11"/>
  <c r="BN67" i="11"/>
  <c r="BI66" i="11"/>
  <c r="BI192" i="11"/>
  <c r="BN190" i="11"/>
  <c r="BI189" i="11"/>
  <c r="BN187" i="11"/>
  <c r="BI186" i="11"/>
  <c r="BN184" i="11"/>
  <c r="BI183" i="11"/>
  <c r="BN181" i="11"/>
  <c r="BI180" i="11"/>
  <c r="BN178" i="11"/>
  <c r="BI177" i="11"/>
  <c r="BN175" i="11"/>
  <c r="BI174" i="11"/>
  <c r="BN172" i="11"/>
  <c r="BI171" i="11"/>
  <c r="BN169" i="11"/>
  <c r="BI168" i="11"/>
  <c r="BN166" i="11"/>
  <c r="BI165" i="11"/>
  <c r="BN163" i="11"/>
  <c r="BI162" i="11"/>
  <c r="BI288" i="11"/>
  <c r="BN286" i="11"/>
  <c r="BI285" i="11"/>
  <c r="BN283" i="11"/>
  <c r="BI282" i="11"/>
  <c r="BN280" i="11"/>
  <c r="BI279" i="11"/>
  <c r="BN277" i="11"/>
  <c r="BI276" i="11"/>
  <c r="BN274" i="11"/>
  <c r="BI273" i="11"/>
  <c r="BN271" i="11"/>
  <c r="BI270" i="11"/>
  <c r="BN268" i="11"/>
  <c r="BI267" i="11"/>
  <c r="BN265" i="11"/>
  <c r="BI264" i="11"/>
  <c r="BN262" i="11"/>
  <c r="BI261" i="11"/>
  <c r="BN259" i="11"/>
  <c r="BI258" i="11"/>
  <c r="BI384" i="11"/>
  <c r="BN382" i="11"/>
  <c r="BI381" i="11"/>
  <c r="BN379" i="11"/>
  <c r="BI378" i="11"/>
  <c r="BN376" i="11"/>
  <c r="BI375" i="11"/>
  <c r="BN373" i="11"/>
  <c r="BI372" i="11"/>
  <c r="BN370" i="11"/>
  <c r="BI369" i="11"/>
  <c r="BN367" i="11"/>
  <c r="BI366" i="11"/>
  <c r="BN364" i="11"/>
  <c r="BI363" i="11"/>
  <c r="BN361" i="11"/>
  <c r="BI360" i="11"/>
  <c r="BN358" i="11"/>
  <c r="BI357" i="11"/>
  <c r="BN355" i="11"/>
  <c r="BI354" i="11"/>
  <c r="BI64" i="11"/>
  <c r="BN62" i="11"/>
  <c r="BI61" i="11"/>
  <c r="BN59" i="11"/>
  <c r="BI58" i="11"/>
  <c r="BN56" i="11"/>
  <c r="BI55" i="11"/>
  <c r="BN53" i="11"/>
  <c r="BI52" i="11"/>
  <c r="BN50" i="11"/>
  <c r="BI49" i="11"/>
  <c r="BN47" i="11"/>
  <c r="BI46" i="11"/>
  <c r="BN44" i="11"/>
  <c r="BI43" i="11"/>
  <c r="BN41" i="11"/>
  <c r="BI40" i="11"/>
  <c r="BN38" i="11"/>
  <c r="BI37" i="11"/>
  <c r="BN35" i="11"/>
  <c r="BI34" i="11"/>
  <c r="BI160" i="11"/>
  <c r="BN158" i="11"/>
  <c r="BI157" i="11"/>
  <c r="BN155" i="11"/>
  <c r="BI154" i="11"/>
  <c r="BN152" i="11"/>
  <c r="BI151" i="11"/>
  <c r="BN149" i="11"/>
  <c r="BI148" i="11"/>
  <c r="BN146" i="11"/>
  <c r="BI145" i="11"/>
  <c r="BN143" i="11"/>
  <c r="BI142" i="11"/>
  <c r="BN140" i="11"/>
  <c r="BI139" i="11"/>
  <c r="BN137" i="11"/>
  <c r="BI136" i="11"/>
  <c r="BN134" i="11"/>
  <c r="BI133" i="11"/>
  <c r="BN131" i="11"/>
  <c r="BI130" i="11"/>
  <c r="BI256" i="11"/>
  <c r="BN254" i="11"/>
  <c r="BI253" i="11"/>
  <c r="BN251" i="11"/>
  <c r="BI250" i="11"/>
  <c r="BN248" i="11"/>
  <c r="BI247" i="11"/>
  <c r="BN245" i="11"/>
  <c r="BI244" i="11"/>
  <c r="BN242" i="11"/>
  <c r="BI241" i="11"/>
  <c r="BN239" i="11"/>
  <c r="BI238" i="11"/>
  <c r="BN236" i="11"/>
  <c r="BI235" i="11"/>
  <c r="BN233" i="11"/>
  <c r="BI232" i="11"/>
  <c r="BN230" i="11"/>
  <c r="BI229" i="11"/>
  <c r="BN227" i="11"/>
  <c r="BI226" i="11"/>
  <c r="BI352" i="11"/>
  <c r="BN350" i="11"/>
  <c r="BI349" i="11"/>
  <c r="BN347" i="11"/>
  <c r="BI346" i="11"/>
  <c r="BN344" i="11"/>
  <c r="BI343" i="11"/>
  <c r="BN341" i="11"/>
  <c r="BI340" i="11"/>
  <c r="BN338" i="11"/>
  <c r="BI337" i="11"/>
  <c r="BN335" i="11"/>
  <c r="BI334" i="11"/>
  <c r="BN332" i="11"/>
  <c r="BI331" i="11"/>
  <c r="BN329" i="11"/>
  <c r="BI328" i="11"/>
  <c r="BN326" i="11"/>
  <c r="BI325" i="11"/>
  <c r="BN323" i="11"/>
  <c r="BI322" i="11"/>
  <c r="BI448" i="11"/>
  <c r="BN446" i="11"/>
  <c r="BI445" i="11"/>
  <c r="BN443" i="11"/>
  <c r="BI442" i="11"/>
  <c r="BN440" i="11"/>
  <c r="BI439" i="11"/>
  <c r="BN437" i="11"/>
  <c r="BI436" i="11"/>
  <c r="BN434" i="11"/>
  <c r="BI433" i="11"/>
  <c r="BN431" i="11"/>
  <c r="BI430" i="11"/>
  <c r="BN428" i="11"/>
  <c r="BI427" i="11"/>
  <c r="BN425" i="11"/>
  <c r="BI424" i="11"/>
  <c r="BN422" i="11"/>
  <c r="BI421" i="11"/>
  <c r="BN419" i="11"/>
  <c r="BI418" i="11"/>
  <c r="BI544" i="11"/>
  <c r="BN542" i="11"/>
  <c r="BI541" i="11"/>
  <c r="BN539" i="11"/>
  <c r="BI538" i="11"/>
  <c r="BN536" i="11"/>
  <c r="BI535" i="11"/>
  <c r="BN533" i="11"/>
  <c r="BI532" i="11"/>
  <c r="BN530" i="11"/>
  <c r="BI529" i="11"/>
  <c r="BN527" i="11"/>
  <c r="BI526" i="11"/>
  <c r="BN524" i="11"/>
  <c r="BI523" i="11"/>
  <c r="BN521" i="11"/>
  <c r="BI520" i="11"/>
  <c r="BN518" i="11"/>
  <c r="BI517" i="11"/>
  <c r="BN515" i="11"/>
  <c r="BI514" i="11"/>
  <c r="BI640" i="11"/>
  <c r="BN638" i="11"/>
  <c r="BI637" i="11"/>
  <c r="BN635" i="11"/>
  <c r="BI634" i="11"/>
  <c r="BN632" i="11"/>
  <c r="BI631" i="11"/>
  <c r="BN629" i="11"/>
  <c r="BI628" i="11"/>
  <c r="BN626" i="11"/>
  <c r="BI625" i="11"/>
  <c r="BN623" i="11"/>
  <c r="BI622" i="11"/>
  <c r="BN620" i="11"/>
  <c r="BI619" i="11"/>
  <c r="BN617" i="11"/>
  <c r="BI616" i="11"/>
  <c r="BN614" i="11"/>
  <c r="BI613" i="11"/>
  <c r="BN611" i="11"/>
  <c r="BI610" i="11"/>
  <c r="BI736" i="11"/>
  <c r="BN734" i="11"/>
  <c r="BI733" i="11"/>
  <c r="BN731" i="11"/>
  <c r="BI730" i="11"/>
  <c r="BN728" i="11"/>
  <c r="BI727" i="11"/>
  <c r="BN725" i="11"/>
  <c r="BI724" i="11"/>
  <c r="BN722" i="11"/>
  <c r="BI721" i="11"/>
  <c r="BN719" i="11"/>
  <c r="BI718" i="11"/>
  <c r="BN716" i="11"/>
  <c r="BI715" i="11"/>
  <c r="BN713" i="11"/>
  <c r="BI712" i="11"/>
  <c r="BN710" i="11"/>
  <c r="BI709" i="11"/>
  <c r="BN707" i="11"/>
  <c r="BI706" i="11"/>
  <c r="BI832" i="11"/>
  <c r="BN830" i="11"/>
  <c r="BI829" i="11"/>
  <c r="BN827" i="11"/>
  <c r="BI826" i="11"/>
  <c r="BN824" i="11"/>
  <c r="BI823" i="11"/>
  <c r="BN821" i="11"/>
  <c r="BI820" i="11"/>
  <c r="BN818" i="11"/>
  <c r="BI817" i="11"/>
  <c r="BN815" i="11"/>
  <c r="BI814" i="11"/>
  <c r="BN812" i="11"/>
  <c r="BI811" i="11"/>
  <c r="BN809" i="11"/>
  <c r="BI808" i="11"/>
  <c r="BN806" i="11"/>
  <c r="BI805" i="11"/>
  <c r="BN803" i="11"/>
  <c r="BI802" i="11"/>
  <c r="BI928" i="11"/>
  <c r="BN926" i="11"/>
  <c r="BI925" i="11"/>
  <c r="BN923" i="11"/>
  <c r="BI922" i="11"/>
  <c r="BN920" i="11"/>
  <c r="BI919" i="11"/>
  <c r="BN917" i="11"/>
  <c r="BI916" i="11"/>
  <c r="BN914" i="11"/>
  <c r="BI913" i="11"/>
  <c r="BN911" i="11"/>
  <c r="BI910" i="11"/>
  <c r="BN908" i="11"/>
  <c r="BI907" i="11"/>
  <c r="BN905" i="11"/>
  <c r="BI904" i="11"/>
  <c r="BN902" i="11"/>
  <c r="BI901" i="11"/>
  <c r="BN899" i="11"/>
  <c r="BI898" i="11"/>
  <c r="BI1023" i="11"/>
  <c r="BI1020" i="11"/>
  <c r="BI1017" i="11"/>
  <c r="BI1014" i="11"/>
  <c r="BI1011" i="11"/>
  <c r="BI1008" i="11"/>
  <c r="BI1005" i="11"/>
  <c r="BI1002" i="11"/>
  <c r="BI1000" i="11"/>
  <c r="BN998" i="11"/>
  <c r="BI997" i="11"/>
  <c r="BN995" i="11"/>
  <c r="BI994" i="11"/>
  <c r="BI1056" i="11"/>
  <c r="BI1053" i="11"/>
  <c r="BI1050" i="11"/>
  <c r="BI1047" i="11"/>
  <c r="BI1044" i="11"/>
  <c r="BI1041" i="11"/>
  <c r="BI1038" i="11"/>
  <c r="BI1035" i="11"/>
  <c r="BI1032" i="11"/>
  <c r="BI1029" i="11"/>
  <c r="BI1026" i="11"/>
  <c r="BI1152" i="11"/>
  <c r="BI1149" i="11"/>
  <c r="BI1146" i="11"/>
  <c r="BI1143" i="11"/>
  <c r="BI1140" i="11"/>
  <c r="BI1137" i="11"/>
  <c r="BI1134" i="11"/>
  <c r="BI1131" i="11"/>
  <c r="BI1128" i="11"/>
  <c r="BI1125" i="11"/>
  <c r="BI1122" i="11"/>
  <c r="BI1248" i="11"/>
  <c r="BI1245" i="11"/>
  <c r="BI1242" i="11"/>
  <c r="BI1239" i="11"/>
  <c r="BI1236" i="11"/>
  <c r="BI1233" i="11"/>
  <c r="BI1230" i="11"/>
  <c r="BI1227" i="11"/>
  <c r="BI1224" i="11"/>
  <c r="BI1221" i="11"/>
  <c r="BI1218" i="11"/>
  <c r="BI1344" i="11"/>
  <c r="BI1341" i="11"/>
  <c r="BI1338" i="11"/>
  <c r="BI1335" i="11"/>
  <c r="BI1332" i="11"/>
  <c r="BI1329" i="11"/>
  <c r="BI1326" i="11"/>
  <c r="BI1323" i="11"/>
  <c r="BI1320" i="11"/>
  <c r="BI1317" i="11"/>
  <c r="BI1314" i="11"/>
  <c r="BN32" i="11"/>
  <c r="BI31" i="11"/>
  <c r="BN29" i="11"/>
  <c r="BI28" i="11"/>
  <c r="BN26" i="11"/>
  <c r="BI25" i="11"/>
  <c r="BN23" i="11"/>
  <c r="BI22" i="11"/>
  <c r="BN20" i="11"/>
  <c r="BI19" i="11"/>
  <c r="BN17" i="11"/>
  <c r="BI16" i="11"/>
  <c r="BN14" i="11"/>
  <c r="BI13" i="11"/>
  <c r="BN11" i="11"/>
  <c r="BI10" i="11"/>
  <c r="BN8" i="11"/>
  <c r="BI7" i="11"/>
  <c r="BN5" i="11"/>
  <c r="BI4" i="11"/>
  <c r="BN2" i="11"/>
  <c r="BI1" i="11"/>
  <c r="BN128" i="11"/>
  <c r="BI127" i="11"/>
  <c r="BN125" i="11"/>
  <c r="BI124" i="11"/>
  <c r="BN122" i="11"/>
  <c r="BI121" i="11"/>
  <c r="BN119" i="11"/>
  <c r="BI118" i="11"/>
  <c r="BN116" i="11"/>
  <c r="BI115" i="11"/>
  <c r="BN113" i="11"/>
  <c r="BI112" i="11"/>
  <c r="BN110" i="11"/>
  <c r="BI109" i="11"/>
  <c r="BN107" i="11"/>
  <c r="BI106" i="11"/>
  <c r="BN104" i="11"/>
  <c r="BI103" i="11"/>
  <c r="BN101" i="11"/>
  <c r="BI100" i="11"/>
  <c r="BN98" i="11"/>
  <c r="BI97" i="11"/>
  <c r="BN224" i="11"/>
  <c r="BI223" i="11"/>
  <c r="BN221" i="11"/>
  <c r="BI220" i="11"/>
  <c r="BN218" i="11"/>
  <c r="BI217" i="11"/>
  <c r="BN215" i="11"/>
  <c r="BI214" i="11"/>
  <c r="BN212" i="11"/>
  <c r="BI211" i="11"/>
  <c r="BN209" i="11"/>
  <c r="BI208" i="11"/>
  <c r="BN206" i="11"/>
  <c r="BI205" i="11"/>
  <c r="BN203" i="11"/>
  <c r="BI202" i="11"/>
  <c r="BN200" i="11"/>
  <c r="BI199" i="11"/>
  <c r="BN197" i="11"/>
  <c r="BI196" i="11"/>
  <c r="BN194" i="11"/>
  <c r="BI193" i="11"/>
  <c r="BN320" i="11"/>
  <c r="BI319" i="11"/>
  <c r="BN317" i="11"/>
  <c r="BI316" i="11"/>
  <c r="BN314" i="11"/>
  <c r="BI313" i="11"/>
  <c r="BN311" i="11"/>
  <c r="BI310" i="11"/>
  <c r="BN308" i="11"/>
  <c r="BI307" i="11"/>
  <c r="BN305" i="11"/>
  <c r="BI304" i="11"/>
  <c r="BN302" i="11"/>
  <c r="BI301" i="11"/>
  <c r="BN299" i="11"/>
  <c r="BI298" i="11"/>
  <c r="BN296" i="11"/>
  <c r="BI295" i="11"/>
  <c r="BN293" i="11"/>
  <c r="BI292" i="11"/>
  <c r="BN290" i="11"/>
  <c r="BI289" i="11"/>
  <c r="BN416" i="11"/>
  <c r="BI415" i="11"/>
  <c r="BN413" i="11"/>
  <c r="BI412" i="11"/>
  <c r="BN410" i="11"/>
  <c r="BI409" i="11"/>
  <c r="BN407" i="11"/>
  <c r="BI406" i="11"/>
  <c r="BN404" i="11"/>
  <c r="BI403" i="11"/>
  <c r="BN401" i="11"/>
  <c r="BI400" i="11"/>
  <c r="BN398" i="11"/>
  <c r="BI397" i="11"/>
  <c r="BN395" i="11"/>
  <c r="BI394" i="11"/>
  <c r="BN392" i="11"/>
  <c r="BI391" i="11"/>
  <c r="BN389" i="11"/>
  <c r="BI388" i="11"/>
  <c r="BN386" i="11"/>
  <c r="BI385" i="11"/>
  <c r="BN512" i="11"/>
  <c r="BI511" i="11"/>
  <c r="BN509" i="11"/>
  <c r="BI508" i="11"/>
  <c r="BN506" i="11"/>
  <c r="BI505" i="11"/>
  <c r="BN503" i="11"/>
  <c r="BI502" i="11"/>
  <c r="BN500" i="11"/>
  <c r="BI499" i="11"/>
  <c r="BN497" i="11"/>
  <c r="BI496" i="11"/>
  <c r="BN494" i="11"/>
  <c r="BI493" i="11"/>
  <c r="BN491" i="11"/>
  <c r="BI490" i="11"/>
  <c r="BN488" i="11"/>
  <c r="BI487" i="11"/>
  <c r="BN485" i="11"/>
  <c r="BI484" i="11"/>
  <c r="BN482" i="11"/>
  <c r="BI481" i="11"/>
  <c r="BN608" i="11"/>
  <c r="BI607" i="11"/>
  <c r="BN605" i="11"/>
  <c r="BI604" i="11"/>
  <c r="BN602" i="11"/>
  <c r="BI601" i="11"/>
  <c r="BN599" i="11"/>
  <c r="BI598" i="11"/>
  <c r="BN596" i="11"/>
  <c r="BI595" i="11"/>
  <c r="BN593" i="11"/>
  <c r="BI592" i="11"/>
  <c r="BN590" i="11"/>
  <c r="BI589" i="11"/>
  <c r="BN587" i="11"/>
  <c r="BI586" i="11"/>
  <c r="BN584" i="11"/>
  <c r="BI583" i="11"/>
  <c r="BN581" i="11"/>
  <c r="BI580" i="11"/>
  <c r="BN578" i="11"/>
  <c r="BI577" i="11"/>
  <c r="BN704" i="11"/>
  <c r="BI703" i="11"/>
  <c r="BN701" i="11"/>
  <c r="BI700" i="11"/>
  <c r="BN698" i="11"/>
  <c r="BI697" i="11"/>
  <c r="BI694" i="11"/>
  <c r="BN692" i="11"/>
  <c r="BI691" i="11"/>
  <c r="BN689" i="11"/>
  <c r="BI688" i="11"/>
  <c r="BN686" i="11"/>
  <c r="BI685" i="11"/>
  <c r="BN683" i="11"/>
  <c r="BI682" i="11"/>
  <c r="BN680" i="11"/>
  <c r="BI679" i="11"/>
  <c r="BN677" i="11"/>
  <c r="BI676" i="11"/>
  <c r="BN674" i="11"/>
  <c r="BI673" i="11"/>
  <c r="BN800" i="11"/>
  <c r="BI799" i="11"/>
  <c r="BN797" i="11"/>
  <c r="BI796" i="11"/>
  <c r="BN794" i="11"/>
  <c r="BI793" i="11"/>
  <c r="BN791" i="11"/>
  <c r="BI790" i="11"/>
  <c r="BN788" i="11"/>
  <c r="BI787" i="11"/>
  <c r="BN785" i="11"/>
  <c r="BI784" i="11"/>
  <c r="BN782" i="11"/>
  <c r="BI781" i="11"/>
  <c r="BN779" i="11"/>
  <c r="BI778" i="11"/>
  <c r="BN776" i="11"/>
  <c r="BI775" i="11"/>
  <c r="BN773" i="11"/>
  <c r="BI772" i="11"/>
  <c r="BN770" i="11"/>
  <c r="BI769" i="11"/>
  <c r="BN896" i="11"/>
  <c r="BI895" i="11"/>
  <c r="BN893" i="11"/>
  <c r="BI892" i="11"/>
  <c r="BN890" i="11"/>
  <c r="BI889" i="11"/>
  <c r="BN887" i="11"/>
  <c r="BI886" i="11"/>
  <c r="BN884" i="11"/>
  <c r="BI883" i="11"/>
  <c r="BN881" i="11"/>
  <c r="BI880" i="11"/>
  <c r="BN878" i="11"/>
  <c r="BI877" i="11"/>
  <c r="BN875" i="11"/>
  <c r="BI874" i="11"/>
  <c r="BN872" i="11"/>
  <c r="BI871" i="11"/>
  <c r="BN869" i="11"/>
  <c r="BI868" i="11"/>
  <c r="BN866" i="11"/>
  <c r="BI865" i="11"/>
  <c r="BN992" i="11"/>
  <c r="BI991" i="11"/>
  <c r="BN989" i="11"/>
  <c r="BI988" i="11"/>
  <c r="BN986" i="11"/>
  <c r="BI985" i="11"/>
  <c r="BN983" i="11"/>
  <c r="BI982" i="11"/>
  <c r="BN980" i="11"/>
  <c r="BI979" i="11"/>
  <c r="BN977" i="11"/>
  <c r="BI976" i="11"/>
  <c r="BN974" i="11"/>
  <c r="BI973" i="11"/>
  <c r="BN971" i="11"/>
  <c r="BI970" i="11"/>
  <c r="BN968" i="11"/>
  <c r="BI967" i="11"/>
  <c r="BN965" i="11"/>
  <c r="BI964" i="11"/>
  <c r="BN962" i="11"/>
  <c r="BI961" i="11"/>
  <c r="BI1086" i="11"/>
  <c r="BI1083" i="11"/>
  <c r="BI1080" i="11"/>
  <c r="BI1077" i="11"/>
  <c r="BI1074" i="11"/>
  <c r="BI1071" i="11"/>
  <c r="BI1068" i="11"/>
  <c r="BI1065" i="11"/>
  <c r="BI1062" i="11"/>
  <c r="BI1059" i="11"/>
  <c r="BI1182" i="11"/>
  <c r="BI1179" i="11"/>
  <c r="BI1176" i="11"/>
  <c r="BI1173" i="11"/>
  <c r="BI1170" i="11"/>
  <c r="BI1167" i="11"/>
  <c r="BI1164" i="11"/>
  <c r="BI1161" i="11"/>
  <c r="BI1158" i="11"/>
  <c r="BI1155" i="11"/>
  <c r="BI1278" i="11"/>
  <c r="BI1275" i="11"/>
  <c r="BI1272" i="11"/>
  <c r="BI1269" i="11"/>
  <c r="BI1440" i="11"/>
  <c r="BI1437" i="11"/>
  <c r="BI1434" i="11"/>
  <c r="BI1431" i="11"/>
  <c r="BI1428" i="11"/>
  <c r="BI1425" i="11"/>
  <c r="BI1422" i="11"/>
  <c r="BI1419" i="11"/>
  <c r="BI1416" i="11"/>
  <c r="BI1413" i="11"/>
  <c r="BI1410" i="11"/>
  <c r="BI1266" i="11"/>
  <c r="BI1263" i="11"/>
  <c r="BI1260" i="11"/>
  <c r="BI1257" i="11"/>
  <c r="BI1254" i="11"/>
  <c r="BI1251" i="11"/>
  <c r="BI1374" i="11"/>
  <c r="BI1371" i="11"/>
  <c r="BI1368" i="11"/>
  <c r="BI1365" i="11"/>
  <c r="BI1362" i="11"/>
  <c r="BI1359" i="11"/>
  <c r="BI1356" i="11"/>
  <c r="BI1353" i="11"/>
  <c r="BI1350" i="11"/>
  <c r="BI1347" i="11"/>
  <c r="BI1470" i="11"/>
  <c r="BI1467" i="11"/>
  <c r="BI1464" i="11"/>
  <c r="BI1461" i="11"/>
  <c r="BI1458" i="11"/>
  <c r="BI1455" i="11"/>
  <c r="BI1452" i="11"/>
  <c r="BI1449" i="11"/>
  <c r="BI1446" i="11"/>
  <c r="BI1443" i="11"/>
  <c r="BI1500" i="11"/>
  <c r="BI1497" i="11"/>
  <c r="BI1494" i="11"/>
  <c r="BI1491" i="11"/>
  <c r="BI1488" i="11"/>
  <c r="BI1485" i="11"/>
  <c r="BI1482" i="11"/>
  <c r="BI1479" i="11"/>
  <c r="BI1476" i="11"/>
  <c r="BI1473" i="11"/>
  <c r="BI480" i="11"/>
  <c r="BN478" i="11"/>
  <c r="BI477" i="11"/>
  <c r="BN475" i="11"/>
  <c r="BI474" i="11"/>
  <c r="BN472" i="11"/>
  <c r="BI471" i="11"/>
  <c r="BN469" i="11"/>
  <c r="BI468" i="11"/>
  <c r="BN466" i="11"/>
  <c r="BI465" i="11"/>
  <c r="BN463" i="11"/>
  <c r="BI462" i="11"/>
  <c r="BN460" i="11"/>
  <c r="BI459" i="11"/>
  <c r="BN457" i="11"/>
  <c r="BI456" i="11"/>
  <c r="BN454" i="11"/>
  <c r="BI453" i="11"/>
  <c r="BN451" i="11"/>
  <c r="BI450" i="11"/>
  <c r="BI576" i="11"/>
  <c r="BN574" i="11"/>
  <c r="BI573" i="11"/>
  <c r="BI570" i="11"/>
  <c r="BN568" i="11"/>
  <c r="BI567" i="11"/>
  <c r="BN565" i="11"/>
  <c r="BI564" i="11"/>
  <c r="BN562" i="11"/>
  <c r="BI561" i="11"/>
  <c r="BN559" i="11"/>
  <c r="BI558" i="11"/>
  <c r="BN556" i="11"/>
  <c r="BI555" i="11"/>
  <c r="BN553" i="11"/>
  <c r="BI552" i="11"/>
  <c r="BN550" i="11"/>
  <c r="BI549" i="11"/>
  <c r="BN547" i="11"/>
  <c r="BI546" i="11"/>
  <c r="BI672" i="11"/>
  <c r="BN670" i="11"/>
  <c r="BI669" i="11"/>
  <c r="BN667" i="11"/>
  <c r="BI666" i="11"/>
  <c r="BN664" i="11"/>
  <c r="BI663" i="11"/>
  <c r="BN661" i="11"/>
  <c r="BI660" i="11"/>
  <c r="BN658" i="11"/>
  <c r="BI657" i="11"/>
  <c r="BN655" i="11"/>
  <c r="BI654" i="11"/>
  <c r="BN652" i="11"/>
  <c r="BI651" i="11"/>
  <c r="BN649" i="11"/>
  <c r="BI648" i="11"/>
  <c r="BN646" i="11"/>
  <c r="BI645" i="11"/>
  <c r="BN643" i="11"/>
  <c r="BI642" i="11"/>
  <c r="BI768" i="11"/>
  <c r="BN766" i="11"/>
  <c r="BI765" i="11"/>
  <c r="BN763" i="11"/>
  <c r="BI762" i="11"/>
  <c r="BN760" i="11"/>
  <c r="BI759" i="11"/>
  <c r="BN757" i="11"/>
  <c r="BI756" i="11"/>
  <c r="BN754" i="11"/>
  <c r="BI753" i="11"/>
  <c r="BN751" i="11"/>
  <c r="BI750" i="11"/>
  <c r="BN748" i="11"/>
  <c r="BI747" i="11"/>
  <c r="BN745" i="11"/>
  <c r="BI744" i="11"/>
  <c r="BN742" i="11"/>
  <c r="BI741" i="11"/>
  <c r="BN739" i="11"/>
  <c r="BI738" i="11"/>
  <c r="BI864" i="11"/>
  <c r="BN862" i="11"/>
  <c r="BI861" i="11"/>
  <c r="BN859" i="11"/>
  <c r="BI858" i="11"/>
  <c r="BN856" i="11"/>
  <c r="BI855" i="11"/>
  <c r="BN853" i="11"/>
  <c r="BI852" i="11"/>
  <c r="BN850" i="11"/>
  <c r="BI849" i="11"/>
  <c r="BN847" i="11"/>
  <c r="BI846" i="11"/>
  <c r="BN844" i="11"/>
  <c r="BI843" i="11"/>
  <c r="BN841" i="11"/>
  <c r="BI840" i="11"/>
  <c r="BN838" i="11"/>
  <c r="BI837" i="11"/>
  <c r="BN835" i="11"/>
  <c r="BI834" i="11"/>
  <c r="BI960" i="11"/>
  <c r="BI957" i="11"/>
  <c r="BN955" i="11"/>
  <c r="BI954" i="11"/>
  <c r="BN952" i="11"/>
  <c r="BI951" i="11"/>
  <c r="BN949" i="11"/>
  <c r="BI948" i="11"/>
  <c r="BN946" i="11"/>
  <c r="BI945" i="11"/>
  <c r="BN943" i="11"/>
  <c r="BI942" i="11"/>
  <c r="BN940" i="11"/>
  <c r="BI939" i="11"/>
  <c r="BN937" i="11"/>
  <c r="BI936" i="11"/>
  <c r="BN934" i="11"/>
  <c r="BI933" i="11"/>
  <c r="BN931" i="11"/>
  <c r="BI930" i="11"/>
  <c r="BI299" i="11"/>
  <c r="BN297" i="11"/>
  <c r="BI296" i="11"/>
  <c r="BN294" i="11"/>
  <c r="BI293" i="11"/>
  <c r="BN291" i="11"/>
  <c r="BI290" i="11"/>
  <c r="BN352" i="11"/>
  <c r="BI351" i="11"/>
  <c r="BN349" i="11"/>
  <c r="BI348" i="11"/>
  <c r="BN346" i="11"/>
  <c r="BI345" i="11"/>
  <c r="BN343" i="11"/>
  <c r="BI342" i="11"/>
  <c r="BN340" i="11"/>
  <c r="BI339" i="11"/>
  <c r="BN337" i="11"/>
  <c r="BI336" i="11"/>
  <c r="BN334" i="11"/>
  <c r="BI333" i="11"/>
  <c r="BN331" i="11"/>
  <c r="BI330" i="11"/>
  <c r="BN328" i="11"/>
  <c r="BI327" i="11"/>
  <c r="BN325" i="11"/>
  <c r="BI324" i="11"/>
  <c r="BN322" i="11"/>
  <c r="BI321" i="11"/>
  <c r="BI416" i="11"/>
  <c r="BN414" i="11"/>
  <c r="BI413" i="11"/>
  <c r="BN411" i="11"/>
  <c r="BI410" i="11"/>
  <c r="BN408" i="11"/>
  <c r="BI407" i="11"/>
  <c r="BN448" i="11"/>
  <c r="BI447" i="11"/>
  <c r="BN445" i="11"/>
  <c r="BI444" i="11"/>
  <c r="BN442" i="11"/>
  <c r="BI441" i="11"/>
  <c r="BN439" i="11"/>
  <c r="BI438" i="11"/>
  <c r="BN436" i="11"/>
  <c r="BI435" i="11"/>
  <c r="BN433" i="11"/>
  <c r="BI432" i="11"/>
  <c r="BN430" i="11"/>
  <c r="BI429" i="11"/>
  <c r="BN427" i="11"/>
  <c r="BI426" i="11"/>
  <c r="BN424" i="11"/>
  <c r="BI423" i="11"/>
  <c r="BN421" i="11"/>
  <c r="BI420" i="11"/>
  <c r="BN418" i="11"/>
  <c r="BI417" i="11"/>
  <c r="BN544" i="11"/>
  <c r="BI543" i="11"/>
  <c r="BN541" i="11"/>
  <c r="BI540" i="11"/>
  <c r="BN538" i="11"/>
  <c r="BI537" i="11"/>
  <c r="BN535" i="11"/>
  <c r="BI534" i="11"/>
  <c r="BN532" i="11"/>
  <c r="BI531" i="11"/>
  <c r="BN529" i="11"/>
  <c r="BI528" i="11"/>
  <c r="BN526" i="11"/>
  <c r="BI525" i="11"/>
  <c r="BN523" i="11"/>
  <c r="BI522" i="11"/>
  <c r="BN520" i="11"/>
  <c r="BI519" i="11"/>
  <c r="BN517" i="11"/>
  <c r="BI516" i="11"/>
  <c r="BN514" i="11"/>
  <c r="BI513" i="11"/>
  <c r="BN640" i="11"/>
  <c r="BI639" i="11"/>
  <c r="BN637" i="11"/>
  <c r="BI636" i="11"/>
  <c r="BN634" i="11"/>
  <c r="BI633" i="11"/>
  <c r="BN631" i="11"/>
  <c r="BI630" i="11"/>
  <c r="BN628" i="11"/>
  <c r="BI627" i="11"/>
  <c r="BN625" i="11"/>
  <c r="BI624" i="11"/>
  <c r="BN622" i="11"/>
  <c r="BI621" i="11"/>
  <c r="BN619" i="11"/>
  <c r="BI618" i="11"/>
  <c r="BN616" i="11"/>
  <c r="BI615" i="11"/>
  <c r="BN613" i="11"/>
  <c r="BI612" i="11"/>
  <c r="BN610" i="11"/>
  <c r="BI609" i="11"/>
  <c r="BN736" i="11"/>
  <c r="BI735" i="11"/>
  <c r="BN733" i="11"/>
  <c r="BI732" i="11"/>
  <c r="BN730" i="11"/>
  <c r="BI729" i="11"/>
  <c r="BN727" i="11"/>
  <c r="BI726" i="11"/>
  <c r="BN724" i="11"/>
  <c r="BI723" i="11"/>
  <c r="BN721" i="11"/>
  <c r="BI720" i="11"/>
  <c r="BN718" i="11"/>
  <c r="BI717" i="11"/>
  <c r="BN715" i="11"/>
  <c r="BI714" i="11"/>
  <c r="BN712" i="11"/>
  <c r="BI711" i="11"/>
  <c r="BN709" i="11"/>
  <c r="BI708" i="11"/>
  <c r="BN706" i="11"/>
  <c r="BI705" i="11"/>
  <c r="BN405" i="11"/>
  <c r="BI404" i="11"/>
  <c r="BN402" i="11"/>
  <c r="BI401" i="11"/>
  <c r="BN399" i="11"/>
  <c r="BI398" i="11"/>
  <c r="BN396" i="11"/>
  <c r="BI395" i="11"/>
  <c r="BN393" i="11"/>
  <c r="BI392" i="11"/>
  <c r="BN390" i="11"/>
  <c r="BI389" i="11"/>
  <c r="BN387" i="11"/>
  <c r="BI386" i="11"/>
  <c r="BI512" i="11"/>
  <c r="BN510" i="11"/>
  <c r="BI509" i="11"/>
  <c r="BN507" i="11"/>
  <c r="BI506" i="11"/>
  <c r="BN504" i="11"/>
  <c r="BI503" i="11"/>
  <c r="BN501" i="11"/>
  <c r="BI500" i="11"/>
  <c r="BN498" i="11"/>
  <c r="BI497" i="11"/>
  <c r="BN495" i="11"/>
  <c r="BI494" i="11"/>
  <c r="BN492" i="11"/>
  <c r="BI491" i="11"/>
  <c r="BN489" i="11"/>
  <c r="BI488" i="11"/>
  <c r="BN486" i="11"/>
  <c r="BI485" i="11"/>
  <c r="BN483" i="11"/>
  <c r="BI551" i="11"/>
  <c r="BN549" i="11"/>
  <c r="BI548" i="11"/>
  <c r="BN546" i="11"/>
  <c r="BI545" i="11"/>
  <c r="BN672" i="11"/>
  <c r="BI671" i="11"/>
  <c r="BN669" i="11"/>
  <c r="BI668" i="11"/>
  <c r="BN666" i="11"/>
  <c r="BI665" i="11"/>
  <c r="BN663" i="11"/>
  <c r="BI662" i="11"/>
  <c r="BN660" i="11"/>
  <c r="BI659" i="11"/>
  <c r="BN657" i="11"/>
  <c r="BI656" i="11"/>
  <c r="BN654" i="11"/>
  <c r="BI653" i="11"/>
  <c r="BN651" i="11"/>
  <c r="BI650" i="11"/>
  <c r="BN648" i="11"/>
  <c r="BI647" i="11"/>
  <c r="BN645" i="11"/>
  <c r="BI644" i="11"/>
  <c r="BN642" i="11"/>
  <c r="BI641" i="11"/>
  <c r="BN768" i="11"/>
  <c r="BI767" i="11"/>
  <c r="BN765" i="11"/>
  <c r="BI764" i="11"/>
  <c r="BN762" i="11"/>
  <c r="BI761" i="11"/>
  <c r="BN759" i="11"/>
  <c r="BI758" i="11"/>
  <c r="BN756" i="11"/>
  <c r="BI755" i="11"/>
  <c r="BN753" i="11"/>
  <c r="BI752" i="11"/>
  <c r="BN750" i="11"/>
  <c r="BI749" i="11"/>
  <c r="BN747" i="11"/>
  <c r="BI746" i="11"/>
  <c r="BN744" i="11"/>
  <c r="BI743" i="11"/>
  <c r="BN741" i="11"/>
  <c r="BI740" i="11"/>
  <c r="BN738" i="11"/>
  <c r="BI737" i="11"/>
  <c r="BI482" i="11"/>
  <c r="BI608" i="11"/>
  <c r="BN606" i="11"/>
  <c r="BI605" i="11"/>
  <c r="BN603" i="11"/>
  <c r="BI602" i="11"/>
  <c r="BN600" i="11"/>
  <c r="BI599" i="11"/>
  <c r="BN597" i="11"/>
  <c r="BI596" i="11"/>
  <c r="BN594" i="11"/>
  <c r="BI593" i="11"/>
  <c r="BN591" i="11"/>
  <c r="BI590" i="11"/>
  <c r="BN588" i="11"/>
  <c r="BI587" i="11"/>
  <c r="BN585" i="11"/>
  <c r="BI584" i="11"/>
  <c r="BN582" i="11"/>
  <c r="BI581" i="11"/>
  <c r="BN579" i="11"/>
  <c r="BI578" i="11"/>
  <c r="BI704" i="11"/>
  <c r="BN702" i="11"/>
  <c r="BI701" i="11"/>
  <c r="BN699" i="11"/>
  <c r="BI698" i="11"/>
  <c r="BN696" i="11"/>
  <c r="BI695" i="11"/>
  <c r="BN693" i="11"/>
  <c r="BI692" i="11"/>
  <c r="BN690" i="11"/>
  <c r="BI689" i="11"/>
  <c r="BN687" i="11"/>
  <c r="BI686" i="11"/>
  <c r="BN684" i="11"/>
  <c r="BI683" i="11"/>
  <c r="BN681" i="11"/>
  <c r="BI680" i="11"/>
  <c r="BN678" i="11"/>
  <c r="BI677" i="11"/>
  <c r="BN675" i="11"/>
  <c r="BI674" i="11"/>
  <c r="BI800" i="11"/>
  <c r="BN798" i="11"/>
  <c r="BI797" i="11"/>
  <c r="BN795" i="11"/>
  <c r="BI794" i="11"/>
  <c r="BN792" i="11"/>
  <c r="BI791" i="11"/>
  <c r="BN789" i="11"/>
  <c r="BI788" i="11"/>
  <c r="BN786" i="11"/>
  <c r="BI785" i="11"/>
  <c r="BN783" i="11"/>
  <c r="BI782" i="11"/>
  <c r="BN780" i="11"/>
  <c r="BI779" i="11"/>
  <c r="BN777" i="11"/>
  <c r="BI776" i="11"/>
  <c r="BN774" i="11"/>
  <c r="BI773" i="11"/>
  <c r="BN771" i="11"/>
  <c r="BI770" i="11"/>
  <c r="BI896" i="11"/>
  <c r="BN894" i="11"/>
  <c r="BI893" i="11"/>
  <c r="BN891" i="11"/>
  <c r="BI890" i="11"/>
  <c r="BN888" i="11"/>
  <c r="BI887" i="11"/>
  <c r="BN885" i="11"/>
  <c r="BI884" i="11"/>
  <c r="BN882" i="11"/>
  <c r="BI881" i="11"/>
  <c r="BN879" i="11"/>
  <c r="BI878" i="11"/>
  <c r="BN876" i="11"/>
  <c r="BI875" i="11"/>
  <c r="BN873" i="11"/>
  <c r="BI872" i="11"/>
  <c r="BN870" i="11"/>
  <c r="BI869" i="11"/>
  <c r="BN867" i="11"/>
  <c r="BI866" i="11"/>
  <c r="BI1120" i="11"/>
  <c r="BI1117" i="11"/>
  <c r="BI1114" i="11"/>
  <c r="BI1111" i="11"/>
  <c r="BI1108" i="11"/>
  <c r="BI1105" i="11"/>
  <c r="BI1102" i="11"/>
  <c r="BI1099" i="11"/>
  <c r="BI1096" i="11"/>
  <c r="BI1093" i="11"/>
  <c r="BI1090" i="11"/>
  <c r="BN832" i="11"/>
  <c r="BI831" i="11"/>
  <c r="BN829" i="11"/>
  <c r="BI828" i="11"/>
  <c r="BN826" i="11"/>
  <c r="BI825" i="11"/>
  <c r="BN823" i="11"/>
  <c r="BI822" i="11"/>
  <c r="BN820" i="11"/>
  <c r="BI819" i="11"/>
  <c r="BN817" i="11"/>
  <c r="BI816" i="11"/>
  <c r="BN814" i="11"/>
  <c r="BI813" i="11"/>
  <c r="BN811" i="11"/>
  <c r="BI810" i="11"/>
  <c r="BN808" i="11"/>
  <c r="BI807" i="11"/>
  <c r="BN805" i="11"/>
  <c r="BI804" i="11"/>
  <c r="BN802" i="11"/>
  <c r="BI801" i="11"/>
  <c r="BN928" i="11"/>
  <c r="BI1216" i="11"/>
  <c r="BI1213" i="11"/>
  <c r="BI1210" i="11"/>
  <c r="BI1207" i="11"/>
  <c r="BI1204" i="11"/>
  <c r="BI1201" i="11"/>
  <c r="BI1198" i="11"/>
  <c r="BI1195" i="11"/>
  <c r="BI1192" i="11"/>
  <c r="BI1189" i="11"/>
  <c r="BI1186" i="11"/>
  <c r="BI1312" i="11"/>
  <c r="BI1309" i="11"/>
  <c r="BI1306" i="11"/>
  <c r="BI1303" i="11"/>
  <c r="BI1300" i="11"/>
  <c r="BI1297" i="11"/>
  <c r="BI1294" i="11"/>
  <c r="BI1291" i="11"/>
  <c r="BI1288" i="11"/>
  <c r="BI1285" i="11"/>
  <c r="BI1282" i="11"/>
  <c r="BI1408" i="11"/>
  <c r="BI1405" i="11"/>
  <c r="BI1402" i="11"/>
  <c r="BI1399" i="11"/>
  <c r="BI1396" i="11"/>
  <c r="BI1393" i="11"/>
  <c r="BI1390" i="11"/>
  <c r="BI1387" i="11"/>
  <c r="BI1384" i="11"/>
  <c r="BI1381" i="11"/>
  <c r="BI1378" i="11"/>
  <c r="BI927" i="11"/>
  <c r="BN925" i="11"/>
  <c r="BI924" i="11"/>
  <c r="BN922" i="11"/>
  <c r="BI921" i="11"/>
  <c r="BN919" i="11"/>
  <c r="BI918" i="11"/>
  <c r="BN916" i="11"/>
  <c r="BI915" i="11"/>
  <c r="BN913" i="11"/>
  <c r="BI912" i="11"/>
  <c r="BN910" i="11"/>
  <c r="BI909" i="11"/>
  <c r="BN907" i="11"/>
  <c r="BI906" i="11"/>
  <c r="BN904" i="11"/>
  <c r="BI903" i="11"/>
  <c r="BN901" i="11"/>
  <c r="BI900" i="11"/>
  <c r="BN898" i="11"/>
  <c r="BI897" i="11"/>
  <c r="BI1024" i="11"/>
  <c r="BI1021" i="11"/>
  <c r="BI1018" i="11"/>
  <c r="BI1015" i="11"/>
  <c r="BI1012" i="11"/>
  <c r="BI1009" i="11"/>
  <c r="BI1006" i="11"/>
  <c r="BI1003" i="11"/>
  <c r="BN1000" i="11"/>
  <c r="BI999" i="11"/>
  <c r="BN997" i="11"/>
  <c r="BI996" i="11"/>
  <c r="BN994" i="11"/>
  <c r="BI993" i="11"/>
  <c r="BI1054" i="11"/>
  <c r="BI1051" i="11"/>
  <c r="BI1048" i="11"/>
  <c r="BI1045" i="11"/>
  <c r="BI1042" i="11"/>
  <c r="BI1039" i="11"/>
  <c r="BI1036" i="11"/>
  <c r="BI1033" i="11"/>
  <c r="BI1030" i="11"/>
  <c r="BI1027" i="11"/>
  <c r="BI1150" i="11"/>
  <c r="BI1147" i="11"/>
  <c r="BI1144" i="11"/>
  <c r="BI1141" i="11"/>
  <c r="BI1138" i="11"/>
  <c r="BI1135" i="11"/>
  <c r="BI1132" i="11"/>
  <c r="BI1129" i="11"/>
  <c r="BI1126" i="11"/>
  <c r="BI1123" i="11"/>
  <c r="BI1246" i="11"/>
  <c r="BI1243" i="11"/>
  <c r="BI1240" i="11"/>
  <c r="BI1237" i="11"/>
  <c r="BI1234" i="11"/>
  <c r="BI1231" i="11"/>
  <c r="BI1228" i="11"/>
  <c r="BI1225" i="11"/>
  <c r="BI1222" i="11"/>
  <c r="BI1219" i="11"/>
  <c r="BI1342" i="11"/>
  <c r="BI1339" i="11"/>
  <c r="BI1336" i="11"/>
  <c r="BI1333" i="11"/>
  <c r="BI1330" i="11"/>
  <c r="BI1327" i="11"/>
  <c r="BI1324" i="11"/>
  <c r="BI1321" i="11"/>
  <c r="BI1318" i="11"/>
  <c r="BI1315" i="11"/>
  <c r="BI1438" i="11"/>
  <c r="BI1435" i="11"/>
  <c r="BI1432" i="11"/>
  <c r="BI1429" i="11"/>
  <c r="BI1426" i="11"/>
  <c r="BI1423" i="11"/>
  <c r="BI1420" i="11"/>
  <c r="BI1417" i="11"/>
  <c r="BI1414" i="11"/>
  <c r="BI1411" i="11"/>
  <c r="BN864" i="11"/>
  <c r="BI863" i="11"/>
  <c r="BN861" i="11"/>
  <c r="BI860" i="11"/>
  <c r="BN858" i="11"/>
  <c r="BI857" i="11"/>
  <c r="BN855" i="11"/>
  <c r="BI854" i="11"/>
  <c r="BN852" i="11"/>
  <c r="BI851" i="11"/>
  <c r="BN849" i="11"/>
  <c r="BI848" i="11"/>
  <c r="BN846" i="11"/>
  <c r="BI845" i="11"/>
  <c r="BN843" i="11"/>
  <c r="BI842" i="11"/>
  <c r="BN840" i="11"/>
  <c r="BI839" i="11"/>
  <c r="BN837" i="11"/>
  <c r="BI836" i="11"/>
  <c r="BN834" i="11"/>
  <c r="BI833" i="11"/>
  <c r="BN960" i="11"/>
  <c r="BI959" i="11"/>
  <c r="BN957" i="11"/>
  <c r="BI956" i="11"/>
  <c r="BN954" i="11"/>
  <c r="BI953" i="11"/>
  <c r="BN951" i="11"/>
  <c r="BI950" i="11"/>
  <c r="BN948" i="11"/>
  <c r="BI947" i="11"/>
  <c r="BN945" i="11"/>
  <c r="BI944" i="11"/>
  <c r="BN942" i="11"/>
  <c r="BI941" i="11"/>
  <c r="BN939" i="11"/>
  <c r="BI938" i="11"/>
  <c r="BN936" i="11"/>
  <c r="BI935" i="11"/>
  <c r="BN933" i="11"/>
  <c r="BI932" i="11"/>
  <c r="BN930" i="11"/>
  <c r="BI929" i="11"/>
  <c r="BI1118" i="11"/>
  <c r="BI1115" i="11"/>
  <c r="BI1112" i="11"/>
  <c r="BI1109" i="11"/>
  <c r="BI1106" i="11"/>
  <c r="BI1103" i="11"/>
  <c r="BI1100" i="11"/>
  <c r="BI1097" i="11"/>
  <c r="BI1094" i="11"/>
  <c r="BI1091" i="11"/>
  <c r="BI1214" i="11"/>
  <c r="BI1211" i="11"/>
  <c r="BI1208" i="11"/>
  <c r="BI1205" i="11"/>
  <c r="BI1202" i="11"/>
  <c r="BI1199" i="11"/>
  <c r="BI1196" i="11"/>
  <c r="BI1193" i="11"/>
  <c r="BI1190" i="11"/>
  <c r="BI1187" i="11"/>
  <c r="BI1310" i="11"/>
  <c r="BI1307" i="11"/>
  <c r="BI1304" i="11"/>
  <c r="BI1301" i="11"/>
  <c r="BI1298" i="11"/>
  <c r="BI1295" i="11"/>
  <c r="BI1292" i="11"/>
  <c r="BI1289" i="11"/>
  <c r="BI1286" i="11"/>
  <c r="BI1283" i="11"/>
  <c r="BI1406" i="11"/>
  <c r="BI1403" i="11"/>
  <c r="BI1400" i="11"/>
  <c r="BI1397" i="11"/>
  <c r="BI1394" i="11"/>
  <c r="BI1391" i="11"/>
  <c r="BI1388" i="11"/>
  <c r="BI1385" i="11"/>
  <c r="BI1382" i="11"/>
  <c r="BI1379" i="11"/>
  <c r="BI992" i="11"/>
  <c r="BN990" i="11"/>
  <c r="BI989" i="11"/>
  <c r="BN987" i="11"/>
  <c r="BI986" i="11"/>
  <c r="BN984" i="11"/>
  <c r="BI983" i="11"/>
  <c r="BN981" i="11"/>
  <c r="BI980" i="11"/>
  <c r="BN978" i="11"/>
  <c r="BI977" i="11"/>
  <c r="BN975" i="11"/>
  <c r="BI974" i="11"/>
  <c r="BN972" i="11"/>
  <c r="BI971" i="11"/>
  <c r="BN969" i="11"/>
  <c r="BI968" i="11"/>
  <c r="BN966" i="11"/>
  <c r="BI965" i="11"/>
  <c r="BN963" i="11"/>
  <c r="BI962" i="11"/>
  <c r="BI1088" i="11"/>
  <c r="BI1085" i="11"/>
  <c r="BI1082" i="11"/>
  <c r="BI1079" i="11"/>
  <c r="BI1076" i="11"/>
  <c r="BI1073" i="11"/>
  <c r="BI1070" i="11"/>
  <c r="BI1067" i="11"/>
  <c r="BI1064" i="11"/>
  <c r="BI1061" i="11"/>
  <c r="BI1058" i="11"/>
  <c r="BI1184" i="11"/>
  <c r="BI1181" i="11"/>
  <c r="BI1178" i="11"/>
  <c r="BI1175" i="11"/>
  <c r="BI1172" i="11"/>
  <c r="BI1169" i="11"/>
  <c r="BI1166" i="11"/>
  <c r="BI1163" i="11"/>
  <c r="BI1160" i="11"/>
  <c r="BI1157" i="11"/>
  <c r="BI1154" i="11"/>
  <c r="BI1280" i="11"/>
  <c r="BI1277" i="11"/>
  <c r="BI1274" i="11"/>
  <c r="BI1271" i="11"/>
  <c r="BI1268" i="11"/>
  <c r="BI1265" i="11"/>
  <c r="BI1262" i="11"/>
  <c r="BI1259" i="11"/>
  <c r="BI1256" i="11"/>
  <c r="BI1253" i="11"/>
  <c r="BI1250" i="11"/>
  <c r="BI1376" i="11"/>
  <c r="BI1373" i="11"/>
  <c r="BI1370" i="11"/>
  <c r="BI1367" i="11"/>
  <c r="BI1364" i="11"/>
  <c r="BI1361" i="11"/>
  <c r="BI1358" i="11"/>
  <c r="BI1355" i="11"/>
  <c r="BI1352" i="11"/>
  <c r="BI1349" i="11"/>
  <c r="BI1346" i="11"/>
  <c r="BI1472" i="11"/>
  <c r="BI1469" i="11"/>
  <c r="BI1466" i="11"/>
  <c r="BI1463" i="11"/>
  <c r="BI1460" i="11"/>
  <c r="BI1457" i="11"/>
  <c r="BI1454" i="11"/>
  <c r="BI1451" i="11"/>
  <c r="BI1448" i="11"/>
  <c r="BI1445" i="11"/>
  <c r="BI1442" i="11"/>
  <c r="BI1499" i="11"/>
  <c r="BI1496" i="11"/>
  <c r="BI1493" i="11"/>
  <c r="BI1490" i="11"/>
  <c r="BI1487" i="11"/>
  <c r="BI1484" i="11"/>
  <c r="BI1481" i="11"/>
  <c r="BI1478" i="11"/>
  <c r="BI1475" i="11"/>
  <c r="BN537" i="11"/>
  <c r="BN571" i="11"/>
  <c r="BI635" i="11"/>
  <c r="BI716" i="11"/>
  <c r="E140" i="11"/>
  <c r="D101" i="11"/>
  <c r="D141" i="11"/>
  <c r="E141" i="11"/>
  <c r="D140" i="11"/>
  <c r="E102" i="11"/>
  <c r="E101" i="11"/>
  <c r="D102" i="11"/>
  <c r="E106" i="11"/>
  <c r="D145" i="11"/>
  <c r="D146" i="11"/>
  <c r="E151" i="11"/>
  <c r="E146" i="11"/>
  <c r="E153" i="11"/>
  <c r="E152" i="11"/>
  <c r="E145" i="11"/>
  <c r="E147" i="11"/>
  <c r="D107" i="11"/>
  <c r="E114" i="11"/>
  <c r="E107" i="11"/>
  <c r="E108" i="11"/>
  <c r="D106" i="11"/>
  <c r="E112" i="11"/>
  <c r="E113" i="11"/>
  <c r="F145" i="11"/>
  <c r="E154" i="11"/>
  <c r="D147" i="11"/>
  <c r="F147" i="11"/>
  <c r="F146" i="11"/>
  <c r="E115" i="11"/>
  <c r="F107" i="11"/>
  <c r="D108" i="11"/>
  <c r="F108" i="11"/>
  <c r="F106" i="11"/>
</calcChain>
</file>

<file path=xl/sharedStrings.xml><?xml version="1.0" encoding="utf-8"?>
<sst xmlns="http://schemas.openxmlformats.org/spreadsheetml/2006/main" count="496" uniqueCount="168">
  <si>
    <t>Employee</t>
  </si>
  <si>
    <t>Distance from Home</t>
  </si>
  <si>
    <t>Attrition</t>
  </si>
  <si>
    <t>Job Satisfaction</t>
  </si>
  <si>
    <t>Job Level</t>
  </si>
  <si>
    <t>Years since last promotion</t>
  </si>
  <si>
    <t>Years with current manager</t>
  </si>
  <si>
    <t>Gender</t>
  </si>
  <si>
    <t>Travel frequency</t>
  </si>
  <si>
    <t>Performance rating</t>
  </si>
  <si>
    <t>Model</t>
  </si>
  <si>
    <t>Classification Tree</t>
  </si>
  <si>
    <t>Node ID</t>
  </si>
  <si>
    <t>Class</t>
  </si>
  <si>
    <t>Decision Node?</t>
  </si>
  <si>
    <t>Tree Type</t>
  </si>
  <si>
    <t>FullGrown</t>
  </si>
  <si>
    <t># Selected Input Variables</t>
  </si>
  <si>
    <t>Class Labels</t>
  </si>
  <si>
    <t>I3:J3</t>
  </si>
  <si>
    <t>F4:F26</t>
  </si>
  <si>
    <t>Node Class Label</t>
  </si>
  <si>
    <t>G4:G26</t>
  </si>
  <si>
    <t>Node Type</t>
  </si>
  <si>
    <t>H4:H26</t>
  </si>
  <si>
    <t>Probability Matrix</t>
  </si>
  <si>
    <t>I4:J26</t>
  </si>
  <si>
    <t>Decision Node ID</t>
  </si>
  <si>
    <t>F30:F40</t>
  </si>
  <si>
    <t>Split Variable Name</t>
  </si>
  <si>
    <t>G30:G40</t>
  </si>
  <si>
    <t>Split Variable Index</t>
  </si>
  <si>
    <t>H30:H40</t>
  </si>
  <si>
    <t>Split Value</t>
  </si>
  <si>
    <t>I30:I40</t>
  </si>
  <si>
    <t>Split Sets</t>
  </si>
  <si>
    <t>J30:J40</t>
  </si>
  <si>
    <t>Left Child ID</t>
  </si>
  <si>
    <t>K30:K40</t>
  </si>
  <si>
    <t>Right Child ID</t>
  </si>
  <si>
    <t>L30:L40</t>
  </si>
  <si>
    <t>Selected Variables</t>
  </si>
  <si>
    <t>G43:O43</t>
  </si>
  <si>
    <t>Variable Role</t>
  </si>
  <si>
    <t>G44:O44</t>
  </si>
  <si>
    <t>Variables Offsets</t>
  </si>
  <si>
    <t>G45:O45</t>
  </si>
  <si>
    <t>Selected Input Variable Indices</t>
  </si>
  <si>
    <t>G46:N46</t>
  </si>
  <si>
    <t>Success Class Index</t>
  </si>
  <si>
    <t>Success Probability Threshold</t>
  </si>
  <si>
    <t>SplitVar</t>
  </si>
  <si>
    <t>SplitVar Index</t>
  </si>
  <si>
    <t>SplitValue</t>
  </si>
  <si>
    <t>SplitSet</t>
  </si>
  <si>
    <t>LeftChild</t>
  </si>
  <si>
    <t>RightChild</t>
  </si>
  <si>
    <t>Empty</t>
  </si>
  <si>
    <t>Variable Roles</t>
  </si>
  <si>
    <t>Scale Input</t>
  </si>
  <si>
    <t>Output</t>
  </si>
  <si>
    <t>Variable Offsets</t>
  </si>
  <si>
    <t>Input Variable Indices</t>
  </si>
  <si>
    <t>BestPruned</t>
  </si>
  <si>
    <t>I49:J49</t>
  </si>
  <si>
    <t>F50:F58</t>
  </si>
  <si>
    <t>G50:G58</t>
  </si>
  <si>
    <t>H50:H58</t>
  </si>
  <si>
    <t>I50:J58</t>
  </si>
  <si>
    <t>F62:F65</t>
  </si>
  <si>
    <t>G62:G65</t>
  </si>
  <si>
    <t>H62:H65</t>
  </si>
  <si>
    <t>I62:I65</t>
  </si>
  <si>
    <t>J62:J65</t>
  </si>
  <si>
    <t>K62:K65</t>
  </si>
  <si>
    <t>L62:L65</t>
  </si>
  <si>
    <t>G68:O68</t>
  </si>
  <si>
    <t>G69:O69</t>
  </si>
  <si>
    <t>G70:O70</t>
  </si>
  <si>
    <t>G71:N71</t>
  </si>
  <si>
    <t>Output Navigator</t>
  </si>
  <si>
    <t>Elapsed Times in Milliseconds</t>
  </si>
  <si>
    <t>Reading Data</t>
  </si>
  <si>
    <t>Computation</t>
  </si>
  <si>
    <t>Writing Data</t>
  </si>
  <si>
    <t>Total</t>
  </si>
  <si>
    <t>Inputs</t>
  </si>
  <si>
    <t>Prior class probs</t>
  </si>
  <si>
    <t>Train Log</t>
  </si>
  <si>
    <t>Full-Grown Tree Rules</t>
  </si>
  <si>
    <t>Train. Score Summary.</t>
  </si>
  <si>
    <t>Best-Pruned Tree Rules</t>
  </si>
  <si>
    <t>Valid. Score Summary</t>
  </si>
  <si>
    <t>Prune Log</t>
  </si>
  <si>
    <t>CT Train. Lift Chart</t>
  </si>
  <si>
    <t>CT Valid. Lift Chart</t>
  </si>
  <si>
    <t>XLMiner : Classification Tree - Prune Log (Using Validation Data)</t>
  </si>
  <si>
    <t># Decision Nodes</t>
  </si>
  <si>
    <t>% Error</t>
  </si>
  <si>
    <t>&lt;-- Best Pruned &amp; Min Error Tree</t>
  </si>
  <si>
    <t>Std. Error</t>
  </si>
  <si>
    <t>XLMiner : Classification Tree</t>
  </si>
  <si>
    <t>Data</t>
  </si>
  <si>
    <t>Workbook</t>
  </si>
  <si>
    <t>Employee Attrition.xlsx</t>
  </si>
  <si>
    <t>Worksheet</t>
  </si>
  <si>
    <t># Records in the training data</t>
  </si>
  <si>
    <t># Records in the validation data</t>
  </si>
  <si>
    <t>Variables</t>
  </si>
  <si>
    <t># Input Variables</t>
  </si>
  <si>
    <t>Input variables</t>
  </si>
  <si>
    <t>Output variable</t>
  </si>
  <si>
    <t>Parameters/Options</t>
  </si>
  <si>
    <t>Input variables normalized</t>
  </si>
  <si>
    <t>Yes</t>
  </si>
  <si>
    <t>Minimum # records in a terminal node</t>
  </si>
  <si>
    <t>Is pruning done</t>
  </si>
  <si>
    <t>Max # levels displayed in tree drawing</t>
  </si>
  <si>
    <t>Maximum tree levels</t>
  </si>
  <si>
    <t>Draw full-grown tree</t>
  </si>
  <si>
    <t>No</t>
  </si>
  <si>
    <t>Draw best-pruned tree</t>
  </si>
  <si>
    <t>Draw minimum-error tree</t>
  </si>
  <si>
    <t>Draw user-specified tree</t>
  </si>
  <si>
    <t>Output Options Chosen</t>
  </si>
  <si>
    <t>Summary report of scoring on training data</t>
  </si>
  <si>
    <t>Summary report of scoring on validation data</t>
  </si>
  <si>
    <t>Prior class probabilities</t>
  </si>
  <si>
    <t>Equal prior probabilities</t>
  </si>
  <si>
    <t>Probability</t>
  </si>
  <si>
    <t>&lt;-- Success Class</t>
  </si>
  <si>
    <t>Training Log (Growing the full tree using training data)</t>
  </si>
  <si>
    <t>Full-Grown Tree Rules (Using Training Data)</t>
  </si>
  <si>
    <t>#Decision Nodes</t>
  </si>
  <si>
    <t>#Terminal Nodes</t>
  </si>
  <si>
    <t>NodeID</t>
  </si>
  <si>
    <t>Level</t>
  </si>
  <si>
    <t>ParentID</t>
  </si>
  <si>
    <t>SplitValue/Set</t>
  </si>
  <si>
    <t>Cases</t>
  </si>
  <si>
    <t>Misclassifications</t>
  </si>
  <si>
    <t>N/A</t>
  </si>
  <si>
    <t>Decision</t>
  </si>
  <si>
    <t>Terminal</t>
  </si>
  <si>
    <t>Training Data scoring - Summary Report (Using Full-Grown Tree)</t>
  </si>
  <si>
    <t>Cutoff probability value for success (UPDATABLE)</t>
  </si>
  <si>
    <t>Updating the value here will NOT update value in detailed report</t>
  </si>
  <si>
    <t>Confusion Matrix</t>
  </si>
  <si>
    <t>Predicted Class</t>
  </si>
  <si>
    <t>Actual Class</t>
  </si>
  <si>
    <t>Error Report</t>
  </si>
  <si>
    <t># Cases</t>
  </si>
  <si>
    <t># Errors</t>
  </si>
  <si>
    <t>Overall</t>
  </si>
  <si>
    <t>Performance</t>
  </si>
  <si>
    <t>Success Class</t>
  </si>
  <si>
    <t>Precision</t>
  </si>
  <si>
    <t>Recall (Sensitivity)</t>
  </si>
  <si>
    <t>Specificity</t>
  </si>
  <si>
    <t>F1-Score</t>
  </si>
  <si>
    <t>Best-Pruned Tree Rules (Using Validation Data)</t>
  </si>
  <si>
    <t>Validation Data scoring - Summary Report (Using Best Pruned Tree)</t>
  </si>
  <si>
    <t>Date: 21-Jun-2016 06:13:50</t>
  </si>
  <si>
    <t>XLMiner : Classification Tree - Best-Pruned Tree (Using Validation Data)</t>
  </si>
  <si>
    <t>Best-Pruned Tree</t>
  </si>
  <si>
    <t>Date: 21-Jun-2016 06:15:55</t>
  </si>
  <si>
    <t>Full-Grown Tree</t>
  </si>
  <si>
    <t>XLMiner : Classification Tree - Full-Grown Tree (Using Training Data)</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</si>
</sst>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b/>
      <sz val="10"/>
      <color rgb="FF4169E1"/>
      <name val="Calibri"/>
      <family val="2"/>
      <scheme val="minor"/>
    </font>
    <font>
      <b/>
      <sz val="14"/>
      <color rgb="FF4169E1"/>
      <name val="Calibri"/>
      <family val="2"/>
      <scheme val="minor"/>
    </font>
    <font>
      <b/>
      <sz val="12"/>
      <name val="Calibri"/>
      <family val="2"/>
      <scheme val="minor"/>
    </font>
    <font>
      <u/>
      <sz val="11"/>
      <color theme="10"/>
      <name val="Calibri"/>
      <family val="2"/>
      <scheme val="minor"/>
    </font>
    <font>
      <b/>
      <sz val="14"/>
      <name val="Calibri"/>
      <family val="2"/>
      <scheme val="minor"/>
    </font>
    <font>
      <sz val="8"/>
      <color rgb="FF000000"/>
      <name val="Calibri"/>
      <family val="2"/>
      <scheme val="minor"/>
    </font>
    <font>
      <sz val="8"/>
      <color rgb="FFFFFFFF"/>
      <name val="Calibri"/>
      <family val="2"/>
      <scheme val="minor"/>
    </font>
  </fonts>
  <fills count="7">
    <fill>
      <patternFill patternType="none"/>
    </fill>
    <fill>
      <patternFill patternType="gray125"/>
    </fill>
    <fill>
      <patternFill patternType="solid">
        <fgColor theme="3" tint="0.79998168889431442"/>
        <bgColor indexed="64"/>
      </patternFill>
    </fill>
    <fill>
      <patternFill patternType="solid">
        <fgColor rgb="FFEBEBFA"/>
        <bgColor indexed="64"/>
      </patternFill>
    </fill>
    <fill>
      <patternFill patternType="solid">
        <fgColor rgb="FFD3D3D3"/>
        <bgColor indexed="64"/>
      </patternFill>
    </fill>
    <fill>
      <patternFill patternType="solid">
        <fgColor rgb="FF538DD5"/>
        <bgColor indexed="64"/>
      </patternFill>
    </fill>
    <fill>
      <patternFill patternType="solid">
        <fgColor rgb="FFFFFF00"/>
        <bgColor indexed="64"/>
      </patternFill>
    </fill>
  </fills>
  <borders count="6">
    <border>
      <left/>
      <right/>
      <top/>
      <bottom/>
      <diagonal/>
    </border>
    <border>
      <left/>
      <right/>
      <top style="thin">
        <color auto="1"/>
      </top>
      <bottom style="medium">
        <color auto="1"/>
      </bottom>
      <diagonal/>
    </border>
    <border>
      <left style="thin">
        <color rgb="FF808080"/>
      </left>
      <right style="thin">
        <color rgb="FF808080"/>
      </right>
      <top style="thin">
        <color rgb="FF808080"/>
      </top>
      <bottom style="thin">
        <color rgb="FF808080"/>
      </bottom>
      <diagonal/>
    </border>
    <border>
      <left style="thin">
        <color rgb="FF808080"/>
      </left>
      <right/>
      <top style="thin">
        <color rgb="FF808080"/>
      </top>
      <bottom style="thin">
        <color rgb="FF808080"/>
      </bottom>
      <diagonal/>
    </border>
    <border>
      <left/>
      <right style="thin">
        <color rgb="FF808080"/>
      </right>
      <top style="thin">
        <color rgb="FF808080"/>
      </top>
      <bottom style="thin">
        <color rgb="FF808080"/>
      </bottom>
      <diagonal/>
    </border>
    <border>
      <left/>
      <right/>
      <top style="thin">
        <color rgb="FF808080"/>
      </top>
      <bottom style="thin">
        <color rgb="FF808080"/>
      </bottom>
      <diagonal/>
    </border>
  </borders>
  <cellStyleXfs count="2">
    <xf numFmtId="0" fontId="0" fillId="0" borderId="0"/>
    <xf numFmtId="0" fontId="4" fillId="0" borderId="0" applyNumberFormat="0" applyFill="0" applyBorder="0" applyAlignment="0" applyProtection="0"/>
  </cellStyleXfs>
  <cellXfs count="33">
    <xf numFmtId="0" fontId="0" fillId="0" borderId="0" xfId="0"/>
    <xf numFmtId="0" fontId="0" fillId="0" borderId="0" xfId="0" applyAlignment="1">
      <alignment horizontal="center" wrapText="1"/>
    </xf>
    <xf numFmtId="0" fontId="0" fillId="2" borderId="1" xfId="0" applyFill="1" applyBorder="1" applyAlignment="1">
      <alignment horizontal="center" wrapText="1"/>
    </xf>
    <xf numFmtId="0" fontId="0" fillId="0" borderId="2" xfId="0" applyFont="1" applyFill="1" applyBorder="1"/>
    <xf numFmtId="0" fontId="1" fillId="3" borderId="2" xfId="0" applyFont="1" applyFill="1" applyBorder="1" applyAlignment="1">
      <alignment horizontal="center"/>
    </xf>
    <xf numFmtId="0" fontId="1" fillId="3" borderId="2" xfId="0" applyFont="1" applyFill="1" applyBorder="1" applyAlignment="1">
      <alignment horizontal="left"/>
    </xf>
    <xf numFmtId="0" fontId="2" fillId="0" borderId="0" xfId="0" applyFont="1" applyAlignment="1">
      <alignment horizontal="left"/>
    </xf>
    <xf numFmtId="0" fontId="5" fillId="0" borderId="0" xfId="0" applyFont="1" applyAlignment="1">
      <alignment horizontal="left"/>
    </xf>
    <xf numFmtId="0" fontId="0" fillId="0" borderId="2" xfId="0" applyFont="1" applyFill="1" applyBorder="1" applyAlignment="1">
      <alignment horizontal="left"/>
    </xf>
    <xf numFmtId="0" fontId="0" fillId="0" borderId="2" xfId="0" applyFont="1" applyFill="1" applyBorder="1" applyAlignment="1">
      <alignment horizontal="center"/>
    </xf>
    <xf numFmtId="0" fontId="0" fillId="0" borderId="2" xfId="0" applyFont="1" applyFill="1" applyBorder="1" applyAlignment="1">
      <alignment horizontal="right"/>
    </xf>
    <xf numFmtId="0" fontId="7" fillId="5" borderId="2" xfId="0" applyFont="1" applyFill="1" applyBorder="1" applyAlignment="1">
      <alignment horizontal="center" vertical="center"/>
    </xf>
    <xf numFmtId="0" fontId="0" fillId="6" borderId="0" xfId="0" applyFill="1" applyAlignment="1">
      <alignment horizontal="center" wrapText="1"/>
    </xf>
    <xf numFmtId="0" fontId="0" fillId="6" borderId="0" xfId="0" applyFill="1"/>
    <xf numFmtId="0" fontId="3" fillId="4" borderId="3" xfId="0" applyFont="1" applyFill="1" applyBorder="1" applyAlignment="1">
      <alignment horizontal="left"/>
    </xf>
    <xf numFmtId="0" fontId="3" fillId="4" borderId="5" xfId="0" applyFont="1" applyFill="1" applyBorder="1" applyAlignment="1">
      <alignment horizontal="left"/>
    </xf>
    <xf numFmtId="0" fontId="3" fillId="4" borderId="4" xfId="0" applyFont="1" applyFill="1" applyBorder="1" applyAlignment="1">
      <alignment horizontal="left"/>
    </xf>
    <xf numFmtId="0" fontId="4" fillId="0" borderId="3" xfId="1" applyFill="1" applyBorder="1"/>
    <xf numFmtId="0" fontId="0" fillId="0" borderId="4" xfId="0" applyFont="1" applyFill="1" applyBorder="1"/>
    <xf numFmtId="0" fontId="0" fillId="0" borderId="3" xfId="0" applyFont="1" applyFill="1" applyBorder="1"/>
    <xf numFmtId="0" fontId="1" fillId="3" borderId="3" xfId="0" applyFont="1" applyFill="1" applyBorder="1" applyAlignment="1">
      <alignment horizontal="left"/>
    </xf>
    <xf numFmtId="0" fontId="1" fillId="3" borderId="4" xfId="0" applyFont="1" applyFill="1" applyBorder="1" applyAlignment="1">
      <alignment horizontal="left"/>
    </xf>
    <xf numFmtId="0" fontId="1" fillId="3" borderId="3" xfId="0" applyFont="1" applyFill="1" applyBorder="1" applyAlignment="1">
      <alignment horizontal="center"/>
    </xf>
    <xf numFmtId="0" fontId="1" fillId="3" borderId="4" xfId="0" applyFont="1" applyFill="1" applyBorder="1" applyAlignment="1">
      <alignment horizont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4" xfId="0" applyFont="1" applyFill="1" applyBorder="1" applyAlignment="1">
      <alignment horizontal="center" vertical="center"/>
    </xf>
    <xf numFmtId="0" fontId="0" fillId="0" borderId="5" xfId="0" applyFont="1" applyFill="1" applyBorder="1"/>
    <xf numFmtId="0" fontId="1" fillId="3" borderId="5" xfId="0" applyFont="1" applyFill="1" applyBorder="1" applyAlignment="1">
      <alignment horizontal="center"/>
    </xf>
    <xf numFmtId="0" fontId="1" fillId="3" borderId="5" xfId="0" applyFont="1" applyFill="1" applyBorder="1" applyAlignment="1">
      <alignment horizontal="left"/>
    </xf>
    <xf numFmtId="0" fontId="0" fillId="0" borderId="3" xfId="0" applyFont="1" applyFill="1" applyBorder="1" applyAlignment="1">
      <alignment horizontal="left"/>
    </xf>
    <xf numFmtId="0" fontId="0" fillId="0" borderId="5" xfId="0" applyFont="1" applyFill="1" applyBorder="1" applyAlignment="1">
      <alignment horizontal="left"/>
    </xf>
    <xf numFmtId="0" fontId="0" fillId="0" borderId="4" xfId="0" applyFont="1" applyFill="1" applyBorder="1" applyAlignment="1">
      <alignment horizontal="left"/>
    </xf>
  </cellXfs>
  <cellStyles count="2">
    <cellStyle name="Hyperlink" xfId="1" builtinId="8"/>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theme" Target="theme/theme1.xml"/><Relationship Id="rId10"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xdr:col>
      <xdr:colOff>323850</xdr:colOff>
      <xdr:row>1</xdr:row>
      <xdr:rowOff>114301</xdr:rowOff>
    </xdr:from>
    <xdr:to>
      <xdr:col>17</xdr:col>
      <xdr:colOff>495299</xdr:colOff>
      <xdr:row>23</xdr:row>
      <xdr:rowOff>19051</xdr:rowOff>
    </xdr:to>
    <xdr:sp macro="" textlink="">
      <xdr:nvSpPr>
        <xdr:cNvPr id="2" name="TextBox 1"/>
        <xdr:cNvSpPr txBox="1"/>
      </xdr:nvSpPr>
      <xdr:spPr>
        <a:xfrm>
          <a:off x="933450" y="304801"/>
          <a:ext cx="9925049" cy="409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interesting to note that not a single employee who</a:t>
          </a:r>
          <a:r>
            <a:rPr lang="en-US" sz="1100" baseline="0"/>
            <a:t> had been with their current manager less than 3 years (values of 1 or 2 in Years with current manager) left their job. Seeing as over 20% of the sampled employees have worked for thier current manager for less than 2 years, it's obvious why this is a good indicator of attrition. Moreover, only 11/263 (4.18%) employees who have been under their current manager for 3 years and 10/219 (4.57%) employees who have been under their current manager for 4 years ended up leaving the comany. Since 17.16% of the sampled employees left the company it's apparent that years under current management is a good indicator of attrition. Once we've separated employees who have been under their current manager for less than 7.5 years (which would indicate a low chance of attrition) and those who have worked under their current manager for more than 7.5 years (high risk of attrition) we are interested in segmeneting the high risk even more. According to our Best Pruned Tree, we can see that of those employees who have been with their current manager more than 7.5 years and who have received a performance rating of 4 or 5 are even more at risk of attrition and those that received 1s, 2s, or 3s are less likely of attrition. These first 2 splits seem very logical. It would suggest that newer employees are less likely to leave, which makes sense on account of most people, whether they are happy with/good at their job or not, are hesitant to leave a company so quickly (many don't want to come off as disloyal or a potential risky new hire). Moving into the next split it would also seem logical that those employees who have been with their current manager more than 7.5 years AND recieved high performance ratings are at risk of attrition. Perhaps these employees feel that, since their perofrmance ratings have been so high and that they have been with the company for so long, they deserve a promotion (which would then displace them from working under their current manager and bump them into the low risk attrition group who have worked under their current manager for less than 7.5 years.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209550</xdr:colOff>
      <xdr:row>9</xdr:row>
      <xdr:rowOff>133350</xdr:rowOff>
    </xdr:from>
    <xdr:to>
      <xdr:col>3</xdr:col>
      <xdr:colOff>361950</xdr:colOff>
      <xdr:row>11</xdr:row>
      <xdr:rowOff>133350</xdr:rowOff>
    </xdr:to>
    <xdr:sp macro="" textlink="">
      <xdr:nvSpPr>
        <xdr:cNvPr id="2" name="Oval 1">
          <a:hlinkClick xmlns:r="http://schemas.openxmlformats.org/officeDocument/2006/relationships" r:id="" tooltip="Go left if Years with current manager &lt; 7.5"/>
        </xdr:cNvPr>
        <xdr:cNvSpPr/>
      </xdr:nvSpPr>
      <xdr:spPr>
        <a:xfrm>
          <a:off x="1428750" y="1905000"/>
          <a:ext cx="762000" cy="381000"/>
        </a:xfrm>
        <a:prstGeom prst="ellipse">
          <a:avLst/>
        </a:prstGeom>
        <a:solidFill>
          <a:srgbClr val="4F81BD"/>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7.5</a:t>
          </a:r>
        </a:p>
      </xdr:txBody>
    </xdr:sp>
    <xdr:clientData/>
  </xdr:twoCellAnchor>
  <xdr:twoCellAnchor>
    <xdr:from>
      <xdr:col>2</xdr:col>
      <xdr:colOff>209550</xdr:colOff>
      <xdr:row>9</xdr:row>
      <xdr:rowOff>6350</xdr:rowOff>
    </xdr:from>
    <xdr:to>
      <xdr:col>3</xdr:col>
      <xdr:colOff>361950</xdr:colOff>
      <xdr:row>9</xdr:row>
      <xdr:rowOff>133350</xdr:rowOff>
    </xdr:to>
    <xdr:sp macro="" textlink="">
      <xdr:nvSpPr>
        <xdr:cNvPr id="3" name="TextBox 2"/>
        <xdr:cNvSpPr txBox="1"/>
      </xdr:nvSpPr>
      <xdr:spPr>
        <a:xfrm>
          <a:off x="1428750" y="1778000"/>
          <a:ext cx="762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800" b="0" i="0">
              <a:solidFill>
                <a:srgbClr xmlns:mc="http://schemas.openxmlformats.org/markup-compatibility/2006" xmlns:a14="http://schemas.microsoft.com/office/drawing/2010/main" val="DD0806" mc:Ignorable="a14" a14:legacySpreadsheetColorIndex="10"/>
              </a:solidFill>
            </a:rPr>
            <a:t>Years with current manager</a:t>
          </a:r>
        </a:p>
      </xdr:txBody>
    </xdr:sp>
    <xdr:clientData/>
  </xdr:twoCellAnchor>
  <xdr:twoCellAnchor>
    <xdr:from>
      <xdr:col>1</xdr:col>
      <xdr:colOff>152400</xdr:colOff>
      <xdr:row>13</xdr:row>
      <xdr:rowOff>133350</xdr:rowOff>
    </xdr:from>
    <xdr:to>
      <xdr:col>2</xdr:col>
      <xdr:colOff>304800</xdr:colOff>
      <xdr:row>15</xdr:row>
      <xdr:rowOff>133350</xdr:rowOff>
    </xdr:to>
    <xdr:sp macro="" textlink="">
      <xdr:nvSpPr>
        <xdr:cNvPr id="4" name="Rectangle 3">
          <a:hlinkClick xmlns:r="http://schemas.openxmlformats.org/officeDocument/2006/relationships" r:id="" tooltip="Terminal"/>
        </xdr:cNvPr>
        <xdr:cNvSpPr/>
      </xdr:nvSpPr>
      <xdr:spPr>
        <a:xfrm>
          <a:off x="762000" y="2667000"/>
          <a:ext cx="762000" cy="381000"/>
        </a:xfrm>
        <a:prstGeom prst="rect">
          <a:avLst/>
        </a:prstGeom>
        <a:solidFill>
          <a:srgbClr val="148014"/>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1</xdr:col>
      <xdr:colOff>533400</xdr:colOff>
      <xdr:row>12</xdr:row>
      <xdr:rowOff>6350</xdr:rowOff>
    </xdr:from>
    <xdr:to>
      <xdr:col>2</xdr:col>
      <xdr:colOff>304800</xdr:colOff>
      <xdr:row>12</xdr:row>
      <xdr:rowOff>133350</xdr:rowOff>
    </xdr:to>
    <xdr:sp macro="" textlink="">
      <xdr:nvSpPr>
        <xdr:cNvPr id="5" name="TextBox 4"/>
        <xdr:cNvSpPr txBox="1"/>
      </xdr:nvSpPr>
      <xdr:spPr>
        <a:xfrm>
          <a:off x="1143000" y="2349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US" sz="800" b="0" i="0">
              <a:solidFill>
                <a:srgbClr xmlns:mc="http://schemas.openxmlformats.org/markup-compatibility/2006" xmlns:a14="http://schemas.microsoft.com/office/drawing/2010/main" val="000000" mc:Ignorable="a14" a14:legacySpreadsheetColorIndex="8"/>
              </a:solidFill>
            </a:rPr>
            <a:t>696</a:t>
          </a:r>
        </a:p>
      </xdr:txBody>
    </xdr:sp>
    <xdr:clientData/>
  </xdr:twoCellAnchor>
  <xdr:twoCellAnchor>
    <xdr:from>
      <xdr:col>3</xdr:col>
      <xdr:colOff>266700</xdr:colOff>
      <xdr:row>13</xdr:row>
      <xdr:rowOff>133350</xdr:rowOff>
    </xdr:from>
    <xdr:to>
      <xdr:col>4</xdr:col>
      <xdr:colOff>419100</xdr:colOff>
      <xdr:row>15</xdr:row>
      <xdr:rowOff>133350</xdr:rowOff>
    </xdr:to>
    <xdr:sp macro="" textlink="">
      <xdr:nvSpPr>
        <xdr:cNvPr id="6" name="Oval 5">
          <a:hlinkClick xmlns:r="http://schemas.openxmlformats.org/officeDocument/2006/relationships" r:id="" tooltip="Go left if Performance rating &lt; 3.5"/>
        </xdr:cNvPr>
        <xdr:cNvSpPr/>
      </xdr:nvSpPr>
      <xdr:spPr>
        <a:xfrm>
          <a:off x="2095500" y="2667000"/>
          <a:ext cx="762000" cy="381000"/>
        </a:xfrm>
        <a:prstGeom prst="ellipse">
          <a:avLst/>
        </a:prstGeom>
        <a:solidFill>
          <a:srgbClr val="4F81BD"/>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3.5</a:t>
          </a:r>
        </a:p>
      </xdr:txBody>
    </xdr:sp>
    <xdr:clientData/>
  </xdr:twoCellAnchor>
  <xdr:twoCellAnchor>
    <xdr:from>
      <xdr:col>3</xdr:col>
      <xdr:colOff>266700</xdr:colOff>
      <xdr:row>13</xdr:row>
      <xdr:rowOff>6350</xdr:rowOff>
    </xdr:from>
    <xdr:to>
      <xdr:col>4</xdr:col>
      <xdr:colOff>419100</xdr:colOff>
      <xdr:row>13</xdr:row>
      <xdr:rowOff>133350</xdr:rowOff>
    </xdr:to>
    <xdr:sp macro="" textlink="">
      <xdr:nvSpPr>
        <xdr:cNvPr id="7" name="TextBox 6"/>
        <xdr:cNvSpPr txBox="1"/>
      </xdr:nvSpPr>
      <xdr:spPr>
        <a:xfrm>
          <a:off x="2095500" y="2540000"/>
          <a:ext cx="762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800" b="0" i="0">
              <a:solidFill>
                <a:srgbClr xmlns:mc="http://schemas.openxmlformats.org/markup-compatibility/2006" xmlns:a14="http://schemas.microsoft.com/office/drawing/2010/main" val="DD0806" mc:Ignorable="a14" a14:legacySpreadsheetColorIndex="10"/>
              </a:solidFill>
            </a:rPr>
            <a:t>Performance rating</a:t>
          </a:r>
        </a:p>
      </xdr:txBody>
    </xdr:sp>
    <xdr:clientData/>
  </xdr:twoCellAnchor>
  <xdr:twoCellAnchor>
    <xdr:from>
      <xdr:col>3</xdr:col>
      <xdr:colOff>266700</xdr:colOff>
      <xdr:row>12</xdr:row>
      <xdr:rowOff>6350</xdr:rowOff>
    </xdr:from>
    <xdr:to>
      <xdr:col>4</xdr:col>
      <xdr:colOff>38100</xdr:colOff>
      <xdr:row>12</xdr:row>
      <xdr:rowOff>133350</xdr:rowOff>
    </xdr:to>
    <xdr:sp macro="" textlink="">
      <xdr:nvSpPr>
        <xdr:cNvPr id="8" name="TextBox 7"/>
        <xdr:cNvSpPr txBox="1"/>
      </xdr:nvSpPr>
      <xdr:spPr>
        <a:xfrm>
          <a:off x="2095500" y="2349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r"/>
          <a:r>
            <a:rPr lang="en-US" sz="800" b="0" i="0">
              <a:solidFill>
                <a:srgbClr xmlns:mc="http://schemas.openxmlformats.org/markup-compatibility/2006" xmlns:a14="http://schemas.microsoft.com/office/drawing/2010/main" val="000000" mc:Ignorable="a14" a14:legacySpreadsheetColorIndex="8"/>
              </a:solidFill>
            </a:rPr>
            <a:t>304</a:t>
          </a:r>
        </a:p>
      </xdr:txBody>
    </xdr:sp>
    <xdr:clientData/>
  </xdr:twoCellAnchor>
  <xdr:twoCellAnchor>
    <xdr:from>
      <xdr:col>1</xdr:col>
      <xdr:colOff>596900</xdr:colOff>
      <xdr:row>17</xdr:row>
      <xdr:rowOff>133350</xdr:rowOff>
    </xdr:from>
    <xdr:to>
      <xdr:col>3</xdr:col>
      <xdr:colOff>139700</xdr:colOff>
      <xdr:row>19</xdr:row>
      <xdr:rowOff>133350</xdr:rowOff>
    </xdr:to>
    <xdr:sp macro="" textlink="">
      <xdr:nvSpPr>
        <xdr:cNvPr id="9" name="Oval 8">
          <a:hlinkClick xmlns:r="http://schemas.openxmlformats.org/officeDocument/2006/relationships" r:id="" tooltip="Go left if Years since last promotion &lt; 6.5"/>
        </xdr:cNvPr>
        <xdr:cNvSpPr/>
      </xdr:nvSpPr>
      <xdr:spPr>
        <a:xfrm>
          <a:off x="1206500" y="3429000"/>
          <a:ext cx="762000" cy="381000"/>
        </a:xfrm>
        <a:prstGeom prst="ellipse">
          <a:avLst/>
        </a:prstGeom>
        <a:solidFill>
          <a:srgbClr val="4F81BD"/>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6.5</a:t>
          </a:r>
        </a:p>
      </xdr:txBody>
    </xdr:sp>
    <xdr:clientData/>
  </xdr:twoCellAnchor>
  <xdr:twoCellAnchor>
    <xdr:from>
      <xdr:col>1</xdr:col>
      <xdr:colOff>596900</xdr:colOff>
      <xdr:row>17</xdr:row>
      <xdr:rowOff>6350</xdr:rowOff>
    </xdr:from>
    <xdr:to>
      <xdr:col>3</xdr:col>
      <xdr:colOff>139700</xdr:colOff>
      <xdr:row>17</xdr:row>
      <xdr:rowOff>133350</xdr:rowOff>
    </xdr:to>
    <xdr:sp macro="" textlink="">
      <xdr:nvSpPr>
        <xdr:cNvPr id="10" name="TextBox 9"/>
        <xdr:cNvSpPr txBox="1"/>
      </xdr:nvSpPr>
      <xdr:spPr>
        <a:xfrm>
          <a:off x="1206500" y="3302000"/>
          <a:ext cx="762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800" b="0" i="0">
              <a:solidFill>
                <a:srgbClr xmlns:mc="http://schemas.openxmlformats.org/markup-compatibility/2006" xmlns:a14="http://schemas.microsoft.com/office/drawing/2010/main" val="DD0806" mc:Ignorable="a14" a14:legacySpreadsheetColorIndex="10"/>
              </a:solidFill>
            </a:rPr>
            <a:t>Years since last promotion</a:t>
          </a:r>
        </a:p>
      </xdr:txBody>
    </xdr:sp>
    <xdr:clientData/>
  </xdr:twoCellAnchor>
  <xdr:twoCellAnchor>
    <xdr:from>
      <xdr:col>2</xdr:col>
      <xdr:colOff>368300</xdr:colOff>
      <xdr:row>16</xdr:row>
      <xdr:rowOff>6350</xdr:rowOff>
    </xdr:from>
    <xdr:to>
      <xdr:col>3</xdr:col>
      <xdr:colOff>139700</xdr:colOff>
      <xdr:row>16</xdr:row>
      <xdr:rowOff>133350</xdr:rowOff>
    </xdr:to>
    <xdr:sp macro="" textlink="">
      <xdr:nvSpPr>
        <xdr:cNvPr id="11" name="TextBox 10"/>
        <xdr:cNvSpPr txBox="1"/>
      </xdr:nvSpPr>
      <xdr:spPr>
        <a:xfrm>
          <a:off x="1587500" y="3111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US" sz="800" b="0" i="0">
              <a:solidFill>
                <a:srgbClr xmlns:mc="http://schemas.openxmlformats.org/markup-compatibility/2006" xmlns:a14="http://schemas.microsoft.com/office/drawing/2010/main" val="000000" mc:Ignorable="a14" a14:legacySpreadsheetColorIndex="8"/>
              </a:solidFill>
            </a:rPr>
            <a:t>181</a:t>
          </a:r>
        </a:p>
      </xdr:txBody>
    </xdr:sp>
    <xdr:clientData/>
  </xdr:twoCellAnchor>
  <xdr:twoCellAnchor>
    <xdr:from>
      <xdr:col>4</xdr:col>
      <xdr:colOff>546100</xdr:colOff>
      <xdr:row>17</xdr:row>
      <xdr:rowOff>133350</xdr:rowOff>
    </xdr:from>
    <xdr:to>
      <xdr:col>6</xdr:col>
      <xdr:colOff>88900</xdr:colOff>
      <xdr:row>19</xdr:row>
      <xdr:rowOff>133350</xdr:rowOff>
    </xdr:to>
    <xdr:sp macro="" textlink="">
      <xdr:nvSpPr>
        <xdr:cNvPr id="12" name="Oval 11">
          <a:hlinkClick xmlns:r="http://schemas.openxmlformats.org/officeDocument/2006/relationships" r:id="" tooltip="Go left if Job Level &lt; 2.5"/>
        </xdr:cNvPr>
        <xdr:cNvSpPr/>
      </xdr:nvSpPr>
      <xdr:spPr>
        <a:xfrm>
          <a:off x="2984500" y="3429000"/>
          <a:ext cx="762000" cy="381000"/>
        </a:xfrm>
        <a:prstGeom prst="ellipse">
          <a:avLst/>
        </a:prstGeom>
        <a:solidFill>
          <a:srgbClr val="4F81BD"/>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2.5</a:t>
          </a:r>
        </a:p>
      </xdr:txBody>
    </xdr:sp>
    <xdr:clientData/>
  </xdr:twoCellAnchor>
  <xdr:twoCellAnchor>
    <xdr:from>
      <xdr:col>4</xdr:col>
      <xdr:colOff>546100</xdr:colOff>
      <xdr:row>17</xdr:row>
      <xdr:rowOff>6350</xdr:rowOff>
    </xdr:from>
    <xdr:to>
      <xdr:col>6</xdr:col>
      <xdr:colOff>88900</xdr:colOff>
      <xdr:row>17</xdr:row>
      <xdr:rowOff>133350</xdr:rowOff>
    </xdr:to>
    <xdr:sp macro="" textlink="">
      <xdr:nvSpPr>
        <xdr:cNvPr id="13" name="TextBox 12"/>
        <xdr:cNvSpPr txBox="1"/>
      </xdr:nvSpPr>
      <xdr:spPr>
        <a:xfrm>
          <a:off x="2984500" y="3302000"/>
          <a:ext cx="762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800" b="0" i="0">
              <a:solidFill>
                <a:srgbClr xmlns:mc="http://schemas.openxmlformats.org/markup-compatibility/2006" xmlns:a14="http://schemas.microsoft.com/office/drawing/2010/main" val="DD0806" mc:Ignorable="a14" a14:legacySpreadsheetColorIndex="10"/>
              </a:solidFill>
            </a:rPr>
            <a:t>Job Level</a:t>
          </a:r>
        </a:p>
      </xdr:txBody>
    </xdr:sp>
    <xdr:clientData/>
  </xdr:twoCellAnchor>
  <xdr:twoCellAnchor>
    <xdr:from>
      <xdr:col>4</xdr:col>
      <xdr:colOff>546100</xdr:colOff>
      <xdr:row>16</xdr:row>
      <xdr:rowOff>6350</xdr:rowOff>
    </xdr:from>
    <xdr:to>
      <xdr:col>5</xdr:col>
      <xdr:colOff>317500</xdr:colOff>
      <xdr:row>16</xdr:row>
      <xdr:rowOff>133350</xdr:rowOff>
    </xdr:to>
    <xdr:sp macro="" textlink="">
      <xdr:nvSpPr>
        <xdr:cNvPr id="14" name="TextBox 13"/>
        <xdr:cNvSpPr txBox="1"/>
      </xdr:nvSpPr>
      <xdr:spPr>
        <a:xfrm>
          <a:off x="2984500" y="3111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r"/>
          <a:r>
            <a:rPr lang="en-US" sz="800" b="0" i="0">
              <a:solidFill>
                <a:srgbClr xmlns:mc="http://schemas.openxmlformats.org/markup-compatibility/2006" xmlns:a14="http://schemas.microsoft.com/office/drawing/2010/main" val="000000" mc:Ignorable="a14" a14:legacySpreadsheetColorIndex="8"/>
              </a:solidFill>
            </a:rPr>
            <a:t>123</a:t>
          </a:r>
        </a:p>
      </xdr:txBody>
    </xdr:sp>
    <xdr:clientData/>
  </xdr:twoCellAnchor>
  <xdr:twoCellAnchor>
    <xdr:from>
      <xdr:col>1</xdr:col>
      <xdr:colOff>152400</xdr:colOff>
      <xdr:row>21</xdr:row>
      <xdr:rowOff>133350</xdr:rowOff>
    </xdr:from>
    <xdr:to>
      <xdr:col>2</xdr:col>
      <xdr:colOff>304800</xdr:colOff>
      <xdr:row>23</xdr:row>
      <xdr:rowOff>133350</xdr:rowOff>
    </xdr:to>
    <xdr:sp macro="" textlink="">
      <xdr:nvSpPr>
        <xdr:cNvPr id="15" name="Rectangle 14">
          <a:hlinkClick xmlns:r="http://schemas.openxmlformats.org/officeDocument/2006/relationships" r:id="" tooltip="Terminal"/>
        </xdr:cNvPr>
        <xdr:cNvSpPr/>
      </xdr:nvSpPr>
      <xdr:spPr>
        <a:xfrm>
          <a:off x="762000" y="4191000"/>
          <a:ext cx="762000" cy="381000"/>
        </a:xfrm>
        <a:prstGeom prst="rect">
          <a:avLst/>
        </a:prstGeom>
        <a:solidFill>
          <a:srgbClr val="148014"/>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1</xdr:col>
      <xdr:colOff>533400</xdr:colOff>
      <xdr:row>20</xdr:row>
      <xdr:rowOff>6350</xdr:rowOff>
    </xdr:from>
    <xdr:to>
      <xdr:col>2</xdr:col>
      <xdr:colOff>304800</xdr:colOff>
      <xdr:row>20</xdr:row>
      <xdr:rowOff>133350</xdr:rowOff>
    </xdr:to>
    <xdr:sp macro="" textlink="">
      <xdr:nvSpPr>
        <xdr:cNvPr id="16" name="TextBox 15"/>
        <xdr:cNvSpPr txBox="1"/>
      </xdr:nvSpPr>
      <xdr:spPr>
        <a:xfrm>
          <a:off x="1143000" y="3873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US" sz="800" b="0" i="0">
              <a:solidFill>
                <a:srgbClr xmlns:mc="http://schemas.openxmlformats.org/markup-compatibility/2006" xmlns:a14="http://schemas.microsoft.com/office/drawing/2010/main" val="000000" mc:Ignorable="a14" a14:legacySpreadsheetColorIndex="8"/>
              </a:solidFill>
            </a:rPr>
            <a:t>117</a:t>
          </a:r>
        </a:p>
      </xdr:txBody>
    </xdr:sp>
    <xdr:clientData/>
  </xdr:twoCellAnchor>
  <xdr:twoCellAnchor>
    <xdr:from>
      <xdr:col>2</xdr:col>
      <xdr:colOff>431800</xdr:colOff>
      <xdr:row>21</xdr:row>
      <xdr:rowOff>133350</xdr:rowOff>
    </xdr:from>
    <xdr:to>
      <xdr:col>3</xdr:col>
      <xdr:colOff>584200</xdr:colOff>
      <xdr:row>23</xdr:row>
      <xdr:rowOff>133350</xdr:rowOff>
    </xdr:to>
    <xdr:sp macro="" textlink="">
      <xdr:nvSpPr>
        <xdr:cNvPr id="17" name="Rectangle 16">
          <a:hlinkClick xmlns:r="http://schemas.openxmlformats.org/officeDocument/2006/relationships" r:id="" tooltip="Terminal"/>
        </xdr:cNvPr>
        <xdr:cNvSpPr/>
      </xdr:nvSpPr>
      <xdr:spPr>
        <a:xfrm>
          <a:off x="1651000" y="4191000"/>
          <a:ext cx="762000" cy="381000"/>
        </a:xfrm>
        <a:prstGeom prst="rect">
          <a:avLst/>
        </a:prstGeom>
        <a:solidFill>
          <a:srgbClr val="148014"/>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2</xdr:col>
      <xdr:colOff>431800</xdr:colOff>
      <xdr:row>20</xdr:row>
      <xdr:rowOff>6350</xdr:rowOff>
    </xdr:from>
    <xdr:to>
      <xdr:col>3</xdr:col>
      <xdr:colOff>203200</xdr:colOff>
      <xdr:row>20</xdr:row>
      <xdr:rowOff>133350</xdr:rowOff>
    </xdr:to>
    <xdr:sp macro="" textlink="">
      <xdr:nvSpPr>
        <xdr:cNvPr id="18" name="TextBox 17"/>
        <xdr:cNvSpPr txBox="1"/>
      </xdr:nvSpPr>
      <xdr:spPr>
        <a:xfrm>
          <a:off x="1651000" y="3873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r"/>
          <a:r>
            <a:rPr lang="en-US" sz="800" b="0" i="0">
              <a:solidFill>
                <a:srgbClr xmlns:mc="http://schemas.openxmlformats.org/markup-compatibility/2006" xmlns:a14="http://schemas.microsoft.com/office/drawing/2010/main" val="000000" mc:Ignorable="a14" a14:legacySpreadsheetColorIndex="8"/>
              </a:solidFill>
            </a:rPr>
            <a:t>64</a:t>
          </a:r>
        </a:p>
      </xdr:txBody>
    </xdr:sp>
    <xdr:clientData/>
  </xdr:twoCellAnchor>
  <xdr:twoCellAnchor>
    <xdr:from>
      <xdr:col>4</xdr:col>
      <xdr:colOff>101600</xdr:colOff>
      <xdr:row>21</xdr:row>
      <xdr:rowOff>133350</xdr:rowOff>
    </xdr:from>
    <xdr:to>
      <xdr:col>5</xdr:col>
      <xdr:colOff>254000</xdr:colOff>
      <xdr:row>23</xdr:row>
      <xdr:rowOff>133350</xdr:rowOff>
    </xdr:to>
    <xdr:sp macro="" textlink="">
      <xdr:nvSpPr>
        <xdr:cNvPr id="19" name="Rectangle 18">
          <a:hlinkClick xmlns:r="http://schemas.openxmlformats.org/officeDocument/2006/relationships" r:id="" tooltip="Terminal"/>
        </xdr:cNvPr>
        <xdr:cNvSpPr/>
      </xdr:nvSpPr>
      <xdr:spPr>
        <a:xfrm>
          <a:off x="2540000" y="4191000"/>
          <a:ext cx="762000" cy="381000"/>
        </a:xfrm>
        <a:prstGeom prst="rect">
          <a:avLst/>
        </a:prstGeom>
        <a:solidFill>
          <a:srgbClr val="148014"/>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1</a:t>
          </a:r>
        </a:p>
      </xdr:txBody>
    </xdr:sp>
    <xdr:clientData/>
  </xdr:twoCellAnchor>
  <xdr:twoCellAnchor>
    <xdr:from>
      <xdr:col>4</xdr:col>
      <xdr:colOff>482600</xdr:colOff>
      <xdr:row>20</xdr:row>
      <xdr:rowOff>6350</xdr:rowOff>
    </xdr:from>
    <xdr:to>
      <xdr:col>5</xdr:col>
      <xdr:colOff>254000</xdr:colOff>
      <xdr:row>20</xdr:row>
      <xdr:rowOff>133350</xdr:rowOff>
    </xdr:to>
    <xdr:sp macro="" textlink="">
      <xdr:nvSpPr>
        <xdr:cNvPr id="20" name="TextBox 19"/>
        <xdr:cNvSpPr txBox="1"/>
      </xdr:nvSpPr>
      <xdr:spPr>
        <a:xfrm>
          <a:off x="2921000" y="3873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US" sz="800" b="0" i="0">
              <a:solidFill>
                <a:srgbClr xmlns:mc="http://schemas.openxmlformats.org/markup-compatibility/2006" xmlns:a14="http://schemas.microsoft.com/office/drawing/2010/main" val="000000" mc:Ignorable="a14" a14:legacySpreadsheetColorIndex="8"/>
              </a:solidFill>
            </a:rPr>
            <a:t>81</a:t>
          </a:r>
        </a:p>
      </xdr:txBody>
    </xdr:sp>
    <xdr:clientData/>
  </xdr:twoCellAnchor>
  <xdr:twoCellAnchor>
    <xdr:from>
      <xdr:col>5</xdr:col>
      <xdr:colOff>381000</xdr:colOff>
      <xdr:row>21</xdr:row>
      <xdr:rowOff>133350</xdr:rowOff>
    </xdr:from>
    <xdr:to>
      <xdr:col>6</xdr:col>
      <xdr:colOff>533400</xdr:colOff>
      <xdr:row>23</xdr:row>
      <xdr:rowOff>133350</xdr:rowOff>
    </xdr:to>
    <xdr:sp macro="" textlink="">
      <xdr:nvSpPr>
        <xdr:cNvPr id="21" name="Rectangle 20">
          <a:hlinkClick xmlns:r="http://schemas.openxmlformats.org/officeDocument/2006/relationships" r:id="" tooltip="Terminal"/>
        </xdr:cNvPr>
        <xdr:cNvSpPr/>
      </xdr:nvSpPr>
      <xdr:spPr>
        <a:xfrm>
          <a:off x="3429000" y="4191000"/>
          <a:ext cx="762000" cy="381000"/>
        </a:xfrm>
        <a:prstGeom prst="rect">
          <a:avLst/>
        </a:prstGeom>
        <a:solidFill>
          <a:srgbClr val="148014"/>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5</xdr:col>
      <xdr:colOff>381000</xdr:colOff>
      <xdr:row>20</xdr:row>
      <xdr:rowOff>6350</xdr:rowOff>
    </xdr:from>
    <xdr:to>
      <xdr:col>6</xdr:col>
      <xdr:colOff>152400</xdr:colOff>
      <xdr:row>20</xdr:row>
      <xdr:rowOff>133350</xdr:rowOff>
    </xdr:to>
    <xdr:sp macro="" textlink="">
      <xdr:nvSpPr>
        <xdr:cNvPr id="22" name="TextBox 21"/>
        <xdr:cNvSpPr txBox="1"/>
      </xdr:nvSpPr>
      <xdr:spPr>
        <a:xfrm>
          <a:off x="3429000" y="3873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r"/>
          <a:r>
            <a:rPr lang="en-US" sz="800" b="0" i="0">
              <a:solidFill>
                <a:srgbClr xmlns:mc="http://schemas.openxmlformats.org/markup-compatibility/2006" xmlns:a14="http://schemas.microsoft.com/office/drawing/2010/main" val="000000" mc:Ignorable="a14" a14:legacySpreadsheetColorIndex="8"/>
              </a:solidFill>
            </a:rPr>
            <a:t>42</a:t>
          </a:r>
        </a:p>
      </xdr:txBody>
    </xdr:sp>
    <xdr:clientData/>
  </xdr:twoCellAnchor>
  <xdr:twoCellAnchor>
    <xdr:from>
      <xdr:col>1</xdr:col>
      <xdr:colOff>533400</xdr:colOff>
      <xdr:row>12</xdr:row>
      <xdr:rowOff>133350</xdr:rowOff>
    </xdr:from>
    <xdr:to>
      <xdr:col>1</xdr:col>
      <xdr:colOff>533400</xdr:colOff>
      <xdr:row>13</xdr:row>
      <xdr:rowOff>133350</xdr:rowOff>
    </xdr:to>
    <xdr:cxnSp macro="">
      <xdr:nvCxnSpPr>
        <xdr:cNvPr id="23" name="Straight Arrow Connector 22"/>
        <xdr:cNvCxnSpPr/>
      </xdr:nvCxnSpPr>
      <xdr:spPr>
        <a:xfrm flipV="1">
          <a:off x="1143000" y="24765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533400</xdr:colOff>
      <xdr:row>12</xdr:row>
      <xdr:rowOff>133350</xdr:rowOff>
    </xdr:from>
    <xdr:to>
      <xdr:col>2</xdr:col>
      <xdr:colOff>590550</xdr:colOff>
      <xdr:row>12</xdr:row>
      <xdr:rowOff>133350</xdr:rowOff>
    </xdr:to>
    <xdr:cxnSp macro="">
      <xdr:nvCxnSpPr>
        <xdr:cNvPr id="24" name="Straight Arrow Connector 23"/>
        <xdr:cNvCxnSpPr/>
      </xdr:nvCxnSpPr>
      <xdr:spPr>
        <a:xfrm>
          <a:off x="1143000" y="2476500"/>
          <a:ext cx="66675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590550</xdr:colOff>
      <xdr:row>11</xdr:row>
      <xdr:rowOff>133350</xdr:rowOff>
    </xdr:from>
    <xdr:to>
      <xdr:col>2</xdr:col>
      <xdr:colOff>590550</xdr:colOff>
      <xdr:row>12</xdr:row>
      <xdr:rowOff>133350</xdr:rowOff>
    </xdr:to>
    <xdr:cxnSp macro="">
      <xdr:nvCxnSpPr>
        <xdr:cNvPr id="25" name="Straight Arrow Connector 24"/>
        <xdr:cNvCxnSpPr/>
      </xdr:nvCxnSpPr>
      <xdr:spPr>
        <a:xfrm flipV="1">
          <a:off x="1809750" y="2286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38100</xdr:colOff>
      <xdr:row>12</xdr:row>
      <xdr:rowOff>133350</xdr:rowOff>
    </xdr:from>
    <xdr:to>
      <xdr:col>4</xdr:col>
      <xdr:colOff>38100</xdr:colOff>
      <xdr:row>13</xdr:row>
      <xdr:rowOff>6350</xdr:rowOff>
    </xdr:to>
    <xdr:cxnSp macro="">
      <xdr:nvCxnSpPr>
        <xdr:cNvPr id="26" name="Straight Arrow Connector 25"/>
        <xdr:cNvCxnSpPr/>
      </xdr:nvCxnSpPr>
      <xdr:spPr>
        <a:xfrm flipV="1">
          <a:off x="2476500" y="2476500"/>
          <a:ext cx="0" cy="63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590550</xdr:colOff>
      <xdr:row>12</xdr:row>
      <xdr:rowOff>133350</xdr:rowOff>
    </xdr:from>
    <xdr:to>
      <xdr:col>4</xdr:col>
      <xdr:colOff>38100</xdr:colOff>
      <xdr:row>12</xdr:row>
      <xdr:rowOff>133350</xdr:rowOff>
    </xdr:to>
    <xdr:cxnSp macro="">
      <xdr:nvCxnSpPr>
        <xdr:cNvPr id="27" name="Straight Arrow Connector 26"/>
        <xdr:cNvCxnSpPr/>
      </xdr:nvCxnSpPr>
      <xdr:spPr>
        <a:xfrm flipH="1">
          <a:off x="1809750" y="2476500"/>
          <a:ext cx="66675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590550</xdr:colOff>
      <xdr:row>11</xdr:row>
      <xdr:rowOff>133350</xdr:rowOff>
    </xdr:from>
    <xdr:to>
      <xdr:col>2</xdr:col>
      <xdr:colOff>590550</xdr:colOff>
      <xdr:row>12</xdr:row>
      <xdr:rowOff>133350</xdr:rowOff>
    </xdr:to>
    <xdr:cxnSp macro="">
      <xdr:nvCxnSpPr>
        <xdr:cNvPr id="28" name="Straight Arrow Connector 27"/>
        <xdr:cNvCxnSpPr/>
      </xdr:nvCxnSpPr>
      <xdr:spPr>
        <a:xfrm flipV="1">
          <a:off x="1809750" y="2286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368300</xdr:colOff>
      <xdr:row>16</xdr:row>
      <xdr:rowOff>133350</xdr:rowOff>
    </xdr:from>
    <xdr:to>
      <xdr:col>2</xdr:col>
      <xdr:colOff>368300</xdr:colOff>
      <xdr:row>17</xdr:row>
      <xdr:rowOff>6350</xdr:rowOff>
    </xdr:to>
    <xdr:cxnSp macro="">
      <xdr:nvCxnSpPr>
        <xdr:cNvPr id="29" name="Straight Arrow Connector 28"/>
        <xdr:cNvCxnSpPr/>
      </xdr:nvCxnSpPr>
      <xdr:spPr>
        <a:xfrm flipV="1">
          <a:off x="1587500" y="3238500"/>
          <a:ext cx="0" cy="63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368300</xdr:colOff>
      <xdr:row>16</xdr:row>
      <xdr:rowOff>133350</xdr:rowOff>
    </xdr:from>
    <xdr:to>
      <xdr:col>4</xdr:col>
      <xdr:colOff>38100</xdr:colOff>
      <xdr:row>16</xdr:row>
      <xdr:rowOff>133350</xdr:rowOff>
    </xdr:to>
    <xdr:cxnSp macro="">
      <xdr:nvCxnSpPr>
        <xdr:cNvPr id="30" name="Straight Arrow Connector 29"/>
        <xdr:cNvCxnSpPr/>
      </xdr:nvCxnSpPr>
      <xdr:spPr>
        <a:xfrm>
          <a:off x="1587500" y="3238500"/>
          <a:ext cx="8890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38100</xdr:colOff>
      <xdr:row>15</xdr:row>
      <xdr:rowOff>133350</xdr:rowOff>
    </xdr:from>
    <xdr:to>
      <xdr:col>4</xdr:col>
      <xdr:colOff>38100</xdr:colOff>
      <xdr:row>16</xdr:row>
      <xdr:rowOff>133350</xdr:rowOff>
    </xdr:to>
    <xdr:cxnSp macro="">
      <xdr:nvCxnSpPr>
        <xdr:cNvPr id="31" name="Straight Arrow Connector 30"/>
        <xdr:cNvCxnSpPr/>
      </xdr:nvCxnSpPr>
      <xdr:spPr>
        <a:xfrm flipV="1">
          <a:off x="2476500" y="3048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317500</xdr:colOff>
      <xdr:row>16</xdr:row>
      <xdr:rowOff>133350</xdr:rowOff>
    </xdr:from>
    <xdr:to>
      <xdr:col>5</xdr:col>
      <xdr:colOff>317500</xdr:colOff>
      <xdr:row>17</xdr:row>
      <xdr:rowOff>6350</xdr:rowOff>
    </xdr:to>
    <xdr:cxnSp macro="">
      <xdr:nvCxnSpPr>
        <xdr:cNvPr id="32" name="Straight Arrow Connector 31"/>
        <xdr:cNvCxnSpPr/>
      </xdr:nvCxnSpPr>
      <xdr:spPr>
        <a:xfrm flipV="1">
          <a:off x="3365500" y="3238500"/>
          <a:ext cx="0" cy="63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38100</xdr:colOff>
      <xdr:row>16</xdr:row>
      <xdr:rowOff>133350</xdr:rowOff>
    </xdr:from>
    <xdr:to>
      <xdr:col>5</xdr:col>
      <xdr:colOff>317500</xdr:colOff>
      <xdr:row>16</xdr:row>
      <xdr:rowOff>133350</xdr:rowOff>
    </xdr:to>
    <xdr:cxnSp macro="">
      <xdr:nvCxnSpPr>
        <xdr:cNvPr id="33" name="Straight Arrow Connector 32"/>
        <xdr:cNvCxnSpPr/>
      </xdr:nvCxnSpPr>
      <xdr:spPr>
        <a:xfrm flipH="1">
          <a:off x="2476500" y="3238500"/>
          <a:ext cx="8890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38100</xdr:colOff>
      <xdr:row>15</xdr:row>
      <xdr:rowOff>133350</xdr:rowOff>
    </xdr:from>
    <xdr:to>
      <xdr:col>4</xdr:col>
      <xdr:colOff>38100</xdr:colOff>
      <xdr:row>16</xdr:row>
      <xdr:rowOff>133350</xdr:rowOff>
    </xdr:to>
    <xdr:cxnSp macro="">
      <xdr:nvCxnSpPr>
        <xdr:cNvPr id="34" name="Straight Arrow Connector 33"/>
        <xdr:cNvCxnSpPr/>
      </xdr:nvCxnSpPr>
      <xdr:spPr>
        <a:xfrm flipV="1">
          <a:off x="2476500" y="3048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533400</xdr:colOff>
      <xdr:row>20</xdr:row>
      <xdr:rowOff>133350</xdr:rowOff>
    </xdr:from>
    <xdr:to>
      <xdr:col>1</xdr:col>
      <xdr:colOff>533400</xdr:colOff>
      <xdr:row>21</xdr:row>
      <xdr:rowOff>133350</xdr:rowOff>
    </xdr:to>
    <xdr:cxnSp macro="">
      <xdr:nvCxnSpPr>
        <xdr:cNvPr id="35" name="Straight Arrow Connector 34"/>
        <xdr:cNvCxnSpPr/>
      </xdr:nvCxnSpPr>
      <xdr:spPr>
        <a:xfrm flipV="1">
          <a:off x="1143000" y="40005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533400</xdr:colOff>
      <xdr:row>20</xdr:row>
      <xdr:rowOff>133350</xdr:rowOff>
    </xdr:from>
    <xdr:to>
      <xdr:col>2</xdr:col>
      <xdr:colOff>368300</xdr:colOff>
      <xdr:row>20</xdr:row>
      <xdr:rowOff>133350</xdr:rowOff>
    </xdr:to>
    <xdr:cxnSp macro="">
      <xdr:nvCxnSpPr>
        <xdr:cNvPr id="36" name="Straight Arrow Connector 35"/>
        <xdr:cNvCxnSpPr/>
      </xdr:nvCxnSpPr>
      <xdr:spPr>
        <a:xfrm>
          <a:off x="1143000" y="4000500"/>
          <a:ext cx="4445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368300</xdr:colOff>
      <xdr:row>19</xdr:row>
      <xdr:rowOff>133350</xdr:rowOff>
    </xdr:from>
    <xdr:to>
      <xdr:col>2</xdr:col>
      <xdr:colOff>368300</xdr:colOff>
      <xdr:row>20</xdr:row>
      <xdr:rowOff>133350</xdr:rowOff>
    </xdr:to>
    <xdr:cxnSp macro="">
      <xdr:nvCxnSpPr>
        <xdr:cNvPr id="37" name="Straight Arrow Connector 36"/>
        <xdr:cNvCxnSpPr/>
      </xdr:nvCxnSpPr>
      <xdr:spPr>
        <a:xfrm flipV="1">
          <a:off x="1587500" y="3810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203200</xdr:colOff>
      <xdr:row>20</xdr:row>
      <xdr:rowOff>133350</xdr:rowOff>
    </xdr:from>
    <xdr:to>
      <xdr:col>3</xdr:col>
      <xdr:colOff>203200</xdr:colOff>
      <xdr:row>21</xdr:row>
      <xdr:rowOff>133350</xdr:rowOff>
    </xdr:to>
    <xdr:cxnSp macro="">
      <xdr:nvCxnSpPr>
        <xdr:cNvPr id="38" name="Straight Arrow Connector 37"/>
        <xdr:cNvCxnSpPr/>
      </xdr:nvCxnSpPr>
      <xdr:spPr>
        <a:xfrm flipV="1">
          <a:off x="2032000" y="40005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368300</xdr:colOff>
      <xdr:row>20</xdr:row>
      <xdr:rowOff>133350</xdr:rowOff>
    </xdr:from>
    <xdr:to>
      <xdr:col>3</xdr:col>
      <xdr:colOff>203200</xdr:colOff>
      <xdr:row>20</xdr:row>
      <xdr:rowOff>133350</xdr:rowOff>
    </xdr:to>
    <xdr:cxnSp macro="">
      <xdr:nvCxnSpPr>
        <xdr:cNvPr id="39" name="Straight Arrow Connector 38"/>
        <xdr:cNvCxnSpPr/>
      </xdr:nvCxnSpPr>
      <xdr:spPr>
        <a:xfrm flipH="1">
          <a:off x="1587500" y="4000500"/>
          <a:ext cx="4445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368300</xdr:colOff>
      <xdr:row>19</xdr:row>
      <xdr:rowOff>133350</xdr:rowOff>
    </xdr:from>
    <xdr:to>
      <xdr:col>2</xdr:col>
      <xdr:colOff>368300</xdr:colOff>
      <xdr:row>20</xdr:row>
      <xdr:rowOff>133350</xdr:rowOff>
    </xdr:to>
    <xdr:cxnSp macro="">
      <xdr:nvCxnSpPr>
        <xdr:cNvPr id="40" name="Straight Arrow Connector 39"/>
        <xdr:cNvCxnSpPr/>
      </xdr:nvCxnSpPr>
      <xdr:spPr>
        <a:xfrm flipV="1">
          <a:off x="1587500" y="3810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482600</xdr:colOff>
      <xdr:row>20</xdr:row>
      <xdr:rowOff>133350</xdr:rowOff>
    </xdr:from>
    <xdr:to>
      <xdr:col>4</xdr:col>
      <xdr:colOff>482600</xdr:colOff>
      <xdr:row>21</xdr:row>
      <xdr:rowOff>133350</xdr:rowOff>
    </xdr:to>
    <xdr:cxnSp macro="">
      <xdr:nvCxnSpPr>
        <xdr:cNvPr id="41" name="Straight Arrow Connector 40"/>
        <xdr:cNvCxnSpPr/>
      </xdr:nvCxnSpPr>
      <xdr:spPr>
        <a:xfrm flipV="1">
          <a:off x="2921000" y="40005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482600</xdr:colOff>
      <xdr:row>20</xdr:row>
      <xdr:rowOff>133350</xdr:rowOff>
    </xdr:from>
    <xdr:to>
      <xdr:col>5</xdr:col>
      <xdr:colOff>317500</xdr:colOff>
      <xdr:row>20</xdr:row>
      <xdr:rowOff>133350</xdr:rowOff>
    </xdr:to>
    <xdr:cxnSp macro="">
      <xdr:nvCxnSpPr>
        <xdr:cNvPr id="42" name="Straight Arrow Connector 41"/>
        <xdr:cNvCxnSpPr/>
      </xdr:nvCxnSpPr>
      <xdr:spPr>
        <a:xfrm>
          <a:off x="2921000" y="4000500"/>
          <a:ext cx="4445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317500</xdr:colOff>
      <xdr:row>19</xdr:row>
      <xdr:rowOff>133350</xdr:rowOff>
    </xdr:from>
    <xdr:to>
      <xdr:col>5</xdr:col>
      <xdr:colOff>317500</xdr:colOff>
      <xdr:row>20</xdr:row>
      <xdr:rowOff>133350</xdr:rowOff>
    </xdr:to>
    <xdr:cxnSp macro="">
      <xdr:nvCxnSpPr>
        <xdr:cNvPr id="43" name="Straight Arrow Connector 42"/>
        <xdr:cNvCxnSpPr/>
      </xdr:nvCxnSpPr>
      <xdr:spPr>
        <a:xfrm flipV="1">
          <a:off x="3365500" y="3810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20</xdr:row>
      <xdr:rowOff>133350</xdr:rowOff>
    </xdr:from>
    <xdr:to>
      <xdr:col>6</xdr:col>
      <xdr:colOff>152400</xdr:colOff>
      <xdr:row>21</xdr:row>
      <xdr:rowOff>133350</xdr:rowOff>
    </xdr:to>
    <xdr:cxnSp macro="">
      <xdr:nvCxnSpPr>
        <xdr:cNvPr id="44" name="Straight Arrow Connector 43"/>
        <xdr:cNvCxnSpPr/>
      </xdr:nvCxnSpPr>
      <xdr:spPr>
        <a:xfrm flipV="1">
          <a:off x="3810000" y="40005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317500</xdr:colOff>
      <xdr:row>20</xdr:row>
      <xdr:rowOff>133350</xdr:rowOff>
    </xdr:from>
    <xdr:to>
      <xdr:col>6</xdr:col>
      <xdr:colOff>152400</xdr:colOff>
      <xdr:row>20</xdr:row>
      <xdr:rowOff>133350</xdr:rowOff>
    </xdr:to>
    <xdr:cxnSp macro="">
      <xdr:nvCxnSpPr>
        <xdr:cNvPr id="45" name="Straight Arrow Connector 44"/>
        <xdr:cNvCxnSpPr/>
      </xdr:nvCxnSpPr>
      <xdr:spPr>
        <a:xfrm flipH="1">
          <a:off x="3365500" y="4000500"/>
          <a:ext cx="4445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317500</xdr:colOff>
      <xdr:row>19</xdr:row>
      <xdr:rowOff>133350</xdr:rowOff>
    </xdr:from>
    <xdr:to>
      <xdr:col>5</xdr:col>
      <xdr:colOff>317500</xdr:colOff>
      <xdr:row>20</xdr:row>
      <xdr:rowOff>133350</xdr:rowOff>
    </xdr:to>
    <xdr:cxnSp macro="">
      <xdr:nvCxnSpPr>
        <xdr:cNvPr id="46" name="Straight Arrow Connector 45"/>
        <xdr:cNvCxnSpPr/>
      </xdr:nvCxnSpPr>
      <xdr:spPr>
        <a:xfrm flipV="1">
          <a:off x="3365500" y="3810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495300</xdr:colOff>
      <xdr:row>9</xdr:row>
      <xdr:rowOff>133350</xdr:rowOff>
    </xdr:from>
    <xdr:to>
      <xdr:col>9</xdr:col>
      <xdr:colOff>38100</xdr:colOff>
      <xdr:row>11</xdr:row>
      <xdr:rowOff>133350</xdr:rowOff>
    </xdr:to>
    <xdr:sp macro="" textlink="">
      <xdr:nvSpPr>
        <xdr:cNvPr id="2" name="Oval 1">
          <a:hlinkClick xmlns:r="http://schemas.openxmlformats.org/officeDocument/2006/relationships" r:id="" tooltip="Go left if Years with current manager &lt; 7.5"/>
        </xdr:cNvPr>
        <xdr:cNvSpPr/>
      </xdr:nvSpPr>
      <xdr:spPr>
        <a:xfrm>
          <a:off x="4762500" y="1905000"/>
          <a:ext cx="762000" cy="381000"/>
        </a:xfrm>
        <a:prstGeom prst="ellipse">
          <a:avLst/>
        </a:prstGeom>
        <a:solidFill>
          <a:srgbClr val="4F81BD"/>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7.5</a:t>
          </a:r>
        </a:p>
      </xdr:txBody>
    </xdr:sp>
    <xdr:clientData/>
  </xdr:twoCellAnchor>
  <xdr:twoCellAnchor>
    <xdr:from>
      <xdr:col>7</xdr:col>
      <xdr:colOff>495300</xdr:colOff>
      <xdr:row>9</xdr:row>
      <xdr:rowOff>6350</xdr:rowOff>
    </xdr:from>
    <xdr:to>
      <xdr:col>9</xdr:col>
      <xdr:colOff>38100</xdr:colOff>
      <xdr:row>9</xdr:row>
      <xdr:rowOff>133350</xdr:rowOff>
    </xdr:to>
    <xdr:sp macro="" textlink="">
      <xdr:nvSpPr>
        <xdr:cNvPr id="3" name="TextBox 2"/>
        <xdr:cNvSpPr txBox="1"/>
      </xdr:nvSpPr>
      <xdr:spPr>
        <a:xfrm>
          <a:off x="4762500" y="1778000"/>
          <a:ext cx="762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800" b="0" i="0">
              <a:solidFill>
                <a:srgbClr xmlns:mc="http://schemas.openxmlformats.org/markup-compatibility/2006" xmlns:a14="http://schemas.microsoft.com/office/drawing/2010/main" val="DD0806" mc:Ignorable="a14" a14:legacySpreadsheetColorIndex="10"/>
              </a:solidFill>
            </a:rPr>
            <a:t>Years with current manager</a:t>
          </a:r>
        </a:p>
      </xdr:txBody>
    </xdr:sp>
    <xdr:clientData/>
  </xdr:twoCellAnchor>
  <xdr:twoCellAnchor>
    <xdr:from>
      <xdr:col>4</xdr:col>
      <xdr:colOff>546100</xdr:colOff>
      <xdr:row>13</xdr:row>
      <xdr:rowOff>133350</xdr:rowOff>
    </xdr:from>
    <xdr:to>
      <xdr:col>6</xdr:col>
      <xdr:colOff>88900</xdr:colOff>
      <xdr:row>15</xdr:row>
      <xdr:rowOff>133350</xdr:rowOff>
    </xdr:to>
    <xdr:sp macro="" textlink="">
      <xdr:nvSpPr>
        <xdr:cNvPr id="4" name="Oval 3">
          <a:hlinkClick xmlns:r="http://schemas.openxmlformats.org/officeDocument/2006/relationships" r:id="" tooltip="Go left if Job Level &lt; 1.5"/>
        </xdr:cNvPr>
        <xdr:cNvSpPr/>
      </xdr:nvSpPr>
      <xdr:spPr>
        <a:xfrm>
          <a:off x="2984500" y="2667000"/>
          <a:ext cx="762000" cy="381000"/>
        </a:xfrm>
        <a:prstGeom prst="ellipse">
          <a:avLst/>
        </a:prstGeom>
        <a:solidFill>
          <a:srgbClr val="4F81BD"/>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1.5</a:t>
          </a:r>
        </a:p>
      </xdr:txBody>
    </xdr:sp>
    <xdr:clientData/>
  </xdr:twoCellAnchor>
  <xdr:twoCellAnchor>
    <xdr:from>
      <xdr:col>4</xdr:col>
      <xdr:colOff>546100</xdr:colOff>
      <xdr:row>13</xdr:row>
      <xdr:rowOff>6350</xdr:rowOff>
    </xdr:from>
    <xdr:to>
      <xdr:col>6</xdr:col>
      <xdr:colOff>88900</xdr:colOff>
      <xdr:row>13</xdr:row>
      <xdr:rowOff>133350</xdr:rowOff>
    </xdr:to>
    <xdr:sp macro="" textlink="">
      <xdr:nvSpPr>
        <xdr:cNvPr id="5" name="TextBox 4"/>
        <xdr:cNvSpPr txBox="1"/>
      </xdr:nvSpPr>
      <xdr:spPr>
        <a:xfrm>
          <a:off x="2984500" y="2540000"/>
          <a:ext cx="762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800" b="0" i="0">
              <a:solidFill>
                <a:srgbClr xmlns:mc="http://schemas.openxmlformats.org/markup-compatibility/2006" xmlns:a14="http://schemas.microsoft.com/office/drawing/2010/main" val="DD0806" mc:Ignorable="a14" a14:legacySpreadsheetColorIndex="10"/>
              </a:solidFill>
            </a:rPr>
            <a:t>Job Level</a:t>
          </a:r>
        </a:p>
      </xdr:txBody>
    </xdr:sp>
    <xdr:clientData/>
  </xdr:twoCellAnchor>
  <xdr:twoCellAnchor>
    <xdr:from>
      <xdr:col>5</xdr:col>
      <xdr:colOff>317500</xdr:colOff>
      <xdr:row>12</xdr:row>
      <xdr:rowOff>6350</xdr:rowOff>
    </xdr:from>
    <xdr:to>
      <xdr:col>6</xdr:col>
      <xdr:colOff>88900</xdr:colOff>
      <xdr:row>12</xdr:row>
      <xdr:rowOff>133350</xdr:rowOff>
    </xdr:to>
    <xdr:sp macro="" textlink="">
      <xdr:nvSpPr>
        <xdr:cNvPr id="6" name="TextBox 5"/>
        <xdr:cNvSpPr txBox="1"/>
      </xdr:nvSpPr>
      <xdr:spPr>
        <a:xfrm>
          <a:off x="3365500" y="2349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US" sz="800" b="0" i="0">
              <a:solidFill>
                <a:srgbClr xmlns:mc="http://schemas.openxmlformats.org/markup-compatibility/2006" xmlns:a14="http://schemas.microsoft.com/office/drawing/2010/main" val="000000" mc:Ignorable="a14" a14:legacySpreadsheetColorIndex="8"/>
              </a:solidFill>
            </a:rPr>
            <a:t>1055</a:t>
          </a:r>
        </a:p>
      </xdr:txBody>
    </xdr:sp>
    <xdr:clientData/>
  </xdr:twoCellAnchor>
  <xdr:twoCellAnchor>
    <xdr:from>
      <xdr:col>10</xdr:col>
      <xdr:colOff>444500</xdr:colOff>
      <xdr:row>13</xdr:row>
      <xdr:rowOff>133350</xdr:rowOff>
    </xdr:from>
    <xdr:to>
      <xdr:col>11</xdr:col>
      <xdr:colOff>596900</xdr:colOff>
      <xdr:row>15</xdr:row>
      <xdr:rowOff>133350</xdr:rowOff>
    </xdr:to>
    <xdr:sp macro="" textlink="">
      <xdr:nvSpPr>
        <xdr:cNvPr id="7" name="Oval 6">
          <a:hlinkClick xmlns:r="http://schemas.openxmlformats.org/officeDocument/2006/relationships" r:id="" tooltip="Go left if Performance rating &lt; 3.5"/>
        </xdr:cNvPr>
        <xdr:cNvSpPr/>
      </xdr:nvSpPr>
      <xdr:spPr>
        <a:xfrm>
          <a:off x="6540500" y="2667000"/>
          <a:ext cx="762000" cy="381000"/>
        </a:xfrm>
        <a:prstGeom prst="ellipse">
          <a:avLst/>
        </a:prstGeom>
        <a:solidFill>
          <a:srgbClr val="4F81BD"/>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3.5</a:t>
          </a:r>
        </a:p>
      </xdr:txBody>
    </xdr:sp>
    <xdr:clientData/>
  </xdr:twoCellAnchor>
  <xdr:twoCellAnchor>
    <xdr:from>
      <xdr:col>10</xdr:col>
      <xdr:colOff>444500</xdr:colOff>
      <xdr:row>13</xdr:row>
      <xdr:rowOff>6350</xdr:rowOff>
    </xdr:from>
    <xdr:to>
      <xdr:col>11</xdr:col>
      <xdr:colOff>596900</xdr:colOff>
      <xdr:row>13</xdr:row>
      <xdr:rowOff>133350</xdr:rowOff>
    </xdr:to>
    <xdr:sp macro="" textlink="">
      <xdr:nvSpPr>
        <xdr:cNvPr id="8" name="TextBox 7"/>
        <xdr:cNvSpPr txBox="1"/>
      </xdr:nvSpPr>
      <xdr:spPr>
        <a:xfrm>
          <a:off x="6540500" y="2540000"/>
          <a:ext cx="762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800" b="0" i="0">
              <a:solidFill>
                <a:srgbClr xmlns:mc="http://schemas.openxmlformats.org/markup-compatibility/2006" xmlns:a14="http://schemas.microsoft.com/office/drawing/2010/main" val="DD0806" mc:Ignorable="a14" a14:legacySpreadsheetColorIndex="10"/>
              </a:solidFill>
            </a:rPr>
            <a:t>Performance rating</a:t>
          </a:r>
        </a:p>
      </xdr:txBody>
    </xdr:sp>
    <xdr:clientData/>
  </xdr:twoCellAnchor>
  <xdr:twoCellAnchor>
    <xdr:from>
      <xdr:col>10</xdr:col>
      <xdr:colOff>444500</xdr:colOff>
      <xdr:row>12</xdr:row>
      <xdr:rowOff>6350</xdr:rowOff>
    </xdr:from>
    <xdr:to>
      <xdr:col>11</xdr:col>
      <xdr:colOff>215900</xdr:colOff>
      <xdr:row>12</xdr:row>
      <xdr:rowOff>133350</xdr:rowOff>
    </xdr:to>
    <xdr:sp macro="" textlink="">
      <xdr:nvSpPr>
        <xdr:cNvPr id="9" name="TextBox 8"/>
        <xdr:cNvSpPr txBox="1"/>
      </xdr:nvSpPr>
      <xdr:spPr>
        <a:xfrm>
          <a:off x="6540500" y="2349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r"/>
          <a:r>
            <a:rPr lang="en-US" sz="800" b="0" i="0">
              <a:solidFill>
                <a:srgbClr xmlns:mc="http://schemas.openxmlformats.org/markup-compatibility/2006" xmlns:a14="http://schemas.microsoft.com/office/drawing/2010/main" val="000000" mc:Ignorable="a14" a14:legacySpreadsheetColorIndex="8"/>
              </a:solidFill>
            </a:rPr>
            <a:t>445</a:t>
          </a:r>
        </a:p>
      </xdr:txBody>
    </xdr:sp>
    <xdr:clientData/>
  </xdr:twoCellAnchor>
  <xdr:twoCellAnchor>
    <xdr:from>
      <xdr:col>3</xdr:col>
      <xdr:colOff>266700</xdr:colOff>
      <xdr:row>17</xdr:row>
      <xdr:rowOff>133350</xdr:rowOff>
    </xdr:from>
    <xdr:to>
      <xdr:col>4</xdr:col>
      <xdr:colOff>419100</xdr:colOff>
      <xdr:row>19</xdr:row>
      <xdr:rowOff>133350</xdr:rowOff>
    </xdr:to>
    <xdr:sp macro="" textlink="">
      <xdr:nvSpPr>
        <xdr:cNvPr id="10" name="Oval 9">
          <a:hlinkClick xmlns:r="http://schemas.openxmlformats.org/officeDocument/2006/relationships" r:id="" tooltip="Go left if Years since last promotion &lt; 8.5"/>
        </xdr:cNvPr>
        <xdr:cNvSpPr/>
      </xdr:nvSpPr>
      <xdr:spPr>
        <a:xfrm>
          <a:off x="2095500" y="3429000"/>
          <a:ext cx="762000" cy="381000"/>
        </a:xfrm>
        <a:prstGeom prst="ellipse">
          <a:avLst/>
        </a:prstGeom>
        <a:solidFill>
          <a:srgbClr val="4F81BD"/>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8.5</a:t>
          </a:r>
        </a:p>
      </xdr:txBody>
    </xdr:sp>
    <xdr:clientData/>
  </xdr:twoCellAnchor>
  <xdr:twoCellAnchor>
    <xdr:from>
      <xdr:col>3</xdr:col>
      <xdr:colOff>266700</xdr:colOff>
      <xdr:row>17</xdr:row>
      <xdr:rowOff>6350</xdr:rowOff>
    </xdr:from>
    <xdr:to>
      <xdr:col>4</xdr:col>
      <xdr:colOff>419100</xdr:colOff>
      <xdr:row>17</xdr:row>
      <xdr:rowOff>133350</xdr:rowOff>
    </xdr:to>
    <xdr:sp macro="" textlink="">
      <xdr:nvSpPr>
        <xdr:cNvPr id="11" name="TextBox 10"/>
        <xdr:cNvSpPr txBox="1"/>
      </xdr:nvSpPr>
      <xdr:spPr>
        <a:xfrm>
          <a:off x="2095500" y="3302000"/>
          <a:ext cx="762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800" b="0" i="0">
              <a:solidFill>
                <a:srgbClr xmlns:mc="http://schemas.openxmlformats.org/markup-compatibility/2006" xmlns:a14="http://schemas.microsoft.com/office/drawing/2010/main" val="DD0806" mc:Ignorable="a14" a14:legacySpreadsheetColorIndex="10"/>
              </a:solidFill>
            </a:rPr>
            <a:t>Years since last promotion</a:t>
          </a:r>
        </a:p>
      </xdr:txBody>
    </xdr:sp>
    <xdr:clientData/>
  </xdr:twoCellAnchor>
  <xdr:twoCellAnchor>
    <xdr:from>
      <xdr:col>4</xdr:col>
      <xdr:colOff>38100</xdr:colOff>
      <xdr:row>16</xdr:row>
      <xdr:rowOff>6350</xdr:rowOff>
    </xdr:from>
    <xdr:to>
      <xdr:col>4</xdr:col>
      <xdr:colOff>419100</xdr:colOff>
      <xdr:row>16</xdr:row>
      <xdr:rowOff>133350</xdr:rowOff>
    </xdr:to>
    <xdr:sp macro="" textlink="">
      <xdr:nvSpPr>
        <xdr:cNvPr id="12" name="TextBox 11"/>
        <xdr:cNvSpPr txBox="1"/>
      </xdr:nvSpPr>
      <xdr:spPr>
        <a:xfrm>
          <a:off x="2476500" y="3111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US" sz="800" b="0" i="0">
              <a:solidFill>
                <a:srgbClr xmlns:mc="http://schemas.openxmlformats.org/markup-compatibility/2006" xmlns:a14="http://schemas.microsoft.com/office/drawing/2010/main" val="000000" mc:Ignorable="a14" a14:legacySpreadsheetColorIndex="8"/>
              </a:solidFill>
            </a:rPr>
            <a:t>326</a:t>
          </a:r>
        </a:p>
      </xdr:txBody>
    </xdr:sp>
    <xdr:clientData/>
  </xdr:twoCellAnchor>
  <xdr:twoCellAnchor>
    <xdr:from>
      <xdr:col>6</xdr:col>
      <xdr:colOff>215900</xdr:colOff>
      <xdr:row>17</xdr:row>
      <xdr:rowOff>133350</xdr:rowOff>
    </xdr:from>
    <xdr:to>
      <xdr:col>7</xdr:col>
      <xdr:colOff>368300</xdr:colOff>
      <xdr:row>19</xdr:row>
      <xdr:rowOff>133350</xdr:rowOff>
    </xdr:to>
    <xdr:sp macro="" textlink="">
      <xdr:nvSpPr>
        <xdr:cNvPr id="13" name="Oval 12">
          <a:hlinkClick xmlns:r="http://schemas.openxmlformats.org/officeDocument/2006/relationships" r:id="" tooltip="Go left if Years with current manager &lt; 6.5"/>
        </xdr:cNvPr>
        <xdr:cNvSpPr/>
      </xdr:nvSpPr>
      <xdr:spPr>
        <a:xfrm>
          <a:off x="3873500" y="3429000"/>
          <a:ext cx="762000" cy="381000"/>
        </a:xfrm>
        <a:prstGeom prst="ellipse">
          <a:avLst/>
        </a:prstGeom>
        <a:solidFill>
          <a:srgbClr val="4F81BD"/>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6.5</a:t>
          </a:r>
        </a:p>
      </xdr:txBody>
    </xdr:sp>
    <xdr:clientData/>
  </xdr:twoCellAnchor>
  <xdr:twoCellAnchor>
    <xdr:from>
      <xdr:col>6</xdr:col>
      <xdr:colOff>215900</xdr:colOff>
      <xdr:row>17</xdr:row>
      <xdr:rowOff>6350</xdr:rowOff>
    </xdr:from>
    <xdr:to>
      <xdr:col>7</xdr:col>
      <xdr:colOff>368300</xdr:colOff>
      <xdr:row>17</xdr:row>
      <xdr:rowOff>133350</xdr:rowOff>
    </xdr:to>
    <xdr:sp macro="" textlink="">
      <xdr:nvSpPr>
        <xdr:cNvPr id="14" name="TextBox 13"/>
        <xdr:cNvSpPr txBox="1"/>
      </xdr:nvSpPr>
      <xdr:spPr>
        <a:xfrm>
          <a:off x="3873500" y="3302000"/>
          <a:ext cx="762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800" b="0" i="0">
              <a:solidFill>
                <a:srgbClr xmlns:mc="http://schemas.openxmlformats.org/markup-compatibility/2006" xmlns:a14="http://schemas.microsoft.com/office/drawing/2010/main" val="DD0806" mc:Ignorable="a14" a14:legacySpreadsheetColorIndex="10"/>
              </a:solidFill>
            </a:rPr>
            <a:t>Years with current manager</a:t>
          </a:r>
        </a:p>
      </xdr:txBody>
    </xdr:sp>
    <xdr:clientData/>
  </xdr:twoCellAnchor>
  <xdr:twoCellAnchor>
    <xdr:from>
      <xdr:col>6</xdr:col>
      <xdr:colOff>215900</xdr:colOff>
      <xdr:row>16</xdr:row>
      <xdr:rowOff>6350</xdr:rowOff>
    </xdr:from>
    <xdr:to>
      <xdr:col>6</xdr:col>
      <xdr:colOff>596900</xdr:colOff>
      <xdr:row>16</xdr:row>
      <xdr:rowOff>133350</xdr:rowOff>
    </xdr:to>
    <xdr:sp macro="" textlink="">
      <xdr:nvSpPr>
        <xdr:cNvPr id="15" name="TextBox 14"/>
        <xdr:cNvSpPr txBox="1"/>
      </xdr:nvSpPr>
      <xdr:spPr>
        <a:xfrm>
          <a:off x="3873500" y="3111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r"/>
          <a:r>
            <a:rPr lang="en-US" sz="800" b="0" i="0">
              <a:solidFill>
                <a:srgbClr xmlns:mc="http://schemas.openxmlformats.org/markup-compatibility/2006" xmlns:a14="http://schemas.microsoft.com/office/drawing/2010/main" val="000000" mc:Ignorable="a14" a14:legacySpreadsheetColorIndex="8"/>
              </a:solidFill>
            </a:rPr>
            <a:t>729</a:t>
          </a:r>
        </a:p>
      </xdr:txBody>
    </xdr:sp>
    <xdr:clientData/>
  </xdr:twoCellAnchor>
  <xdr:twoCellAnchor>
    <xdr:from>
      <xdr:col>9</xdr:col>
      <xdr:colOff>165100</xdr:colOff>
      <xdr:row>17</xdr:row>
      <xdr:rowOff>133350</xdr:rowOff>
    </xdr:from>
    <xdr:to>
      <xdr:col>10</xdr:col>
      <xdr:colOff>317500</xdr:colOff>
      <xdr:row>19</xdr:row>
      <xdr:rowOff>133350</xdr:rowOff>
    </xdr:to>
    <xdr:sp macro="" textlink="">
      <xdr:nvSpPr>
        <xdr:cNvPr id="16" name="Oval 15">
          <a:hlinkClick xmlns:r="http://schemas.openxmlformats.org/officeDocument/2006/relationships" r:id="" tooltip="Go left if Years since last promotion &lt; 6.5"/>
        </xdr:cNvPr>
        <xdr:cNvSpPr/>
      </xdr:nvSpPr>
      <xdr:spPr>
        <a:xfrm>
          <a:off x="5651500" y="3429000"/>
          <a:ext cx="762000" cy="381000"/>
        </a:xfrm>
        <a:prstGeom prst="ellipse">
          <a:avLst/>
        </a:prstGeom>
        <a:solidFill>
          <a:srgbClr val="4F81BD"/>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6.5</a:t>
          </a:r>
        </a:p>
      </xdr:txBody>
    </xdr:sp>
    <xdr:clientData/>
  </xdr:twoCellAnchor>
  <xdr:twoCellAnchor>
    <xdr:from>
      <xdr:col>9</xdr:col>
      <xdr:colOff>165100</xdr:colOff>
      <xdr:row>17</xdr:row>
      <xdr:rowOff>6350</xdr:rowOff>
    </xdr:from>
    <xdr:to>
      <xdr:col>10</xdr:col>
      <xdr:colOff>317500</xdr:colOff>
      <xdr:row>17</xdr:row>
      <xdr:rowOff>133350</xdr:rowOff>
    </xdr:to>
    <xdr:sp macro="" textlink="">
      <xdr:nvSpPr>
        <xdr:cNvPr id="17" name="TextBox 16"/>
        <xdr:cNvSpPr txBox="1"/>
      </xdr:nvSpPr>
      <xdr:spPr>
        <a:xfrm>
          <a:off x="5651500" y="3302000"/>
          <a:ext cx="762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800" b="0" i="0">
              <a:solidFill>
                <a:srgbClr xmlns:mc="http://schemas.openxmlformats.org/markup-compatibility/2006" xmlns:a14="http://schemas.microsoft.com/office/drawing/2010/main" val="DD0806" mc:Ignorable="a14" a14:legacySpreadsheetColorIndex="10"/>
              </a:solidFill>
            </a:rPr>
            <a:t>Years since last promotion</a:t>
          </a:r>
        </a:p>
      </xdr:txBody>
    </xdr:sp>
    <xdr:clientData/>
  </xdr:twoCellAnchor>
  <xdr:twoCellAnchor>
    <xdr:from>
      <xdr:col>9</xdr:col>
      <xdr:colOff>546100</xdr:colOff>
      <xdr:row>16</xdr:row>
      <xdr:rowOff>6350</xdr:rowOff>
    </xdr:from>
    <xdr:to>
      <xdr:col>10</xdr:col>
      <xdr:colOff>317500</xdr:colOff>
      <xdr:row>16</xdr:row>
      <xdr:rowOff>133350</xdr:rowOff>
    </xdr:to>
    <xdr:sp macro="" textlink="">
      <xdr:nvSpPr>
        <xdr:cNvPr id="18" name="TextBox 17"/>
        <xdr:cNvSpPr txBox="1"/>
      </xdr:nvSpPr>
      <xdr:spPr>
        <a:xfrm>
          <a:off x="6032500" y="3111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US" sz="800" b="0" i="0">
              <a:solidFill>
                <a:srgbClr xmlns:mc="http://schemas.openxmlformats.org/markup-compatibility/2006" xmlns:a14="http://schemas.microsoft.com/office/drawing/2010/main" val="000000" mc:Ignorable="a14" a14:legacySpreadsheetColorIndex="8"/>
              </a:solidFill>
            </a:rPr>
            <a:t>258</a:t>
          </a:r>
        </a:p>
      </xdr:txBody>
    </xdr:sp>
    <xdr:clientData/>
  </xdr:twoCellAnchor>
  <xdr:twoCellAnchor>
    <xdr:from>
      <xdr:col>12</xdr:col>
      <xdr:colOff>114300</xdr:colOff>
      <xdr:row>17</xdr:row>
      <xdr:rowOff>133350</xdr:rowOff>
    </xdr:from>
    <xdr:to>
      <xdr:col>13</xdr:col>
      <xdr:colOff>266700</xdr:colOff>
      <xdr:row>19</xdr:row>
      <xdr:rowOff>133350</xdr:rowOff>
    </xdr:to>
    <xdr:sp macro="" textlink="">
      <xdr:nvSpPr>
        <xdr:cNvPr id="19" name="Oval 18">
          <a:hlinkClick xmlns:r="http://schemas.openxmlformats.org/officeDocument/2006/relationships" r:id="" tooltip="Go left if Job Level &lt; 2.5"/>
        </xdr:cNvPr>
        <xdr:cNvSpPr/>
      </xdr:nvSpPr>
      <xdr:spPr>
        <a:xfrm>
          <a:off x="7429500" y="3429000"/>
          <a:ext cx="762000" cy="381000"/>
        </a:xfrm>
        <a:prstGeom prst="ellipse">
          <a:avLst/>
        </a:prstGeom>
        <a:solidFill>
          <a:srgbClr val="4F81BD"/>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2.5</a:t>
          </a:r>
        </a:p>
      </xdr:txBody>
    </xdr:sp>
    <xdr:clientData/>
  </xdr:twoCellAnchor>
  <xdr:twoCellAnchor>
    <xdr:from>
      <xdr:col>12</xdr:col>
      <xdr:colOff>114300</xdr:colOff>
      <xdr:row>17</xdr:row>
      <xdr:rowOff>6350</xdr:rowOff>
    </xdr:from>
    <xdr:to>
      <xdr:col>13</xdr:col>
      <xdr:colOff>266700</xdr:colOff>
      <xdr:row>17</xdr:row>
      <xdr:rowOff>133350</xdr:rowOff>
    </xdr:to>
    <xdr:sp macro="" textlink="">
      <xdr:nvSpPr>
        <xdr:cNvPr id="20" name="TextBox 19"/>
        <xdr:cNvSpPr txBox="1"/>
      </xdr:nvSpPr>
      <xdr:spPr>
        <a:xfrm>
          <a:off x="7429500" y="3302000"/>
          <a:ext cx="762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800" b="0" i="0">
              <a:solidFill>
                <a:srgbClr xmlns:mc="http://schemas.openxmlformats.org/markup-compatibility/2006" xmlns:a14="http://schemas.microsoft.com/office/drawing/2010/main" val="DD0806" mc:Ignorable="a14" a14:legacySpreadsheetColorIndex="10"/>
              </a:solidFill>
            </a:rPr>
            <a:t>Job Level</a:t>
          </a:r>
        </a:p>
      </xdr:txBody>
    </xdr:sp>
    <xdr:clientData/>
  </xdr:twoCellAnchor>
  <xdr:twoCellAnchor>
    <xdr:from>
      <xdr:col>12</xdr:col>
      <xdr:colOff>114300</xdr:colOff>
      <xdr:row>16</xdr:row>
      <xdr:rowOff>6350</xdr:rowOff>
    </xdr:from>
    <xdr:to>
      <xdr:col>12</xdr:col>
      <xdr:colOff>495300</xdr:colOff>
      <xdr:row>16</xdr:row>
      <xdr:rowOff>133350</xdr:rowOff>
    </xdr:to>
    <xdr:sp macro="" textlink="">
      <xdr:nvSpPr>
        <xdr:cNvPr id="21" name="TextBox 20"/>
        <xdr:cNvSpPr txBox="1"/>
      </xdr:nvSpPr>
      <xdr:spPr>
        <a:xfrm>
          <a:off x="7429500" y="3111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r"/>
          <a:r>
            <a:rPr lang="en-US" sz="800" b="0" i="0">
              <a:solidFill>
                <a:srgbClr xmlns:mc="http://schemas.openxmlformats.org/markup-compatibility/2006" xmlns:a14="http://schemas.microsoft.com/office/drawing/2010/main" val="000000" mc:Ignorable="a14" a14:legacySpreadsheetColorIndex="8"/>
              </a:solidFill>
            </a:rPr>
            <a:t>187</a:t>
          </a:r>
        </a:p>
      </xdr:txBody>
    </xdr:sp>
    <xdr:clientData/>
  </xdr:twoCellAnchor>
  <xdr:twoCellAnchor>
    <xdr:from>
      <xdr:col>2</xdr:col>
      <xdr:colOff>431800</xdr:colOff>
      <xdr:row>21</xdr:row>
      <xdr:rowOff>133350</xdr:rowOff>
    </xdr:from>
    <xdr:to>
      <xdr:col>3</xdr:col>
      <xdr:colOff>584200</xdr:colOff>
      <xdr:row>23</xdr:row>
      <xdr:rowOff>133350</xdr:rowOff>
    </xdr:to>
    <xdr:sp macro="" textlink="">
      <xdr:nvSpPr>
        <xdr:cNvPr id="22" name="Oval 21">
          <a:hlinkClick xmlns:r="http://schemas.openxmlformats.org/officeDocument/2006/relationships" r:id="" tooltip="Go left if Years with current manager &lt; 5.5"/>
        </xdr:cNvPr>
        <xdr:cNvSpPr/>
      </xdr:nvSpPr>
      <xdr:spPr>
        <a:xfrm>
          <a:off x="1651000" y="4191000"/>
          <a:ext cx="762000" cy="381000"/>
        </a:xfrm>
        <a:prstGeom prst="ellipse">
          <a:avLst/>
        </a:prstGeom>
        <a:solidFill>
          <a:srgbClr val="4F81BD"/>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5.5</a:t>
          </a:r>
        </a:p>
      </xdr:txBody>
    </xdr:sp>
    <xdr:clientData/>
  </xdr:twoCellAnchor>
  <xdr:twoCellAnchor>
    <xdr:from>
      <xdr:col>2</xdr:col>
      <xdr:colOff>431800</xdr:colOff>
      <xdr:row>21</xdr:row>
      <xdr:rowOff>6350</xdr:rowOff>
    </xdr:from>
    <xdr:to>
      <xdr:col>3</xdr:col>
      <xdr:colOff>584200</xdr:colOff>
      <xdr:row>21</xdr:row>
      <xdr:rowOff>133350</xdr:rowOff>
    </xdr:to>
    <xdr:sp macro="" textlink="">
      <xdr:nvSpPr>
        <xdr:cNvPr id="23" name="TextBox 22"/>
        <xdr:cNvSpPr txBox="1"/>
      </xdr:nvSpPr>
      <xdr:spPr>
        <a:xfrm>
          <a:off x="1651000" y="4064000"/>
          <a:ext cx="762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800" b="0" i="0">
              <a:solidFill>
                <a:srgbClr xmlns:mc="http://schemas.openxmlformats.org/markup-compatibility/2006" xmlns:a14="http://schemas.microsoft.com/office/drawing/2010/main" val="DD0806" mc:Ignorable="a14" a14:legacySpreadsheetColorIndex="10"/>
              </a:solidFill>
            </a:rPr>
            <a:t>Years with current manager</a:t>
          </a:r>
        </a:p>
      </xdr:txBody>
    </xdr:sp>
    <xdr:clientData/>
  </xdr:twoCellAnchor>
  <xdr:twoCellAnchor>
    <xdr:from>
      <xdr:col>3</xdr:col>
      <xdr:colOff>203200</xdr:colOff>
      <xdr:row>20</xdr:row>
      <xdr:rowOff>6350</xdr:rowOff>
    </xdr:from>
    <xdr:to>
      <xdr:col>3</xdr:col>
      <xdr:colOff>584200</xdr:colOff>
      <xdr:row>20</xdr:row>
      <xdr:rowOff>133350</xdr:rowOff>
    </xdr:to>
    <xdr:sp macro="" textlink="">
      <xdr:nvSpPr>
        <xdr:cNvPr id="24" name="TextBox 23"/>
        <xdr:cNvSpPr txBox="1"/>
      </xdr:nvSpPr>
      <xdr:spPr>
        <a:xfrm>
          <a:off x="2032000" y="3873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US" sz="800" b="0" i="0">
              <a:solidFill>
                <a:srgbClr xmlns:mc="http://schemas.openxmlformats.org/markup-compatibility/2006" xmlns:a14="http://schemas.microsoft.com/office/drawing/2010/main" val="000000" mc:Ignorable="a14" a14:legacySpreadsheetColorIndex="8"/>
              </a:solidFill>
            </a:rPr>
            <a:t>261</a:t>
          </a:r>
        </a:p>
      </xdr:txBody>
    </xdr:sp>
    <xdr:clientData/>
  </xdr:twoCellAnchor>
  <xdr:twoCellAnchor>
    <xdr:from>
      <xdr:col>4</xdr:col>
      <xdr:colOff>101600</xdr:colOff>
      <xdr:row>21</xdr:row>
      <xdr:rowOff>133350</xdr:rowOff>
    </xdr:from>
    <xdr:to>
      <xdr:col>5</xdr:col>
      <xdr:colOff>254000</xdr:colOff>
      <xdr:row>23</xdr:row>
      <xdr:rowOff>133350</xdr:rowOff>
    </xdr:to>
    <xdr:sp macro="" textlink="">
      <xdr:nvSpPr>
        <xdr:cNvPr id="25" name="Rectangle 24">
          <a:hlinkClick xmlns:r="http://schemas.openxmlformats.org/officeDocument/2006/relationships" r:id="" tooltip="Terminal"/>
        </xdr:cNvPr>
        <xdr:cNvSpPr/>
      </xdr:nvSpPr>
      <xdr:spPr>
        <a:xfrm>
          <a:off x="2540000" y="4191000"/>
          <a:ext cx="762000" cy="381000"/>
        </a:xfrm>
        <a:prstGeom prst="rect">
          <a:avLst/>
        </a:prstGeom>
        <a:solidFill>
          <a:srgbClr val="148014"/>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4</xdr:col>
      <xdr:colOff>101600</xdr:colOff>
      <xdr:row>20</xdr:row>
      <xdr:rowOff>6350</xdr:rowOff>
    </xdr:from>
    <xdr:to>
      <xdr:col>4</xdr:col>
      <xdr:colOff>482600</xdr:colOff>
      <xdr:row>20</xdr:row>
      <xdr:rowOff>133350</xdr:rowOff>
    </xdr:to>
    <xdr:sp macro="" textlink="">
      <xdr:nvSpPr>
        <xdr:cNvPr id="26" name="TextBox 25"/>
        <xdr:cNvSpPr txBox="1"/>
      </xdr:nvSpPr>
      <xdr:spPr>
        <a:xfrm>
          <a:off x="2540000" y="3873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r"/>
          <a:r>
            <a:rPr lang="en-US" sz="800" b="0" i="0">
              <a:solidFill>
                <a:srgbClr xmlns:mc="http://schemas.openxmlformats.org/markup-compatibility/2006" xmlns:a14="http://schemas.microsoft.com/office/drawing/2010/main" val="000000" mc:Ignorable="a14" a14:legacySpreadsheetColorIndex="8"/>
              </a:solidFill>
            </a:rPr>
            <a:t>65</a:t>
          </a:r>
        </a:p>
      </xdr:txBody>
    </xdr:sp>
    <xdr:clientData/>
  </xdr:twoCellAnchor>
  <xdr:twoCellAnchor>
    <xdr:from>
      <xdr:col>5</xdr:col>
      <xdr:colOff>381000</xdr:colOff>
      <xdr:row>21</xdr:row>
      <xdr:rowOff>133350</xdr:rowOff>
    </xdr:from>
    <xdr:to>
      <xdr:col>6</xdr:col>
      <xdr:colOff>533400</xdr:colOff>
      <xdr:row>23</xdr:row>
      <xdr:rowOff>133350</xdr:rowOff>
    </xdr:to>
    <xdr:sp macro="" textlink="">
      <xdr:nvSpPr>
        <xdr:cNvPr id="27" name="Oval 26">
          <a:hlinkClick xmlns:r="http://schemas.openxmlformats.org/officeDocument/2006/relationships" r:id="" tooltip="Go left if Performance rating &lt; 4.5"/>
        </xdr:cNvPr>
        <xdr:cNvSpPr/>
      </xdr:nvSpPr>
      <xdr:spPr>
        <a:xfrm>
          <a:off x="3429000" y="4191000"/>
          <a:ext cx="762000" cy="381000"/>
        </a:xfrm>
        <a:prstGeom prst="ellipse">
          <a:avLst/>
        </a:prstGeom>
        <a:solidFill>
          <a:srgbClr val="4F81BD"/>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4.5</a:t>
          </a:r>
        </a:p>
      </xdr:txBody>
    </xdr:sp>
    <xdr:clientData/>
  </xdr:twoCellAnchor>
  <xdr:twoCellAnchor>
    <xdr:from>
      <xdr:col>5</xdr:col>
      <xdr:colOff>381000</xdr:colOff>
      <xdr:row>21</xdr:row>
      <xdr:rowOff>6350</xdr:rowOff>
    </xdr:from>
    <xdr:to>
      <xdr:col>6</xdr:col>
      <xdr:colOff>533400</xdr:colOff>
      <xdr:row>21</xdr:row>
      <xdr:rowOff>133350</xdr:rowOff>
    </xdr:to>
    <xdr:sp macro="" textlink="">
      <xdr:nvSpPr>
        <xdr:cNvPr id="28" name="TextBox 27"/>
        <xdr:cNvSpPr txBox="1"/>
      </xdr:nvSpPr>
      <xdr:spPr>
        <a:xfrm>
          <a:off x="3429000" y="4064000"/>
          <a:ext cx="762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800" b="0" i="0">
              <a:solidFill>
                <a:srgbClr xmlns:mc="http://schemas.openxmlformats.org/markup-compatibility/2006" xmlns:a14="http://schemas.microsoft.com/office/drawing/2010/main" val="DD0806" mc:Ignorable="a14" a14:legacySpreadsheetColorIndex="10"/>
              </a:solidFill>
            </a:rPr>
            <a:t>Performance rating</a:t>
          </a:r>
        </a:p>
      </xdr:txBody>
    </xdr:sp>
    <xdr:clientData/>
  </xdr:twoCellAnchor>
  <xdr:twoCellAnchor>
    <xdr:from>
      <xdr:col>6</xdr:col>
      <xdr:colOff>152400</xdr:colOff>
      <xdr:row>20</xdr:row>
      <xdr:rowOff>6350</xdr:rowOff>
    </xdr:from>
    <xdr:to>
      <xdr:col>6</xdr:col>
      <xdr:colOff>533400</xdr:colOff>
      <xdr:row>20</xdr:row>
      <xdr:rowOff>133350</xdr:rowOff>
    </xdr:to>
    <xdr:sp macro="" textlink="">
      <xdr:nvSpPr>
        <xdr:cNvPr id="29" name="TextBox 28"/>
        <xdr:cNvSpPr txBox="1"/>
      </xdr:nvSpPr>
      <xdr:spPr>
        <a:xfrm>
          <a:off x="3810000" y="3873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US" sz="800" b="0" i="0">
              <a:solidFill>
                <a:srgbClr xmlns:mc="http://schemas.openxmlformats.org/markup-compatibility/2006" xmlns:a14="http://schemas.microsoft.com/office/drawing/2010/main" val="000000" mc:Ignorable="a14" a14:legacySpreadsheetColorIndex="8"/>
              </a:solidFill>
            </a:rPr>
            <a:t>629</a:t>
          </a:r>
        </a:p>
      </xdr:txBody>
    </xdr:sp>
    <xdr:clientData/>
  </xdr:twoCellAnchor>
  <xdr:twoCellAnchor>
    <xdr:from>
      <xdr:col>7</xdr:col>
      <xdr:colOff>50800</xdr:colOff>
      <xdr:row>21</xdr:row>
      <xdr:rowOff>133350</xdr:rowOff>
    </xdr:from>
    <xdr:to>
      <xdr:col>8</xdr:col>
      <xdr:colOff>203200</xdr:colOff>
      <xdr:row>23</xdr:row>
      <xdr:rowOff>133350</xdr:rowOff>
    </xdr:to>
    <xdr:sp macro="" textlink="">
      <xdr:nvSpPr>
        <xdr:cNvPr id="30" name="Rectangle 29">
          <a:hlinkClick xmlns:r="http://schemas.openxmlformats.org/officeDocument/2006/relationships" r:id="" tooltip="Terminal"/>
        </xdr:cNvPr>
        <xdr:cNvSpPr/>
      </xdr:nvSpPr>
      <xdr:spPr>
        <a:xfrm>
          <a:off x="4318000" y="4191000"/>
          <a:ext cx="762000" cy="381000"/>
        </a:xfrm>
        <a:prstGeom prst="rect">
          <a:avLst/>
        </a:prstGeom>
        <a:solidFill>
          <a:srgbClr val="148014"/>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7</xdr:col>
      <xdr:colOff>50800</xdr:colOff>
      <xdr:row>20</xdr:row>
      <xdr:rowOff>6350</xdr:rowOff>
    </xdr:from>
    <xdr:to>
      <xdr:col>7</xdr:col>
      <xdr:colOff>431800</xdr:colOff>
      <xdr:row>20</xdr:row>
      <xdr:rowOff>133350</xdr:rowOff>
    </xdr:to>
    <xdr:sp macro="" textlink="">
      <xdr:nvSpPr>
        <xdr:cNvPr id="31" name="TextBox 30"/>
        <xdr:cNvSpPr txBox="1"/>
      </xdr:nvSpPr>
      <xdr:spPr>
        <a:xfrm>
          <a:off x="4318000" y="3873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r"/>
          <a:r>
            <a:rPr lang="en-US" sz="800" b="0" i="0">
              <a:solidFill>
                <a:srgbClr xmlns:mc="http://schemas.openxmlformats.org/markup-compatibility/2006" xmlns:a14="http://schemas.microsoft.com/office/drawing/2010/main" val="000000" mc:Ignorable="a14" a14:legacySpreadsheetColorIndex="8"/>
              </a:solidFill>
            </a:rPr>
            <a:t>100</a:t>
          </a:r>
        </a:p>
      </xdr:txBody>
    </xdr:sp>
    <xdr:clientData/>
  </xdr:twoCellAnchor>
  <xdr:twoCellAnchor>
    <xdr:from>
      <xdr:col>8</xdr:col>
      <xdr:colOff>330200</xdr:colOff>
      <xdr:row>21</xdr:row>
      <xdr:rowOff>133350</xdr:rowOff>
    </xdr:from>
    <xdr:to>
      <xdr:col>9</xdr:col>
      <xdr:colOff>482600</xdr:colOff>
      <xdr:row>23</xdr:row>
      <xdr:rowOff>133350</xdr:rowOff>
    </xdr:to>
    <xdr:sp macro="" textlink="">
      <xdr:nvSpPr>
        <xdr:cNvPr id="32" name="Oval 31">
          <a:hlinkClick xmlns:r="http://schemas.openxmlformats.org/officeDocument/2006/relationships" r:id="" tooltip="Go left if Performance rating &lt; 2.5"/>
        </xdr:cNvPr>
        <xdr:cNvSpPr/>
      </xdr:nvSpPr>
      <xdr:spPr>
        <a:xfrm>
          <a:off x="5207000" y="4191000"/>
          <a:ext cx="762000" cy="381000"/>
        </a:xfrm>
        <a:prstGeom prst="ellipse">
          <a:avLst/>
        </a:prstGeom>
        <a:solidFill>
          <a:srgbClr val="4F81BD"/>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2.5</a:t>
          </a:r>
        </a:p>
      </xdr:txBody>
    </xdr:sp>
    <xdr:clientData/>
  </xdr:twoCellAnchor>
  <xdr:twoCellAnchor>
    <xdr:from>
      <xdr:col>8</xdr:col>
      <xdr:colOff>330200</xdr:colOff>
      <xdr:row>21</xdr:row>
      <xdr:rowOff>6350</xdr:rowOff>
    </xdr:from>
    <xdr:to>
      <xdr:col>9</xdr:col>
      <xdr:colOff>482600</xdr:colOff>
      <xdr:row>21</xdr:row>
      <xdr:rowOff>133350</xdr:rowOff>
    </xdr:to>
    <xdr:sp macro="" textlink="">
      <xdr:nvSpPr>
        <xdr:cNvPr id="33" name="TextBox 32"/>
        <xdr:cNvSpPr txBox="1"/>
      </xdr:nvSpPr>
      <xdr:spPr>
        <a:xfrm>
          <a:off x="5207000" y="4064000"/>
          <a:ext cx="762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800" b="0" i="0">
              <a:solidFill>
                <a:srgbClr xmlns:mc="http://schemas.openxmlformats.org/markup-compatibility/2006" xmlns:a14="http://schemas.microsoft.com/office/drawing/2010/main" val="DD0806" mc:Ignorable="a14" a14:legacySpreadsheetColorIndex="10"/>
              </a:solidFill>
            </a:rPr>
            <a:t>Performance rating</a:t>
          </a:r>
        </a:p>
      </xdr:txBody>
    </xdr:sp>
    <xdr:clientData/>
  </xdr:twoCellAnchor>
  <xdr:twoCellAnchor>
    <xdr:from>
      <xdr:col>9</xdr:col>
      <xdr:colOff>101600</xdr:colOff>
      <xdr:row>20</xdr:row>
      <xdr:rowOff>6350</xdr:rowOff>
    </xdr:from>
    <xdr:to>
      <xdr:col>9</xdr:col>
      <xdr:colOff>482600</xdr:colOff>
      <xdr:row>20</xdr:row>
      <xdr:rowOff>133350</xdr:rowOff>
    </xdr:to>
    <xdr:sp macro="" textlink="">
      <xdr:nvSpPr>
        <xdr:cNvPr id="34" name="TextBox 33"/>
        <xdr:cNvSpPr txBox="1"/>
      </xdr:nvSpPr>
      <xdr:spPr>
        <a:xfrm>
          <a:off x="5588000" y="3873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US" sz="800" b="0" i="0">
              <a:solidFill>
                <a:srgbClr xmlns:mc="http://schemas.openxmlformats.org/markup-compatibility/2006" xmlns:a14="http://schemas.microsoft.com/office/drawing/2010/main" val="000000" mc:Ignorable="a14" a14:legacySpreadsheetColorIndex="8"/>
              </a:solidFill>
            </a:rPr>
            <a:t>158</a:t>
          </a:r>
        </a:p>
      </xdr:txBody>
    </xdr:sp>
    <xdr:clientData/>
  </xdr:twoCellAnchor>
  <xdr:twoCellAnchor>
    <xdr:from>
      <xdr:col>10</xdr:col>
      <xdr:colOff>0</xdr:colOff>
      <xdr:row>21</xdr:row>
      <xdr:rowOff>133350</xdr:rowOff>
    </xdr:from>
    <xdr:to>
      <xdr:col>11</xdr:col>
      <xdr:colOff>152400</xdr:colOff>
      <xdr:row>23</xdr:row>
      <xdr:rowOff>133350</xdr:rowOff>
    </xdr:to>
    <xdr:sp macro="" textlink="">
      <xdr:nvSpPr>
        <xdr:cNvPr id="35" name="Rectangle 34">
          <a:hlinkClick xmlns:r="http://schemas.openxmlformats.org/officeDocument/2006/relationships" r:id="" tooltip="Terminal"/>
        </xdr:cNvPr>
        <xdr:cNvSpPr/>
      </xdr:nvSpPr>
      <xdr:spPr>
        <a:xfrm>
          <a:off x="6096000" y="4191000"/>
          <a:ext cx="762000" cy="381000"/>
        </a:xfrm>
        <a:prstGeom prst="rect">
          <a:avLst/>
        </a:prstGeom>
        <a:solidFill>
          <a:srgbClr val="148014"/>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10</xdr:col>
      <xdr:colOff>0</xdr:colOff>
      <xdr:row>20</xdr:row>
      <xdr:rowOff>6350</xdr:rowOff>
    </xdr:from>
    <xdr:to>
      <xdr:col>10</xdr:col>
      <xdr:colOff>381000</xdr:colOff>
      <xdr:row>20</xdr:row>
      <xdr:rowOff>133350</xdr:rowOff>
    </xdr:to>
    <xdr:sp macro="" textlink="">
      <xdr:nvSpPr>
        <xdr:cNvPr id="36" name="TextBox 35"/>
        <xdr:cNvSpPr txBox="1"/>
      </xdr:nvSpPr>
      <xdr:spPr>
        <a:xfrm>
          <a:off x="6096000" y="3873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r"/>
          <a:r>
            <a:rPr lang="en-US" sz="800" b="0" i="0">
              <a:solidFill>
                <a:srgbClr xmlns:mc="http://schemas.openxmlformats.org/markup-compatibility/2006" xmlns:a14="http://schemas.microsoft.com/office/drawing/2010/main" val="000000" mc:Ignorable="a14" a14:legacySpreadsheetColorIndex="8"/>
              </a:solidFill>
            </a:rPr>
            <a:t>100</a:t>
          </a:r>
        </a:p>
      </xdr:txBody>
    </xdr:sp>
    <xdr:clientData/>
  </xdr:twoCellAnchor>
  <xdr:twoCellAnchor>
    <xdr:from>
      <xdr:col>11</xdr:col>
      <xdr:colOff>279400</xdr:colOff>
      <xdr:row>21</xdr:row>
      <xdr:rowOff>133350</xdr:rowOff>
    </xdr:from>
    <xdr:to>
      <xdr:col>12</xdr:col>
      <xdr:colOff>431800</xdr:colOff>
      <xdr:row>23</xdr:row>
      <xdr:rowOff>133350</xdr:rowOff>
    </xdr:to>
    <xdr:sp macro="" textlink="">
      <xdr:nvSpPr>
        <xdr:cNvPr id="37" name="Rectangle 36">
          <a:hlinkClick xmlns:r="http://schemas.openxmlformats.org/officeDocument/2006/relationships" r:id="" tooltip="Terminal"/>
        </xdr:cNvPr>
        <xdr:cNvSpPr/>
      </xdr:nvSpPr>
      <xdr:spPr>
        <a:xfrm>
          <a:off x="6985000" y="4191000"/>
          <a:ext cx="762000" cy="381000"/>
        </a:xfrm>
        <a:prstGeom prst="rect">
          <a:avLst/>
        </a:prstGeom>
        <a:solidFill>
          <a:srgbClr val="148014"/>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1</a:t>
          </a:r>
        </a:p>
      </xdr:txBody>
    </xdr:sp>
    <xdr:clientData/>
  </xdr:twoCellAnchor>
  <xdr:twoCellAnchor>
    <xdr:from>
      <xdr:col>12</xdr:col>
      <xdr:colOff>50800</xdr:colOff>
      <xdr:row>20</xdr:row>
      <xdr:rowOff>6350</xdr:rowOff>
    </xdr:from>
    <xdr:to>
      <xdr:col>12</xdr:col>
      <xdr:colOff>431800</xdr:colOff>
      <xdr:row>20</xdr:row>
      <xdr:rowOff>133350</xdr:rowOff>
    </xdr:to>
    <xdr:sp macro="" textlink="">
      <xdr:nvSpPr>
        <xdr:cNvPr id="38" name="TextBox 37"/>
        <xdr:cNvSpPr txBox="1"/>
      </xdr:nvSpPr>
      <xdr:spPr>
        <a:xfrm>
          <a:off x="7366000" y="3873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US" sz="800" b="0" i="0">
              <a:solidFill>
                <a:srgbClr xmlns:mc="http://schemas.openxmlformats.org/markup-compatibility/2006" xmlns:a14="http://schemas.microsoft.com/office/drawing/2010/main" val="000000" mc:Ignorable="a14" a14:legacySpreadsheetColorIndex="8"/>
              </a:solidFill>
            </a:rPr>
            <a:t>138</a:t>
          </a:r>
        </a:p>
      </xdr:txBody>
    </xdr:sp>
    <xdr:clientData/>
  </xdr:twoCellAnchor>
  <xdr:twoCellAnchor>
    <xdr:from>
      <xdr:col>12</xdr:col>
      <xdr:colOff>558800</xdr:colOff>
      <xdr:row>21</xdr:row>
      <xdr:rowOff>133350</xdr:rowOff>
    </xdr:from>
    <xdr:to>
      <xdr:col>14</xdr:col>
      <xdr:colOff>101600</xdr:colOff>
      <xdr:row>23</xdr:row>
      <xdr:rowOff>133350</xdr:rowOff>
    </xdr:to>
    <xdr:sp macro="" textlink="">
      <xdr:nvSpPr>
        <xdr:cNvPr id="39" name="Rectangle 38">
          <a:hlinkClick xmlns:r="http://schemas.openxmlformats.org/officeDocument/2006/relationships" r:id="" tooltip="Terminal"/>
        </xdr:cNvPr>
        <xdr:cNvSpPr/>
      </xdr:nvSpPr>
      <xdr:spPr>
        <a:xfrm>
          <a:off x="7874000" y="4191000"/>
          <a:ext cx="762000" cy="381000"/>
        </a:xfrm>
        <a:prstGeom prst="rect">
          <a:avLst/>
        </a:prstGeom>
        <a:solidFill>
          <a:srgbClr val="148014"/>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12</xdr:col>
      <xdr:colOff>558800</xdr:colOff>
      <xdr:row>20</xdr:row>
      <xdr:rowOff>6350</xdr:rowOff>
    </xdr:from>
    <xdr:to>
      <xdr:col>13</xdr:col>
      <xdr:colOff>330200</xdr:colOff>
      <xdr:row>20</xdr:row>
      <xdr:rowOff>133350</xdr:rowOff>
    </xdr:to>
    <xdr:sp macro="" textlink="">
      <xdr:nvSpPr>
        <xdr:cNvPr id="40" name="TextBox 39"/>
        <xdr:cNvSpPr txBox="1"/>
      </xdr:nvSpPr>
      <xdr:spPr>
        <a:xfrm>
          <a:off x="7874000" y="3873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r"/>
          <a:r>
            <a:rPr lang="en-US" sz="800" b="0" i="0">
              <a:solidFill>
                <a:srgbClr xmlns:mc="http://schemas.openxmlformats.org/markup-compatibility/2006" xmlns:a14="http://schemas.microsoft.com/office/drawing/2010/main" val="000000" mc:Ignorable="a14" a14:legacySpreadsheetColorIndex="8"/>
              </a:solidFill>
            </a:rPr>
            <a:t>49</a:t>
          </a:r>
        </a:p>
      </xdr:txBody>
    </xdr:sp>
    <xdr:clientData/>
  </xdr:twoCellAnchor>
  <xdr:twoCellAnchor>
    <xdr:from>
      <xdr:col>1</xdr:col>
      <xdr:colOff>596900</xdr:colOff>
      <xdr:row>25</xdr:row>
      <xdr:rowOff>133350</xdr:rowOff>
    </xdr:from>
    <xdr:to>
      <xdr:col>3</xdr:col>
      <xdr:colOff>139700</xdr:colOff>
      <xdr:row>27</xdr:row>
      <xdr:rowOff>133350</xdr:rowOff>
    </xdr:to>
    <xdr:sp macro="" textlink="">
      <xdr:nvSpPr>
        <xdr:cNvPr id="41" name="Oval 40">
          <a:hlinkClick xmlns:r="http://schemas.openxmlformats.org/officeDocument/2006/relationships" r:id="" tooltip="Go left if Years since last promotion &lt; 7.5"/>
        </xdr:cNvPr>
        <xdr:cNvSpPr/>
      </xdr:nvSpPr>
      <xdr:spPr>
        <a:xfrm>
          <a:off x="1206500" y="4953000"/>
          <a:ext cx="762000" cy="381000"/>
        </a:xfrm>
        <a:prstGeom prst="ellipse">
          <a:avLst/>
        </a:prstGeom>
        <a:solidFill>
          <a:srgbClr val="4F81BD"/>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7.5</a:t>
          </a:r>
        </a:p>
      </xdr:txBody>
    </xdr:sp>
    <xdr:clientData/>
  </xdr:twoCellAnchor>
  <xdr:twoCellAnchor>
    <xdr:from>
      <xdr:col>1</xdr:col>
      <xdr:colOff>596900</xdr:colOff>
      <xdr:row>25</xdr:row>
      <xdr:rowOff>6350</xdr:rowOff>
    </xdr:from>
    <xdr:to>
      <xdr:col>3</xdr:col>
      <xdr:colOff>139700</xdr:colOff>
      <xdr:row>25</xdr:row>
      <xdr:rowOff>133350</xdr:rowOff>
    </xdr:to>
    <xdr:sp macro="" textlink="">
      <xdr:nvSpPr>
        <xdr:cNvPr id="42" name="TextBox 41"/>
        <xdr:cNvSpPr txBox="1"/>
      </xdr:nvSpPr>
      <xdr:spPr>
        <a:xfrm>
          <a:off x="1206500" y="4826000"/>
          <a:ext cx="762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US" sz="800" b="0" i="0">
              <a:solidFill>
                <a:srgbClr xmlns:mc="http://schemas.openxmlformats.org/markup-compatibility/2006" xmlns:a14="http://schemas.microsoft.com/office/drawing/2010/main" val="DD0806" mc:Ignorable="a14" a14:legacySpreadsheetColorIndex="10"/>
              </a:solidFill>
            </a:rPr>
            <a:t>Years since last promotion</a:t>
          </a:r>
        </a:p>
      </xdr:txBody>
    </xdr:sp>
    <xdr:clientData/>
  </xdr:twoCellAnchor>
  <xdr:twoCellAnchor>
    <xdr:from>
      <xdr:col>2</xdr:col>
      <xdr:colOff>368300</xdr:colOff>
      <xdr:row>24</xdr:row>
      <xdr:rowOff>6350</xdr:rowOff>
    </xdr:from>
    <xdr:to>
      <xdr:col>3</xdr:col>
      <xdr:colOff>139700</xdr:colOff>
      <xdr:row>24</xdr:row>
      <xdr:rowOff>133350</xdr:rowOff>
    </xdr:to>
    <xdr:sp macro="" textlink="">
      <xdr:nvSpPr>
        <xdr:cNvPr id="43" name="TextBox 42"/>
        <xdr:cNvSpPr txBox="1"/>
      </xdr:nvSpPr>
      <xdr:spPr>
        <a:xfrm>
          <a:off x="1587500" y="4635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US" sz="800" b="0" i="0">
              <a:solidFill>
                <a:srgbClr xmlns:mc="http://schemas.openxmlformats.org/markup-compatibility/2006" xmlns:a14="http://schemas.microsoft.com/office/drawing/2010/main" val="000000" mc:Ignorable="a14" a14:legacySpreadsheetColorIndex="8"/>
              </a:solidFill>
            </a:rPr>
            <a:t>189</a:t>
          </a:r>
        </a:p>
      </xdr:txBody>
    </xdr:sp>
    <xdr:clientData/>
  </xdr:twoCellAnchor>
  <xdr:twoCellAnchor>
    <xdr:from>
      <xdr:col>3</xdr:col>
      <xdr:colOff>266700</xdr:colOff>
      <xdr:row>25</xdr:row>
      <xdr:rowOff>133350</xdr:rowOff>
    </xdr:from>
    <xdr:to>
      <xdr:col>4</xdr:col>
      <xdr:colOff>419100</xdr:colOff>
      <xdr:row>27</xdr:row>
      <xdr:rowOff>133350</xdr:rowOff>
    </xdr:to>
    <xdr:sp macro="" textlink="">
      <xdr:nvSpPr>
        <xdr:cNvPr id="44" name="Rectangle 43">
          <a:hlinkClick xmlns:r="http://schemas.openxmlformats.org/officeDocument/2006/relationships" r:id="" tooltip="Terminal"/>
        </xdr:cNvPr>
        <xdr:cNvSpPr/>
      </xdr:nvSpPr>
      <xdr:spPr>
        <a:xfrm>
          <a:off x="2095500" y="4953000"/>
          <a:ext cx="762000" cy="381000"/>
        </a:xfrm>
        <a:prstGeom prst="rect">
          <a:avLst/>
        </a:prstGeom>
        <a:solidFill>
          <a:srgbClr val="148014"/>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3</xdr:col>
      <xdr:colOff>266700</xdr:colOff>
      <xdr:row>24</xdr:row>
      <xdr:rowOff>6350</xdr:rowOff>
    </xdr:from>
    <xdr:to>
      <xdr:col>4</xdr:col>
      <xdr:colOff>38100</xdr:colOff>
      <xdr:row>24</xdr:row>
      <xdr:rowOff>133350</xdr:rowOff>
    </xdr:to>
    <xdr:sp macro="" textlink="">
      <xdr:nvSpPr>
        <xdr:cNvPr id="45" name="TextBox 44"/>
        <xdr:cNvSpPr txBox="1"/>
      </xdr:nvSpPr>
      <xdr:spPr>
        <a:xfrm>
          <a:off x="2095500" y="4635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r"/>
          <a:r>
            <a:rPr lang="en-US" sz="800" b="0" i="0">
              <a:solidFill>
                <a:srgbClr xmlns:mc="http://schemas.openxmlformats.org/markup-compatibility/2006" xmlns:a14="http://schemas.microsoft.com/office/drawing/2010/main" val="000000" mc:Ignorable="a14" a14:legacySpreadsheetColorIndex="8"/>
              </a:solidFill>
            </a:rPr>
            <a:t>72</a:t>
          </a:r>
        </a:p>
      </xdr:txBody>
    </xdr:sp>
    <xdr:clientData/>
  </xdr:twoCellAnchor>
  <xdr:twoCellAnchor>
    <xdr:from>
      <xdr:col>4</xdr:col>
      <xdr:colOff>546100</xdr:colOff>
      <xdr:row>25</xdr:row>
      <xdr:rowOff>133350</xdr:rowOff>
    </xdr:from>
    <xdr:to>
      <xdr:col>6</xdr:col>
      <xdr:colOff>88900</xdr:colOff>
      <xdr:row>27</xdr:row>
      <xdr:rowOff>133350</xdr:rowOff>
    </xdr:to>
    <xdr:sp macro="" textlink="">
      <xdr:nvSpPr>
        <xdr:cNvPr id="46" name="Rectangle 45">
          <a:hlinkClick xmlns:r="http://schemas.openxmlformats.org/officeDocument/2006/relationships" r:id="" tooltip="Terminal"/>
        </xdr:cNvPr>
        <xdr:cNvSpPr/>
      </xdr:nvSpPr>
      <xdr:spPr>
        <a:xfrm>
          <a:off x="2984500" y="4953000"/>
          <a:ext cx="762000" cy="381000"/>
        </a:xfrm>
        <a:prstGeom prst="rect">
          <a:avLst/>
        </a:prstGeom>
        <a:solidFill>
          <a:srgbClr val="148014"/>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5</xdr:col>
      <xdr:colOff>317500</xdr:colOff>
      <xdr:row>24</xdr:row>
      <xdr:rowOff>6350</xdr:rowOff>
    </xdr:from>
    <xdr:to>
      <xdr:col>6</xdr:col>
      <xdr:colOff>88900</xdr:colOff>
      <xdr:row>24</xdr:row>
      <xdr:rowOff>133350</xdr:rowOff>
    </xdr:to>
    <xdr:sp macro="" textlink="">
      <xdr:nvSpPr>
        <xdr:cNvPr id="47" name="TextBox 46"/>
        <xdr:cNvSpPr txBox="1"/>
      </xdr:nvSpPr>
      <xdr:spPr>
        <a:xfrm>
          <a:off x="3365500" y="4635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US" sz="800" b="0" i="0">
              <a:solidFill>
                <a:srgbClr xmlns:mc="http://schemas.openxmlformats.org/markup-compatibility/2006" xmlns:a14="http://schemas.microsoft.com/office/drawing/2010/main" val="000000" mc:Ignorable="a14" a14:legacySpreadsheetColorIndex="8"/>
              </a:solidFill>
            </a:rPr>
            <a:t>494</a:t>
          </a:r>
        </a:p>
      </xdr:txBody>
    </xdr:sp>
    <xdr:clientData/>
  </xdr:twoCellAnchor>
  <xdr:twoCellAnchor>
    <xdr:from>
      <xdr:col>6</xdr:col>
      <xdr:colOff>215900</xdr:colOff>
      <xdr:row>25</xdr:row>
      <xdr:rowOff>133350</xdr:rowOff>
    </xdr:from>
    <xdr:to>
      <xdr:col>7</xdr:col>
      <xdr:colOff>368300</xdr:colOff>
      <xdr:row>27</xdr:row>
      <xdr:rowOff>133350</xdr:rowOff>
    </xdr:to>
    <xdr:sp macro="" textlink="">
      <xdr:nvSpPr>
        <xdr:cNvPr id="48" name="Rectangle 47">
          <a:hlinkClick xmlns:r="http://schemas.openxmlformats.org/officeDocument/2006/relationships" r:id="" tooltip="Terminal"/>
        </xdr:cNvPr>
        <xdr:cNvSpPr/>
      </xdr:nvSpPr>
      <xdr:spPr>
        <a:xfrm>
          <a:off x="3873500" y="4953000"/>
          <a:ext cx="762000" cy="381000"/>
        </a:xfrm>
        <a:prstGeom prst="rect">
          <a:avLst/>
        </a:prstGeom>
        <a:solidFill>
          <a:srgbClr val="148014"/>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6</xdr:col>
      <xdr:colOff>215900</xdr:colOff>
      <xdr:row>24</xdr:row>
      <xdr:rowOff>6350</xdr:rowOff>
    </xdr:from>
    <xdr:to>
      <xdr:col>6</xdr:col>
      <xdr:colOff>596900</xdr:colOff>
      <xdr:row>24</xdr:row>
      <xdr:rowOff>133350</xdr:rowOff>
    </xdr:to>
    <xdr:sp macro="" textlink="">
      <xdr:nvSpPr>
        <xdr:cNvPr id="49" name="TextBox 48"/>
        <xdr:cNvSpPr txBox="1"/>
      </xdr:nvSpPr>
      <xdr:spPr>
        <a:xfrm>
          <a:off x="3873500" y="4635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r"/>
          <a:r>
            <a:rPr lang="en-US" sz="800" b="0" i="0">
              <a:solidFill>
                <a:srgbClr xmlns:mc="http://schemas.openxmlformats.org/markup-compatibility/2006" xmlns:a14="http://schemas.microsoft.com/office/drawing/2010/main" val="000000" mc:Ignorable="a14" a14:legacySpreadsheetColorIndex="8"/>
              </a:solidFill>
            </a:rPr>
            <a:t>135</a:t>
          </a:r>
        </a:p>
      </xdr:txBody>
    </xdr:sp>
    <xdr:clientData/>
  </xdr:twoCellAnchor>
  <xdr:twoCellAnchor>
    <xdr:from>
      <xdr:col>7</xdr:col>
      <xdr:colOff>495300</xdr:colOff>
      <xdr:row>25</xdr:row>
      <xdr:rowOff>133350</xdr:rowOff>
    </xdr:from>
    <xdr:to>
      <xdr:col>9</xdr:col>
      <xdr:colOff>38100</xdr:colOff>
      <xdr:row>27</xdr:row>
      <xdr:rowOff>133350</xdr:rowOff>
    </xdr:to>
    <xdr:sp macro="" textlink="">
      <xdr:nvSpPr>
        <xdr:cNvPr id="50" name="Rectangle 49">
          <a:hlinkClick xmlns:r="http://schemas.openxmlformats.org/officeDocument/2006/relationships" r:id="" tooltip="Terminal"/>
        </xdr:cNvPr>
        <xdr:cNvSpPr/>
      </xdr:nvSpPr>
      <xdr:spPr>
        <a:xfrm>
          <a:off x="4762500" y="4953000"/>
          <a:ext cx="762000" cy="381000"/>
        </a:xfrm>
        <a:prstGeom prst="rect">
          <a:avLst/>
        </a:prstGeom>
        <a:solidFill>
          <a:srgbClr val="148014"/>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8</xdr:col>
      <xdr:colOff>266700</xdr:colOff>
      <xdr:row>24</xdr:row>
      <xdr:rowOff>6350</xdr:rowOff>
    </xdr:from>
    <xdr:to>
      <xdr:col>9</xdr:col>
      <xdr:colOff>38100</xdr:colOff>
      <xdr:row>24</xdr:row>
      <xdr:rowOff>133350</xdr:rowOff>
    </xdr:to>
    <xdr:sp macro="" textlink="">
      <xdr:nvSpPr>
        <xdr:cNvPr id="51" name="TextBox 50"/>
        <xdr:cNvSpPr txBox="1"/>
      </xdr:nvSpPr>
      <xdr:spPr>
        <a:xfrm>
          <a:off x="5143500" y="4635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US" sz="800" b="0" i="0">
              <a:solidFill>
                <a:srgbClr xmlns:mc="http://schemas.openxmlformats.org/markup-compatibility/2006" xmlns:a14="http://schemas.microsoft.com/office/drawing/2010/main" val="000000" mc:Ignorable="a14" a14:legacySpreadsheetColorIndex="8"/>
              </a:solidFill>
            </a:rPr>
            <a:t>121</a:t>
          </a:r>
        </a:p>
      </xdr:txBody>
    </xdr:sp>
    <xdr:clientData/>
  </xdr:twoCellAnchor>
  <xdr:twoCellAnchor>
    <xdr:from>
      <xdr:col>9</xdr:col>
      <xdr:colOff>165100</xdr:colOff>
      <xdr:row>25</xdr:row>
      <xdr:rowOff>133350</xdr:rowOff>
    </xdr:from>
    <xdr:to>
      <xdr:col>10</xdr:col>
      <xdr:colOff>317500</xdr:colOff>
      <xdr:row>27</xdr:row>
      <xdr:rowOff>133350</xdr:rowOff>
    </xdr:to>
    <xdr:sp macro="" textlink="">
      <xdr:nvSpPr>
        <xdr:cNvPr id="52" name="Rectangle 51">
          <a:hlinkClick xmlns:r="http://schemas.openxmlformats.org/officeDocument/2006/relationships" r:id="" tooltip="Terminal"/>
        </xdr:cNvPr>
        <xdr:cNvSpPr/>
      </xdr:nvSpPr>
      <xdr:spPr>
        <a:xfrm>
          <a:off x="5651500" y="4953000"/>
          <a:ext cx="762000" cy="381000"/>
        </a:xfrm>
        <a:prstGeom prst="rect">
          <a:avLst/>
        </a:prstGeom>
        <a:solidFill>
          <a:srgbClr val="148014"/>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9</xdr:col>
      <xdr:colOff>165100</xdr:colOff>
      <xdr:row>24</xdr:row>
      <xdr:rowOff>6350</xdr:rowOff>
    </xdr:from>
    <xdr:to>
      <xdr:col>9</xdr:col>
      <xdr:colOff>546100</xdr:colOff>
      <xdr:row>24</xdr:row>
      <xdr:rowOff>133350</xdr:rowOff>
    </xdr:to>
    <xdr:sp macro="" textlink="">
      <xdr:nvSpPr>
        <xdr:cNvPr id="53" name="TextBox 52"/>
        <xdr:cNvSpPr txBox="1"/>
      </xdr:nvSpPr>
      <xdr:spPr>
        <a:xfrm>
          <a:off x="5651500" y="4635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r"/>
          <a:r>
            <a:rPr lang="en-US" sz="800" b="0" i="0">
              <a:solidFill>
                <a:srgbClr xmlns:mc="http://schemas.openxmlformats.org/markup-compatibility/2006" xmlns:a14="http://schemas.microsoft.com/office/drawing/2010/main" val="000000" mc:Ignorable="a14" a14:legacySpreadsheetColorIndex="8"/>
              </a:solidFill>
            </a:rPr>
            <a:t>37</a:t>
          </a:r>
        </a:p>
      </xdr:txBody>
    </xdr:sp>
    <xdr:clientData/>
  </xdr:twoCellAnchor>
  <xdr:twoCellAnchor>
    <xdr:from>
      <xdr:col>1</xdr:col>
      <xdr:colOff>152400</xdr:colOff>
      <xdr:row>29</xdr:row>
      <xdr:rowOff>133350</xdr:rowOff>
    </xdr:from>
    <xdr:to>
      <xdr:col>2</xdr:col>
      <xdr:colOff>304800</xdr:colOff>
      <xdr:row>31</xdr:row>
      <xdr:rowOff>133350</xdr:rowOff>
    </xdr:to>
    <xdr:sp macro="" textlink="">
      <xdr:nvSpPr>
        <xdr:cNvPr id="54" name="Rectangle 53">
          <a:hlinkClick xmlns:r="http://schemas.openxmlformats.org/officeDocument/2006/relationships" r:id="" tooltip="Terminal"/>
        </xdr:cNvPr>
        <xdr:cNvSpPr/>
      </xdr:nvSpPr>
      <xdr:spPr>
        <a:xfrm>
          <a:off x="762000" y="5715000"/>
          <a:ext cx="762000" cy="381000"/>
        </a:xfrm>
        <a:prstGeom prst="rect">
          <a:avLst/>
        </a:prstGeom>
        <a:solidFill>
          <a:srgbClr val="148014"/>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1</xdr:col>
      <xdr:colOff>533400</xdr:colOff>
      <xdr:row>28</xdr:row>
      <xdr:rowOff>6350</xdr:rowOff>
    </xdr:from>
    <xdr:to>
      <xdr:col>2</xdr:col>
      <xdr:colOff>304800</xdr:colOff>
      <xdr:row>28</xdr:row>
      <xdr:rowOff>133350</xdr:rowOff>
    </xdr:to>
    <xdr:sp macro="" textlink="">
      <xdr:nvSpPr>
        <xdr:cNvPr id="55" name="TextBox 54"/>
        <xdr:cNvSpPr txBox="1"/>
      </xdr:nvSpPr>
      <xdr:spPr>
        <a:xfrm>
          <a:off x="1143000" y="5397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US" sz="800" b="0" i="0">
              <a:solidFill>
                <a:srgbClr xmlns:mc="http://schemas.openxmlformats.org/markup-compatibility/2006" xmlns:a14="http://schemas.microsoft.com/office/drawing/2010/main" val="000000" mc:Ignorable="a14" a14:legacySpreadsheetColorIndex="8"/>
              </a:solidFill>
            </a:rPr>
            <a:t>166</a:t>
          </a:r>
        </a:p>
      </xdr:txBody>
    </xdr:sp>
    <xdr:clientData/>
  </xdr:twoCellAnchor>
  <xdr:twoCellAnchor>
    <xdr:from>
      <xdr:col>2</xdr:col>
      <xdr:colOff>431800</xdr:colOff>
      <xdr:row>29</xdr:row>
      <xdr:rowOff>133350</xdr:rowOff>
    </xdr:from>
    <xdr:to>
      <xdr:col>3</xdr:col>
      <xdr:colOff>584200</xdr:colOff>
      <xdr:row>31</xdr:row>
      <xdr:rowOff>133350</xdr:rowOff>
    </xdr:to>
    <xdr:sp macro="" textlink="">
      <xdr:nvSpPr>
        <xdr:cNvPr id="56" name="Rectangle 55">
          <a:hlinkClick xmlns:r="http://schemas.openxmlformats.org/officeDocument/2006/relationships" r:id="" tooltip="Terminal"/>
        </xdr:cNvPr>
        <xdr:cNvSpPr/>
      </xdr:nvSpPr>
      <xdr:spPr>
        <a:xfrm>
          <a:off x="1651000" y="5715000"/>
          <a:ext cx="762000" cy="381000"/>
        </a:xfrm>
        <a:prstGeom prst="rect">
          <a:avLst/>
        </a:prstGeom>
        <a:solidFill>
          <a:srgbClr val="148014"/>
        </a:solidFill>
        <a:ln w="127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0" i="0">
              <a:solidFill>
                <a:srgbClr xmlns:mc="http://schemas.openxmlformats.org/markup-compatibility/2006" xmlns:a14="http://schemas.microsoft.com/office/drawing/2010/main" val="FFFFFF" mc:Ignorable="a14" a14:legacySpreadsheetColorIndex="9"/>
              </a:solidFill>
            </a:rPr>
            <a:t>0</a:t>
          </a:r>
        </a:p>
      </xdr:txBody>
    </xdr:sp>
    <xdr:clientData/>
  </xdr:twoCellAnchor>
  <xdr:twoCellAnchor>
    <xdr:from>
      <xdr:col>2</xdr:col>
      <xdr:colOff>431800</xdr:colOff>
      <xdr:row>28</xdr:row>
      <xdr:rowOff>6350</xdr:rowOff>
    </xdr:from>
    <xdr:to>
      <xdr:col>3</xdr:col>
      <xdr:colOff>203200</xdr:colOff>
      <xdr:row>28</xdr:row>
      <xdr:rowOff>133350</xdr:rowOff>
    </xdr:to>
    <xdr:sp macro="" textlink="">
      <xdr:nvSpPr>
        <xdr:cNvPr id="57" name="TextBox 56"/>
        <xdr:cNvSpPr txBox="1"/>
      </xdr:nvSpPr>
      <xdr:spPr>
        <a:xfrm>
          <a:off x="1651000" y="5397500"/>
          <a:ext cx="381000" cy="127000"/>
        </a:xfrm>
        <a:prstGeom prst="rect">
          <a:avLst/>
        </a:prstGeom>
        <a:solidFill>
          <a:schemeClr val="lt1"/>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r"/>
          <a:r>
            <a:rPr lang="en-US" sz="800" b="0" i="0">
              <a:solidFill>
                <a:srgbClr xmlns:mc="http://schemas.openxmlformats.org/markup-compatibility/2006" xmlns:a14="http://schemas.microsoft.com/office/drawing/2010/main" val="000000" mc:Ignorable="a14" a14:legacySpreadsheetColorIndex="8"/>
              </a:solidFill>
            </a:rPr>
            <a:t>23</a:t>
          </a:r>
        </a:p>
      </xdr:txBody>
    </xdr:sp>
    <xdr:clientData/>
  </xdr:twoCellAnchor>
  <xdr:twoCellAnchor>
    <xdr:from>
      <xdr:col>5</xdr:col>
      <xdr:colOff>317500</xdr:colOff>
      <xdr:row>12</xdr:row>
      <xdr:rowOff>133350</xdr:rowOff>
    </xdr:from>
    <xdr:to>
      <xdr:col>5</xdr:col>
      <xdr:colOff>317500</xdr:colOff>
      <xdr:row>13</xdr:row>
      <xdr:rowOff>6350</xdr:rowOff>
    </xdr:to>
    <xdr:cxnSp macro="">
      <xdr:nvCxnSpPr>
        <xdr:cNvPr id="58" name="Straight Arrow Connector 57"/>
        <xdr:cNvCxnSpPr/>
      </xdr:nvCxnSpPr>
      <xdr:spPr>
        <a:xfrm flipV="1">
          <a:off x="3365500" y="2476500"/>
          <a:ext cx="0" cy="63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317500</xdr:colOff>
      <xdr:row>12</xdr:row>
      <xdr:rowOff>133350</xdr:rowOff>
    </xdr:from>
    <xdr:to>
      <xdr:col>8</xdr:col>
      <xdr:colOff>266700</xdr:colOff>
      <xdr:row>12</xdr:row>
      <xdr:rowOff>133350</xdr:rowOff>
    </xdr:to>
    <xdr:cxnSp macro="">
      <xdr:nvCxnSpPr>
        <xdr:cNvPr id="59" name="Straight Arrow Connector 58"/>
        <xdr:cNvCxnSpPr/>
      </xdr:nvCxnSpPr>
      <xdr:spPr>
        <a:xfrm>
          <a:off x="3365500" y="2476500"/>
          <a:ext cx="17780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266700</xdr:colOff>
      <xdr:row>11</xdr:row>
      <xdr:rowOff>133350</xdr:rowOff>
    </xdr:from>
    <xdr:to>
      <xdr:col>8</xdr:col>
      <xdr:colOff>266700</xdr:colOff>
      <xdr:row>12</xdr:row>
      <xdr:rowOff>133350</xdr:rowOff>
    </xdr:to>
    <xdr:cxnSp macro="">
      <xdr:nvCxnSpPr>
        <xdr:cNvPr id="60" name="Straight Arrow Connector 59"/>
        <xdr:cNvCxnSpPr/>
      </xdr:nvCxnSpPr>
      <xdr:spPr>
        <a:xfrm flipV="1">
          <a:off x="5143500" y="2286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215900</xdr:colOff>
      <xdr:row>12</xdr:row>
      <xdr:rowOff>133350</xdr:rowOff>
    </xdr:from>
    <xdr:to>
      <xdr:col>11</xdr:col>
      <xdr:colOff>215900</xdr:colOff>
      <xdr:row>13</xdr:row>
      <xdr:rowOff>6350</xdr:rowOff>
    </xdr:to>
    <xdr:cxnSp macro="">
      <xdr:nvCxnSpPr>
        <xdr:cNvPr id="61" name="Straight Arrow Connector 60"/>
        <xdr:cNvCxnSpPr/>
      </xdr:nvCxnSpPr>
      <xdr:spPr>
        <a:xfrm flipV="1">
          <a:off x="6921500" y="2476500"/>
          <a:ext cx="0" cy="63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266700</xdr:colOff>
      <xdr:row>12</xdr:row>
      <xdr:rowOff>133350</xdr:rowOff>
    </xdr:from>
    <xdr:to>
      <xdr:col>11</xdr:col>
      <xdr:colOff>215900</xdr:colOff>
      <xdr:row>12</xdr:row>
      <xdr:rowOff>133350</xdr:rowOff>
    </xdr:to>
    <xdr:cxnSp macro="">
      <xdr:nvCxnSpPr>
        <xdr:cNvPr id="62" name="Straight Arrow Connector 61"/>
        <xdr:cNvCxnSpPr/>
      </xdr:nvCxnSpPr>
      <xdr:spPr>
        <a:xfrm flipH="1">
          <a:off x="5143500" y="2476500"/>
          <a:ext cx="17780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266700</xdr:colOff>
      <xdr:row>11</xdr:row>
      <xdr:rowOff>133350</xdr:rowOff>
    </xdr:from>
    <xdr:to>
      <xdr:col>8</xdr:col>
      <xdr:colOff>266700</xdr:colOff>
      <xdr:row>12</xdr:row>
      <xdr:rowOff>133350</xdr:rowOff>
    </xdr:to>
    <xdr:cxnSp macro="">
      <xdr:nvCxnSpPr>
        <xdr:cNvPr id="63" name="Straight Arrow Connector 62"/>
        <xdr:cNvCxnSpPr/>
      </xdr:nvCxnSpPr>
      <xdr:spPr>
        <a:xfrm flipV="1">
          <a:off x="5143500" y="2286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38100</xdr:colOff>
      <xdr:row>16</xdr:row>
      <xdr:rowOff>133350</xdr:rowOff>
    </xdr:from>
    <xdr:to>
      <xdr:col>4</xdr:col>
      <xdr:colOff>38100</xdr:colOff>
      <xdr:row>17</xdr:row>
      <xdr:rowOff>6350</xdr:rowOff>
    </xdr:to>
    <xdr:cxnSp macro="">
      <xdr:nvCxnSpPr>
        <xdr:cNvPr id="64" name="Straight Arrow Connector 63"/>
        <xdr:cNvCxnSpPr/>
      </xdr:nvCxnSpPr>
      <xdr:spPr>
        <a:xfrm flipV="1">
          <a:off x="2476500" y="3238500"/>
          <a:ext cx="0" cy="63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38100</xdr:colOff>
      <xdr:row>16</xdr:row>
      <xdr:rowOff>133350</xdr:rowOff>
    </xdr:from>
    <xdr:to>
      <xdr:col>5</xdr:col>
      <xdr:colOff>317500</xdr:colOff>
      <xdr:row>16</xdr:row>
      <xdr:rowOff>133350</xdr:rowOff>
    </xdr:to>
    <xdr:cxnSp macro="">
      <xdr:nvCxnSpPr>
        <xdr:cNvPr id="65" name="Straight Arrow Connector 64"/>
        <xdr:cNvCxnSpPr/>
      </xdr:nvCxnSpPr>
      <xdr:spPr>
        <a:xfrm>
          <a:off x="2476500" y="3238500"/>
          <a:ext cx="8890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317500</xdr:colOff>
      <xdr:row>15</xdr:row>
      <xdr:rowOff>133350</xdr:rowOff>
    </xdr:from>
    <xdr:to>
      <xdr:col>5</xdr:col>
      <xdr:colOff>317500</xdr:colOff>
      <xdr:row>16</xdr:row>
      <xdr:rowOff>133350</xdr:rowOff>
    </xdr:to>
    <xdr:cxnSp macro="">
      <xdr:nvCxnSpPr>
        <xdr:cNvPr id="66" name="Straight Arrow Connector 65"/>
        <xdr:cNvCxnSpPr/>
      </xdr:nvCxnSpPr>
      <xdr:spPr>
        <a:xfrm flipV="1">
          <a:off x="3365500" y="3048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596900</xdr:colOff>
      <xdr:row>16</xdr:row>
      <xdr:rowOff>133350</xdr:rowOff>
    </xdr:from>
    <xdr:to>
      <xdr:col>6</xdr:col>
      <xdr:colOff>596900</xdr:colOff>
      <xdr:row>17</xdr:row>
      <xdr:rowOff>6350</xdr:rowOff>
    </xdr:to>
    <xdr:cxnSp macro="">
      <xdr:nvCxnSpPr>
        <xdr:cNvPr id="67" name="Straight Arrow Connector 66"/>
        <xdr:cNvCxnSpPr/>
      </xdr:nvCxnSpPr>
      <xdr:spPr>
        <a:xfrm flipV="1">
          <a:off x="4254500" y="3238500"/>
          <a:ext cx="0" cy="63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317500</xdr:colOff>
      <xdr:row>16</xdr:row>
      <xdr:rowOff>133350</xdr:rowOff>
    </xdr:from>
    <xdr:to>
      <xdr:col>6</xdr:col>
      <xdr:colOff>596900</xdr:colOff>
      <xdr:row>16</xdr:row>
      <xdr:rowOff>133350</xdr:rowOff>
    </xdr:to>
    <xdr:cxnSp macro="">
      <xdr:nvCxnSpPr>
        <xdr:cNvPr id="68" name="Straight Arrow Connector 67"/>
        <xdr:cNvCxnSpPr/>
      </xdr:nvCxnSpPr>
      <xdr:spPr>
        <a:xfrm flipH="1">
          <a:off x="3365500" y="3238500"/>
          <a:ext cx="8890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317500</xdr:colOff>
      <xdr:row>15</xdr:row>
      <xdr:rowOff>133350</xdr:rowOff>
    </xdr:from>
    <xdr:to>
      <xdr:col>5</xdr:col>
      <xdr:colOff>317500</xdr:colOff>
      <xdr:row>16</xdr:row>
      <xdr:rowOff>133350</xdr:rowOff>
    </xdr:to>
    <xdr:cxnSp macro="">
      <xdr:nvCxnSpPr>
        <xdr:cNvPr id="69" name="Straight Arrow Connector 68"/>
        <xdr:cNvCxnSpPr/>
      </xdr:nvCxnSpPr>
      <xdr:spPr>
        <a:xfrm flipV="1">
          <a:off x="3365500" y="3048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546100</xdr:colOff>
      <xdr:row>16</xdr:row>
      <xdr:rowOff>133350</xdr:rowOff>
    </xdr:from>
    <xdr:to>
      <xdr:col>9</xdr:col>
      <xdr:colOff>546100</xdr:colOff>
      <xdr:row>17</xdr:row>
      <xdr:rowOff>6350</xdr:rowOff>
    </xdr:to>
    <xdr:cxnSp macro="">
      <xdr:nvCxnSpPr>
        <xdr:cNvPr id="70" name="Straight Arrow Connector 69"/>
        <xdr:cNvCxnSpPr/>
      </xdr:nvCxnSpPr>
      <xdr:spPr>
        <a:xfrm flipV="1">
          <a:off x="6032500" y="3238500"/>
          <a:ext cx="0" cy="63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546100</xdr:colOff>
      <xdr:row>16</xdr:row>
      <xdr:rowOff>133350</xdr:rowOff>
    </xdr:from>
    <xdr:to>
      <xdr:col>11</xdr:col>
      <xdr:colOff>215900</xdr:colOff>
      <xdr:row>16</xdr:row>
      <xdr:rowOff>133350</xdr:rowOff>
    </xdr:to>
    <xdr:cxnSp macro="">
      <xdr:nvCxnSpPr>
        <xdr:cNvPr id="71" name="Straight Arrow Connector 70"/>
        <xdr:cNvCxnSpPr/>
      </xdr:nvCxnSpPr>
      <xdr:spPr>
        <a:xfrm>
          <a:off x="6032500" y="3238500"/>
          <a:ext cx="8890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215900</xdr:colOff>
      <xdr:row>15</xdr:row>
      <xdr:rowOff>133350</xdr:rowOff>
    </xdr:from>
    <xdr:to>
      <xdr:col>11</xdr:col>
      <xdr:colOff>215900</xdr:colOff>
      <xdr:row>16</xdr:row>
      <xdr:rowOff>133350</xdr:rowOff>
    </xdr:to>
    <xdr:cxnSp macro="">
      <xdr:nvCxnSpPr>
        <xdr:cNvPr id="72" name="Straight Arrow Connector 71"/>
        <xdr:cNvCxnSpPr/>
      </xdr:nvCxnSpPr>
      <xdr:spPr>
        <a:xfrm flipV="1">
          <a:off x="6921500" y="3048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495300</xdr:colOff>
      <xdr:row>16</xdr:row>
      <xdr:rowOff>133350</xdr:rowOff>
    </xdr:from>
    <xdr:to>
      <xdr:col>12</xdr:col>
      <xdr:colOff>495300</xdr:colOff>
      <xdr:row>17</xdr:row>
      <xdr:rowOff>6350</xdr:rowOff>
    </xdr:to>
    <xdr:cxnSp macro="">
      <xdr:nvCxnSpPr>
        <xdr:cNvPr id="73" name="Straight Arrow Connector 72"/>
        <xdr:cNvCxnSpPr/>
      </xdr:nvCxnSpPr>
      <xdr:spPr>
        <a:xfrm flipV="1">
          <a:off x="7810500" y="3238500"/>
          <a:ext cx="0" cy="63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215900</xdr:colOff>
      <xdr:row>16</xdr:row>
      <xdr:rowOff>133350</xdr:rowOff>
    </xdr:from>
    <xdr:to>
      <xdr:col>12</xdr:col>
      <xdr:colOff>495300</xdr:colOff>
      <xdr:row>16</xdr:row>
      <xdr:rowOff>133350</xdr:rowOff>
    </xdr:to>
    <xdr:cxnSp macro="">
      <xdr:nvCxnSpPr>
        <xdr:cNvPr id="74" name="Straight Arrow Connector 73"/>
        <xdr:cNvCxnSpPr/>
      </xdr:nvCxnSpPr>
      <xdr:spPr>
        <a:xfrm flipH="1">
          <a:off x="6921500" y="3238500"/>
          <a:ext cx="8890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215900</xdr:colOff>
      <xdr:row>15</xdr:row>
      <xdr:rowOff>133350</xdr:rowOff>
    </xdr:from>
    <xdr:to>
      <xdr:col>11</xdr:col>
      <xdr:colOff>215900</xdr:colOff>
      <xdr:row>16</xdr:row>
      <xdr:rowOff>133350</xdr:rowOff>
    </xdr:to>
    <xdr:cxnSp macro="">
      <xdr:nvCxnSpPr>
        <xdr:cNvPr id="75" name="Straight Arrow Connector 74"/>
        <xdr:cNvCxnSpPr/>
      </xdr:nvCxnSpPr>
      <xdr:spPr>
        <a:xfrm flipV="1">
          <a:off x="6921500" y="3048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203200</xdr:colOff>
      <xdr:row>20</xdr:row>
      <xdr:rowOff>133350</xdr:rowOff>
    </xdr:from>
    <xdr:to>
      <xdr:col>3</xdr:col>
      <xdr:colOff>203200</xdr:colOff>
      <xdr:row>21</xdr:row>
      <xdr:rowOff>6350</xdr:rowOff>
    </xdr:to>
    <xdr:cxnSp macro="">
      <xdr:nvCxnSpPr>
        <xdr:cNvPr id="76" name="Straight Arrow Connector 75"/>
        <xdr:cNvCxnSpPr/>
      </xdr:nvCxnSpPr>
      <xdr:spPr>
        <a:xfrm flipV="1">
          <a:off x="2032000" y="4000500"/>
          <a:ext cx="0" cy="63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203200</xdr:colOff>
      <xdr:row>20</xdr:row>
      <xdr:rowOff>133350</xdr:rowOff>
    </xdr:from>
    <xdr:to>
      <xdr:col>4</xdr:col>
      <xdr:colOff>38100</xdr:colOff>
      <xdr:row>20</xdr:row>
      <xdr:rowOff>133350</xdr:rowOff>
    </xdr:to>
    <xdr:cxnSp macro="">
      <xdr:nvCxnSpPr>
        <xdr:cNvPr id="77" name="Straight Arrow Connector 76"/>
        <xdr:cNvCxnSpPr/>
      </xdr:nvCxnSpPr>
      <xdr:spPr>
        <a:xfrm>
          <a:off x="2032000" y="4000500"/>
          <a:ext cx="4445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38100</xdr:colOff>
      <xdr:row>19</xdr:row>
      <xdr:rowOff>133350</xdr:rowOff>
    </xdr:from>
    <xdr:to>
      <xdr:col>4</xdr:col>
      <xdr:colOff>38100</xdr:colOff>
      <xdr:row>20</xdr:row>
      <xdr:rowOff>133350</xdr:rowOff>
    </xdr:to>
    <xdr:cxnSp macro="">
      <xdr:nvCxnSpPr>
        <xdr:cNvPr id="78" name="Straight Arrow Connector 77"/>
        <xdr:cNvCxnSpPr/>
      </xdr:nvCxnSpPr>
      <xdr:spPr>
        <a:xfrm flipV="1">
          <a:off x="2476500" y="3810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482600</xdr:colOff>
      <xdr:row>20</xdr:row>
      <xdr:rowOff>133350</xdr:rowOff>
    </xdr:from>
    <xdr:to>
      <xdr:col>4</xdr:col>
      <xdr:colOff>482600</xdr:colOff>
      <xdr:row>21</xdr:row>
      <xdr:rowOff>133350</xdr:rowOff>
    </xdr:to>
    <xdr:cxnSp macro="">
      <xdr:nvCxnSpPr>
        <xdr:cNvPr id="79" name="Straight Arrow Connector 78"/>
        <xdr:cNvCxnSpPr/>
      </xdr:nvCxnSpPr>
      <xdr:spPr>
        <a:xfrm flipV="1">
          <a:off x="2921000" y="40005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38100</xdr:colOff>
      <xdr:row>20</xdr:row>
      <xdr:rowOff>133350</xdr:rowOff>
    </xdr:from>
    <xdr:to>
      <xdr:col>4</xdr:col>
      <xdr:colOff>482600</xdr:colOff>
      <xdr:row>20</xdr:row>
      <xdr:rowOff>133350</xdr:rowOff>
    </xdr:to>
    <xdr:cxnSp macro="">
      <xdr:nvCxnSpPr>
        <xdr:cNvPr id="80" name="Straight Arrow Connector 79"/>
        <xdr:cNvCxnSpPr/>
      </xdr:nvCxnSpPr>
      <xdr:spPr>
        <a:xfrm flipH="1">
          <a:off x="2476500" y="4000500"/>
          <a:ext cx="4445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38100</xdr:colOff>
      <xdr:row>19</xdr:row>
      <xdr:rowOff>133350</xdr:rowOff>
    </xdr:from>
    <xdr:to>
      <xdr:col>4</xdr:col>
      <xdr:colOff>38100</xdr:colOff>
      <xdr:row>20</xdr:row>
      <xdr:rowOff>133350</xdr:rowOff>
    </xdr:to>
    <xdr:cxnSp macro="">
      <xdr:nvCxnSpPr>
        <xdr:cNvPr id="81" name="Straight Arrow Connector 80"/>
        <xdr:cNvCxnSpPr/>
      </xdr:nvCxnSpPr>
      <xdr:spPr>
        <a:xfrm flipV="1">
          <a:off x="2476500" y="3810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20</xdr:row>
      <xdr:rowOff>133350</xdr:rowOff>
    </xdr:from>
    <xdr:to>
      <xdr:col>6</xdr:col>
      <xdr:colOff>152400</xdr:colOff>
      <xdr:row>21</xdr:row>
      <xdr:rowOff>6350</xdr:rowOff>
    </xdr:to>
    <xdr:cxnSp macro="">
      <xdr:nvCxnSpPr>
        <xdr:cNvPr id="82" name="Straight Arrow Connector 81"/>
        <xdr:cNvCxnSpPr/>
      </xdr:nvCxnSpPr>
      <xdr:spPr>
        <a:xfrm flipV="1">
          <a:off x="3810000" y="4000500"/>
          <a:ext cx="0" cy="63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20</xdr:row>
      <xdr:rowOff>133350</xdr:rowOff>
    </xdr:from>
    <xdr:to>
      <xdr:col>6</xdr:col>
      <xdr:colOff>596900</xdr:colOff>
      <xdr:row>20</xdr:row>
      <xdr:rowOff>133350</xdr:rowOff>
    </xdr:to>
    <xdr:cxnSp macro="">
      <xdr:nvCxnSpPr>
        <xdr:cNvPr id="83" name="Straight Arrow Connector 82"/>
        <xdr:cNvCxnSpPr/>
      </xdr:nvCxnSpPr>
      <xdr:spPr>
        <a:xfrm>
          <a:off x="3810000" y="4000500"/>
          <a:ext cx="4445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596900</xdr:colOff>
      <xdr:row>19</xdr:row>
      <xdr:rowOff>133350</xdr:rowOff>
    </xdr:from>
    <xdr:to>
      <xdr:col>6</xdr:col>
      <xdr:colOff>596900</xdr:colOff>
      <xdr:row>20</xdr:row>
      <xdr:rowOff>133350</xdr:rowOff>
    </xdr:to>
    <xdr:cxnSp macro="">
      <xdr:nvCxnSpPr>
        <xdr:cNvPr id="84" name="Straight Arrow Connector 83"/>
        <xdr:cNvCxnSpPr/>
      </xdr:nvCxnSpPr>
      <xdr:spPr>
        <a:xfrm flipV="1">
          <a:off x="4254500" y="3810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431800</xdr:colOff>
      <xdr:row>20</xdr:row>
      <xdr:rowOff>133350</xdr:rowOff>
    </xdr:from>
    <xdr:to>
      <xdr:col>7</xdr:col>
      <xdr:colOff>431800</xdr:colOff>
      <xdr:row>21</xdr:row>
      <xdr:rowOff>133350</xdr:rowOff>
    </xdr:to>
    <xdr:cxnSp macro="">
      <xdr:nvCxnSpPr>
        <xdr:cNvPr id="85" name="Straight Arrow Connector 84"/>
        <xdr:cNvCxnSpPr/>
      </xdr:nvCxnSpPr>
      <xdr:spPr>
        <a:xfrm flipV="1">
          <a:off x="4699000" y="40005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596900</xdr:colOff>
      <xdr:row>20</xdr:row>
      <xdr:rowOff>133350</xdr:rowOff>
    </xdr:from>
    <xdr:to>
      <xdr:col>7</xdr:col>
      <xdr:colOff>431800</xdr:colOff>
      <xdr:row>20</xdr:row>
      <xdr:rowOff>133350</xdr:rowOff>
    </xdr:to>
    <xdr:cxnSp macro="">
      <xdr:nvCxnSpPr>
        <xdr:cNvPr id="86" name="Straight Arrow Connector 85"/>
        <xdr:cNvCxnSpPr/>
      </xdr:nvCxnSpPr>
      <xdr:spPr>
        <a:xfrm flipH="1">
          <a:off x="4254500" y="4000500"/>
          <a:ext cx="4445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596900</xdr:colOff>
      <xdr:row>19</xdr:row>
      <xdr:rowOff>133350</xdr:rowOff>
    </xdr:from>
    <xdr:to>
      <xdr:col>6</xdr:col>
      <xdr:colOff>596900</xdr:colOff>
      <xdr:row>20</xdr:row>
      <xdr:rowOff>133350</xdr:rowOff>
    </xdr:to>
    <xdr:cxnSp macro="">
      <xdr:nvCxnSpPr>
        <xdr:cNvPr id="87" name="Straight Arrow Connector 86"/>
        <xdr:cNvCxnSpPr/>
      </xdr:nvCxnSpPr>
      <xdr:spPr>
        <a:xfrm flipV="1">
          <a:off x="4254500" y="3810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101600</xdr:colOff>
      <xdr:row>20</xdr:row>
      <xdr:rowOff>133350</xdr:rowOff>
    </xdr:from>
    <xdr:to>
      <xdr:col>9</xdr:col>
      <xdr:colOff>101600</xdr:colOff>
      <xdr:row>21</xdr:row>
      <xdr:rowOff>6350</xdr:rowOff>
    </xdr:to>
    <xdr:cxnSp macro="">
      <xdr:nvCxnSpPr>
        <xdr:cNvPr id="88" name="Straight Arrow Connector 87"/>
        <xdr:cNvCxnSpPr/>
      </xdr:nvCxnSpPr>
      <xdr:spPr>
        <a:xfrm flipV="1">
          <a:off x="5588000" y="4000500"/>
          <a:ext cx="0" cy="63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101600</xdr:colOff>
      <xdr:row>20</xdr:row>
      <xdr:rowOff>133350</xdr:rowOff>
    </xdr:from>
    <xdr:to>
      <xdr:col>9</xdr:col>
      <xdr:colOff>546100</xdr:colOff>
      <xdr:row>20</xdr:row>
      <xdr:rowOff>133350</xdr:rowOff>
    </xdr:to>
    <xdr:cxnSp macro="">
      <xdr:nvCxnSpPr>
        <xdr:cNvPr id="89" name="Straight Arrow Connector 88"/>
        <xdr:cNvCxnSpPr/>
      </xdr:nvCxnSpPr>
      <xdr:spPr>
        <a:xfrm>
          <a:off x="5588000" y="4000500"/>
          <a:ext cx="4445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546100</xdr:colOff>
      <xdr:row>19</xdr:row>
      <xdr:rowOff>133350</xdr:rowOff>
    </xdr:from>
    <xdr:to>
      <xdr:col>9</xdr:col>
      <xdr:colOff>546100</xdr:colOff>
      <xdr:row>20</xdr:row>
      <xdr:rowOff>133350</xdr:rowOff>
    </xdr:to>
    <xdr:cxnSp macro="">
      <xdr:nvCxnSpPr>
        <xdr:cNvPr id="90" name="Straight Arrow Connector 89"/>
        <xdr:cNvCxnSpPr/>
      </xdr:nvCxnSpPr>
      <xdr:spPr>
        <a:xfrm flipV="1">
          <a:off x="6032500" y="3810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381000</xdr:colOff>
      <xdr:row>20</xdr:row>
      <xdr:rowOff>133350</xdr:rowOff>
    </xdr:from>
    <xdr:to>
      <xdr:col>10</xdr:col>
      <xdr:colOff>381000</xdr:colOff>
      <xdr:row>21</xdr:row>
      <xdr:rowOff>133350</xdr:rowOff>
    </xdr:to>
    <xdr:cxnSp macro="">
      <xdr:nvCxnSpPr>
        <xdr:cNvPr id="91" name="Straight Arrow Connector 90"/>
        <xdr:cNvCxnSpPr/>
      </xdr:nvCxnSpPr>
      <xdr:spPr>
        <a:xfrm flipV="1">
          <a:off x="6477000" y="40005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546100</xdr:colOff>
      <xdr:row>20</xdr:row>
      <xdr:rowOff>133350</xdr:rowOff>
    </xdr:from>
    <xdr:to>
      <xdr:col>10</xdr:col>
      <xdr:colOff>381000</xdr:colOff>
      <xdr:row>20</xdr:row>
      <xdr:rowOff>133350</xdr:rowOff>
    </xdr:to>
    <xdr:cxnSp macro="">
      <xdr:nvCxnSpPr>
        <xdr:cNvPr id="92" name="Straight Arrow Connector 91"/>
        <xdr:cNvCxnSpPr/>
      </xdr:nvCxnSpPr>
      <xdr:spPr>
        <a:xfrm flipH="1">
          <a:off x="6032500" y="4000500"/>
          <a:ext cx="4445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546100</xdr:colOff>
      <xdr:row>19</xdr:row>
      <xdr:rowOff>133350</xdr:rowOff>
    </xdr:from>
    <xdr:to>
      <xdr:col>9</xdr:col>
      <xdr:colOff>546100</xdr:colOff>
      <xdr:row>20</xdr:row>
      <xdr:rowOff>133350</xdr:rowOff>
    </xdr:to>
    <xdr:cxnSp macro="">
      <xdr:nvCxnSpPr>
        <xdr:cNvPr id="93" name="Straight Arrow Connector 92"/>
        <xdr:cNvCxnSpPr/>
      </xdr:nvCxnSpPr>
      <xdr:spPr>
        <a:xfrm flipV="1">
          <a:off x="6032500" y="3810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50800</xdr:colOff>
      <xdr:row>20</xdr:row>
      <xdr:rowOff>133350</xdr:rowOff>
    </xdr:from>
    <xdr:to>
      <xdr:col>12</xdr:col>
      <xdr:colOff>50800</xdr:colOff>
      <xdr:row>21</xdr:row>
      <xdr:rowOff>133350</xdr:rowOff>
    </xdr:to>
    <xdr:cxnSp macro="">
      <xdr:nvCxnSpPr>
        <xdr:cNvPr id="94" name="Straight Arrow Connector 93"/>
        <xdr:cNvCxnSpPr/>
      </xdr:nvCxnSpPr>
      <xdr:spPr>
        <a:xfrm flipV="1">
          <a:off x="7366000" y="40005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50800</xdr:colOff>
      <xdr:row>20</xdr:row>
      <xdr:rowOff>133350</xdr:rowOff>
    </xdr:from>
    <xdr:to>
      <xdr:col>12</xdr:col>
      <xdr:colOff>495300</xdr:colOff>
      <xdr:row>20</xdr:row>
      <xdr:rowOff>133350</xdr:rowOff>
    </xdr:to>
    <xdr:cxnSp macro="">
      <xdr:nvCxnSpPr>
        <xdr:cNvPr id="95" name="Straight Arrow Connector 94"/>
        <xdr:cNvCxnSpPr/>
      </xdr:nvCxnSpPr>
      <xdr:spPr>
        <a:xfrm>
          <a:off x="7366000" y="4000500"/>
          <a:ext cx="4445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495300</xdr:colOff>
      <xdr:row>19</xdr:row>
      <xdr:rowOff>133350</xdr:rowOff>
    </xdr:from>
    <xdr:to>
      <xdr:col>12</xdr:col>
      <xdr:colOff>495300</xdr:colOff>
      <xdr:row>20</xdr:row>
      <xdr:rowOff>133350</xdr:rowOff>
    </xdr:to>
    <xdr:cxnSp macro="">
      <xdr:nvCxnSpPr>
        <xdr:cNvPr id="96" name="Straight Arrow Connector 95"/>
        <xdr:cNvCxnSpPr/>
      </xdr:nvCxnSpPr>
      <xdr:spPr>
        <a:xfrm flipV="1">
          <a:off x="7810500" y="3810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330200</xdr:colOff>
      <xdr:row>20</xdr:row>
      <xdr:rowOff>133350</xdr:rowOff>
    </xdr:from>
    <xdr:to>
      <xdr:col>13</xdr:col>
      <xdr:colOff>330200</xdr:colOff>
      <xdr:row>21</xdr:row>
      <xdr:rowOff>133350</xdr:rowOff>
    </xdr:to>
    <xdr:cxnSp macro="">
      <xdr:nvCxnSpPr>
        <xdr:cNvPr id="97" name="Straight Arrow Connector 96"/>
        <xdr:cNvCxnSpPr/>
      </xdr:nvCxnSpPr>
      <xdr:spPr>
        <a:xfrm flipV="1">
          <a:off x="8255000" y="40005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495300</xdr:colOff>
      <xdr:row>20</xdr:row>
      <xdr:rowOff>133350</xdr:rowOff>
    </xdr:from>
    <xdr:to>
      <xdr:col>13</xdr:col>
      <xdr:colOff>330200</xdr:colOff>
      <xdr:row>20</xdr:row>
      <xdr:rowOff>133350</xdr:rowOff>
    </xdr:to>
    <xdr:cxnSp macro="">
      <xdr:nvCxnSpPr>
        <xdr:cNvPr id="98" name="Straight Arrow Connector 97"/>
        <xdr:cNvCxnSpPr/>
      </xdr:nvCxnSpPr>
      <xdr:spPr>
        <a:xfrm flipH="1">
          <a:off x="7810500" y="4000500"/>
          <a:ext cx="4445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495300</xdr:colOff>
      <xdr:row>19</xdr:row>
      <xdr:rowOff>133350</xdr:rowOff>
    </xdr:from>
    <xdr:to>
      <xdr:col>12</xdr:col>
      <xdr:colOff>495300</xdr:colOff>
      <xdr:row>20</xdr:row>
      <xdr:rowOff>133350</xdr:rowOff>
    </xdr:to>
    <xdr:cxnSp macro="">
      <xdr:nvCxnSpPr>
        <xdr:cNvPr id="99" name="Straight Arrow Connector 98"/>
        <xdr:cNvCxnSpPr/>
      </xdr:nvCxnSpPr>
      <xdr:spPr>
        <a:xfrm flipV="1">
          <a:off x="7810500" y="3810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368300</xdr:colOff>
      <xdr:row>24</xdr:row>
      <xdr:rowOff>133350</xdr:rowOff>
    </xdr:from>
    <xdr:to>
      <xdr:col>2</xdr:col>
      <xdr:colOff>368300</xdr:colOff>
      <xdr:row>25</xdr:row>
      <xdr:rowOff>6350</xdr:rowOff>
    </xdr:to>
    <xdr:cxnSp macro="">
      <xdr:nvCxnSpPr>
        <xdr:cNvPr id="100" name="Straight Arrow Connector 99"/>
        <xdr:cNvCxnSpPr/>
      </xdr:nvCxnSpPr>
      <xdr:spPr>
        <a:xfrm flipV="1">
          <a:off x="1587500" y="4762500"/>
          <a:ext cx="0" cy="63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368300</xdr:colOff>
      <xdr:row>24</xdr:row>
      <xdr:rowOff>133350</xdr:rowOff>
    </xdr:from>
    <xdr:to>
      <xdr:col>3</xdr:col>
      <xdr:colOff>203200</xdr:colOff>
      <xdr:row>24</xdr:row>
      <xdr:rowOff>133350</xdr:rowOff>
    </xdr:to>
    <xdr:cxnSp macro="">
      <xdr:nvCxnSpPr>
        <xdr:cNvPr id="101" name="Straight Arrow Connector 100"/>
        <xdr:cNvCxnSpPr/>
      </xdr:nvCxnSpPr>
      <xdr:spPr>
        <a:xfrm>
          <a:off x="1587500" y="4762500"/>
          <a:ext cx="4445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203200</xdr:colOff>
      <xdr:row>23</xdr:row>
      <xdr:rowOff>133350</xdr:rowOff>
    </xdr:from>
    <xdr:to>
      <xdr:col>3</xdr:col>
      <xdr:colOff>203200</xdr:colOff>
      <xdr:row>24</xdr:row>
      <xdr:rowOff>133350</xdr:rowOff>
    </xdr:to>
    <xdr:cxnSp macro="">
      <xdr:nvCxnSpPr>
        <xdr:cNvPr id="102" name="Straight Arrow Connector 101"/>
        <xdr:cNvCxnSpPr/>
      </xdr:nvCxnSpPr>
      <xdr:spPr>
        <a:xfrm flipV="1">
          <a:off x="2032000" y="4572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38100</xdr:colOff>
      <xdr:row>24</xdr:row>
      <xdr:rowOff>133350</xdr:rowOff>
    </xdr:from>
    <xdr:to>
      <xdr:col>4</xdr:col>
      <xdr:colOff>38100</xdr:colOff>
      <xdr:row>25</xdr:row>
      <xdr:rowOff>133350</xdr:rowOff>
    </xdr:to>
    <xdr:cxnSp macro="">
      <xdr:nvCxnSpPr>
        <xdr:cNvPr id="103" name="Straight Arrow Connector 102"/>
        <xdr:cNvCxnSpPr/>
      </xdr:nvCxnSpPr>
      <xdr:spPr>
        <a:xfrm flipV="1">
          <a:off x="2476500" y="47625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203200</xdr:colOff>
      <xdr:row>24</xdr:row>
      <xdr:rowOff>133350</xdr:rowOff>
    </xdr:from>
    <xdr:to>
      <xdr:col>4</xdr:col>
      <xdr:colOff>38100</xdr:colOff>
      <xdr:row>24</xdr:row>
      <xdr:rowOff>133350</xdr:rowOff>
    </xdr:to>
    <xdr:cxnSp macro="">
      <xdr:nvCxnSpPr>
        <xdr:cNvPr id="104" name="Straight Arrow Connector 103"/>
        <xdr:cNvCxnSpPr/>
      </xdr:nvCxnSpPr>
      <xdr:spPr>
        <a:xfrm flipH="1">
          <a:off x="2032000" y="4762500"/>
          <a:ext cx="4445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203200</xdr:colOff>
      <xdr:row>23</xdr:row>
      <xdr:rowOff>133350</xdr:rowOff>
    </xdr:from>
    <xdr:to>
      <xdr:col>3</xdr:col>
      <xdr:colOff>203200</xdr:colOff>
      <xdr:row>24</xdr:row>
      <xdr:rowOff>133350</xdr:rowOff>
    </xdr:to>
    <xdr:cxnSp macro="">
      <xdr:nvCxnSpPr>
        <xdr:cNvPr id="105" name="Straight Arrow Connector 104"/>
        <xdr:cNvCxnSpPr/>
      </xdr:nvCxnSpPr>
      <xdr:spPr>
        <a:xfrm flipV="1">
          <a:off x="2032000" y="4572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317500</xdr:colOff>
      <xdr:row>24</xdr:row>
      <xdr:rowOff>133350</xdr:rowOff>
    </xdr:from>
    <xdr:to>
      <xdr:col>5</xdr:col>
      <xdr:colOff>317500</xdr:colOff>
      <xdr:row>25</xdr:row>
      <xdr:rowOff>133350</xdr:rowOff>
    </xdr:to>
    <xdr:cxnSp macro="">
      <xdr:nvCxnSpPr>
        <xdr:cNvPr id="106" name="Straight Arrow Connector 105"/>
        <xdr:cNvCxnSpPr/>
      </xdr:nvCxnSpPr>
      <xdr:spPr>
        <a:xfrm flipV="1">
          <a:off x="3365500" y="47625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317500</xdr:colOff>
      <xdr:row>24</xdr:row>
      <xdr:rowOff>133350</xdr:rowOff>
    </xdr:from>
    <xdr:to>
      <xdr:col>6</xdr:col>
      <xdr:colOff>152400</xdr:colOff>
      <xdr:row>24</xdr:row>
      <xdr:rowOff>133350</xdr:rowOff>
    </xdr:to>
    <xdr:cxnSp macro="">
      <xdr:nvCxnSpPr>
        <xdr:cNvPr id="107" name="Straight Arrow Connector 106"/>
        <xdr:cNvCxnSpPr/>
      </xdr:nvCxnSpPr>
      <xdr:spPr>
        <a:xfrm>
          <a:off x="3365500" y="4762500"/>
          <a:ext cx="4445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23</xdr:row>
      <xdr:rowOff>133350</xdr:rowOff>
    </xdr:from>
    <xdr:to>
      <xdr:col>6</xdr:col>
      <xdr:colOff>152400</xdr:colOff>
      <xdr:row>24</xdr:row>
      <xdr:rowOff>133350</xdr:rowOff>
    </xdr:to>
    <xdr:cxnSp macro="">
      <xdr:nvCxnSpPr>
        <xdr:cNvPr id="108" name="Straight Arrow Connector 107"/>
        <xdr:cNvCxnSpPr/>
      </xdr:nvCxnSpPr>
      <xdr:spPr>
        <a:xfrm flipV="1">
          <a:off x="3810000" y="4572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596900</xdr:colOff>
      <xdr:row>24</xdr:row>
      <xdr:rowOff>133350</xdr:rowOff>
    </xdr:from>
    <xdr:to>
      <xdr:col>6</xdr:col>
      <xdr:colOff>596900</xdr:colOff>
      <xdr:row>25</xdr:row>
      <xdr:rowOff>133350</xdr:rowOff>
    </xdr:to>
    <xdr:cxnSp macro="">
      <xdr:nvCxnSpPr>
        <xdr:cNvPr id="109" name="Straight Arrow Connector 108"/>
        <xdr:cNvCxnSpPr/>
      </xdr:nvCxnSpPr>
      <xdr:spPr>
        <a:xfrm flipV="1">
          <a:off x="4254500" y="47625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24</xdr:row>
      <xdr:rowOff>133350</xdr:rowOff>
    </xdr:from>
    <xdr:to>
      <xdr:col>6</xdr:col>
      <xdr:colOff>596900</xdr:colOff>
      <xdr:row>24</xdr:row>
      <xdr:rowOff>133350</xdr:rowOff>
    </xdr:to>
    <xdr:cxnSp macro="">
      <xdr:nvCxnSpPr>
        <xdr:cNvPr id="110" name="Straight Arrow Connector 109"/>
        <xdr:cNvCxnSpPr/>
      </xdr:nvCxnSpPr>
      <xdr:spPr>
        <a:xfrm flipH="1">
          <a:off x="3810000" y="4762500"/>
          <a:ext cx="4445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152400</xdr:colOff>
      <xdr:row>23</xdr:row>
      <xdr:rowOff>133350</xdr:rowOff>
    </xdr:from>
    <xdr:to>
      <xdr:col>6</xdr:col>
      <xdr:colOff>152400</xdr:colOff>
      <xdr:row>24</xdr:row>
      <xdr:rowOff>133350</xdr:rowOff>
    </xdr:to>
    <xdr:cxnSp macro="">
      <xdr:nvCxnSpPr>
        <xdr:cNvPr id="111" name="Straight Arrow Connector 110"/>
        <xdr:cNvCxnSpPr/>
      </xdr:nvCxnSpPr>
      <xdr:spPr>
        <a:xfrm flipV="1">
          <a:off x="3810000" y="4572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266700</xdr:colOff>
      <xdr:row>24</xdr:row>
      <xdr:rowOff>133350</xdr:rowOff>
    </xdr:from>
    <xdr:to>
      <xdr:col>8</xdr:col>
      <xdr:colOff>266700</xdr:colOff>
      <xdr:row>25</xdr:row>
      <xdr:rowOff>133350</xdr:rowOff>
    </xdr:to>
    <xdr:cxnSp macro="">
      <xdr:nvCxnSpPr>
        <xdr:cNvPr id="112" name="Straight Arrow Connector 111"/>
        <xdr:cNvCxnSpPr/>
      </xdr:nvCxnSpPr>
      <xdr:spPr>
        <a:xfrm flipV="1">
          <a:off x="5143500" y="47625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266700</xdr:colOff>
      <xdr:row>24</xdr:row>
      <xdr:rowOff>133350</xdr:rowOff>
    </xdr:from>
    <xdr:to>
      <xdr:col>9</xdr:col>
      <xdr:colOff>101600</xdr:colOff>
      <xdr:row>24</xdr:row>
      <xdr:rowOff>133350</xdr:rowOff>
    </xdr:to>
    <xdr:cxnSp macro="">
      <xdr:nvCxnSpPr>
        <xdr:cNvPr id="113" name="Straight Arrow Connector 112"/>
        <xdr:cNvCxnSpPr/>
      </xdr:nvCxnSpPr>
      <xdr:spPr>
        <a:xfrm>
          <a:off x="5143500" y="4762500"/>
          <a:ext cx="4445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101600</xdr:colOff>
      <xdr:row>23</xdr:row>
      <xdr:rowOff>133350</xdr:rowOff>
    </xdr:from>
    <xdr:to>
      <xdr:col>9</xdr:col>
      <xdr:colOff>101600</xdr:colOff>
      <xdr:row>24</xdr:row>
      <xdr:rowOff>133350</xdr:rowOff>
    </xdr:to>
    <xdr:cxnSp macro="">
      <xdr:nvCxnSpPr>
        <xdr:cNvPr id="114" name="Straight Arrow Connector 113"/>
        <xdr:cNvCxnSpPr/>
      </xdr:nvCxnSpPr>
      <xdr:spPr>
        <a:xfrm flipV="1">
          <a:off x="5588000" y="4572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546100</xdr:colOff>
      <xdr:row>24</xdr:row>
      <xdr:rowOff>133350</xdr:rowOff>
    </xdr:from>
    <xdr:to>
      <xdr:col>9</xdr:col>
      <xdr:colOff>546100</xdr:colOff>
      <xdr:row>25</xdr:row>
      <xdr:rowOff>133350</xdr:rowOff>
    </xdr:to>
    <xdr:cxnSp macro="">
      <xdr:nvCxnSpPr>
        <xdr:cNvPr id="115" name="Straight Arrow Connector 114"/>
        <xdr:cNvCxnSpPr/>
      </xdr:nvCxnSpPr>
      <xdr:spPr>
        <a:xfrm flipV="1">
          <a:off x="6032500" y="47625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101600</xdr:colOff>
      <xdr:row>24</xdr:row>
      <xdr:rowOff>133350</xdr:rowOff>
    </xdr:from>
    <xdr:to>
      <xdr:col>9</xdr:col>
      <xdr:colOff>546100</xdr:colOff>
      <xdr:row>24</xdr:row>
      <xdr:rowOff>133350</xdr:rowOff>
    </xdr:to>
    <xdr:cxnSp macro="">
      <xdr:nvCxnSpPr>
        <xdr:cNvPr id="116" name="Straight Arrow Connector 115"/>
        <xdr:cNvCxnSpPr/>
      </xdr:nvCxnSpPr>
      <xdr:spPr>
        <a:xfrm flipH="1">
          <a:off x="5588000" y="4762500"/>
          <a:ext cx="4445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101600</xdr:colOff>
      <xdr:row>23</xdr:row>
      <xdr:rowOff>133350</xdr:rowOff>
    </xdr:from>
    <xdr:to>
      <xdr:col>9</xdr:col>
      <xdr:colOff>101600</xdr:colOff>
      <xdr:row>24</xdr:row>
      <xdr:rowOff>133350</xdr:rowOff>
    </xdr:to>
    <xdr:cxnSp macro="">
      <xdr:nvCxnSpPr>
        <xdr:cNvPr id="117" name="Straight Arrow Connector 116"/>
        <xdr:cNvCxnSpPr/>
      </xdr:nvCxnSpPr>
      <xdr:spPr>
        <a:xfrm flipV="1">
          <a:off x="5588000" y="4572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533400</xdr:colOff>
      <xdr:row>28</xdr:row>
      <xdr:rowOff>133350</xdr:rowOff>
    </xdr:from>
    <xdr:to>
      <xdr:col>1</xdr:col>
      <xdr:colOff>533400</xdr:colOff>
      <xdr:row>29</xdr:row>
      <xdr:rowOff>133350</xdr:rowOff>
    </xdr:to>
    <xdr:cxnSp macro="">
      <xdr:nvCxnSpPr>
        <xdr:cNvPr id="118" name="Straight Arrow Connector 117"/>
        <xdr:cNvCxnSpPr/>
      </xdr:nvCxnSpPr>
      <xdr:spPr>
        <a:xfrm flipV="1">
          <a:off x="1143000" y="55245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533400</xdr:colOff>
      <xdr:row>28</xdr:row>
      <xdr:rowOff>133350</xdr:rowOff>
    </xdr:from>
    <xdr:to>
      <xdr:col>2</xdr:col>
      <xdr:colOff>368300</xdr:colOff>
      <xdr:row>28</xdr:row>
      <xdr:rowOff>133350</xdr:rowOff>
    </xdr:to>
    <xdr:cxnSp macro="">
      <xdr:nvCxnSpPr>
        <xdr:cNvPr id="119" name="Straight Arrow Connector 118"/>
        <xdr:cNvCxnSpPr/>
      </xdr:nvCxnSpPr>
      <xdr:spPr>
        <a:xfrm>
          <a:off x="1143000" y="5524500"/>
          <a:ext cx="4445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368300</xdr:colOff>
      <xdr:row>27</xdr:row>
      <xdr:rowOff>133350</xdr:rowOff>
    </xdr:from>
    <xdr:to>
      <xdr:col>2</xdr:col>
      <xdr:colOff>368300</xdr:colOff>
      <xdr:row>28</xdr:row>
      <xdr:rowOff>133350</xdr:rowOff>
    </xdr:to>
    <xdr:cxnSp macro="">
      <xdr:nvCxnSpPr>
        <xdr:cNvPr id="120" name="Straight Arrow Connector 119"/>
        <xdr:cNvCxnSpPr/>
      </xdr:nvCxnSpPr>
      <xdr:spPr>
        <a:xfrm flipV="1">
          <a:off x="1587500" y="5334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203200</xdr:colOff>
      <xdr:row>28</xdr:row>
      <xdr:rowOff>133350</xdr:rowOff>
    </xdr:from>
    <xdr:to>
      <xdr:col>3</xdr:col>
      <xdr:colOff>203200</xdr:colOff>
      <xdr:row>29</xdr:row>
      <xdr:rowOff>133350</xdr:rowOff>
    </xdr:to>
    <xdr:cxnSp macro="">
      <xdr:nvCxnSpPr>
        <xdr:cNvPr id="121" name="Straight Arrow Connector 120"/>
        <xdr:cNvCxnSpPr/>
      </xdr:nvCxnSpPr>
      <xdr:spPr>
        <a:xfrm flipV="1">
          <a:off x="2032000" y="55245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368300</xdr:colOff>
      <xdr:row>28</xdr:row>
      <xdr:rowOff>133350</xdr:rowOff>
    </xdr:from>
    <xdr:to>
      <xdr:col>3</xdr:col>
      <xdr:colOff>203200</xdr:colOff>
      <xdr:row>28</xdr:row>
      <xdr:rowOff>133350</xdr:rowOff>
    </xdr:to>
    <xdr:cxnSp macro="">
      <xdr:nvCxnSpPr>
        <xdr:cNvPr id="122" name="Straight Arrow Connector 121"/>
        <xdr:cNvCxnSpPr/>
      </xdr:nvCxnSpPr>
      <xdr:spPr>
        <a:xfrm flipH="1">
          <a:off x="1587500" y="5524500"/>
          <a:ext cx="444500" cy="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368300</xdr:colOff>
      <xdr:row>27</xdr:row>
      <xdr:rowOff>133350</xdr:rowOff>
    </xdr:from>
    <xdr:to>
      <xdr:col>2</xdr:col>
      <xdr:colOff>368300</xdr:colOff>
      <xdr:row>28</xdr:row>
      <xdr:rowOff>133350</xdr:rowOff>
    </xdr:to>
    <xdr:cxnSp macro="">
      <xdr:nvCxnSpPr>
        <xdr:cNvPr id="123" name="Straight Arrow Connector 122"/>
        <xdr:cNvCxnSpPr/>
      </xdr:nvCxnSpPr>
      <xdr:spPr>
        <a:xfrm flipV="1">
          <a:off x="1587500" y="5334000"/>
          <a:ext cx="0" cy="190500"/>
        </a:xfrm>
        <a:prstGeom prst="straightConnector1">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501"/>
  <sheetViews>
    <sheetView showGridLines="0" topLeftCell="B1" workbookViewId="0">
      <selection activeCell="H10" sqref="H10"/>
    </sheetView>
  </sheetViews>
  <sheetFormatPr baseColWidth="10" defaultColWidth="8.83203125" defaultRowHeight="15" x14ac:dyDescent="0.2"/>
  <cols>
    <col min="1" max="10" width="18.5" style="1" customWidth="1"/>
  </cols>
  <sheetData>
    <row r="1" spans="1:10" ht="31" thickBot="1" x14ac:dyDescent="0.25">
      <c r="A1" s="2" t="s">
        <v>0</v>
      </c>
      <c r="B1" s="2" t="s">
        <v>2</v>
      </c>
      <c r="C1" s="2" t="s">
        <v>1</v>
      </c>
      <c r="D1" s="2" t="s">
        <v>3</v>
      </c>
      <c r="E1" s="2" t="s">
        <v>4</v>
      </c>
      <c r="F1" s="2" t="s">
        <v>5</v>
      </c>
      <c r="G1" s="2" t="s">
        <v>6</v>
      </c>
      <c r="H1" s="2" t="s">
        <v>7</v>
      </c>
      <c r="I1" s="2" t="s">
        <v>8</v>
      </c>
      <c r="J1" s="2" t="s">
        <v>9</v>
      </c>
    </row>
    <row r="2" spans="1:10" x14ac:dyDescent="0.2">
      <c r="A2" s="1">
        <v>1003</v>
      </c>
      <c r="B2" s="1">
        <v>0</v>
      </c>
      <c r="C2" s="1">
        <v>7</v>
      </c>
      <c r="D2" s="1">
        <v>1</v>
      </c>
      <c r="E2" s="1">
        <v>2</v>
      </c>
      <c r="F2" s="1">
        <v>1</v>
      </c>
      <c r="G2" s="1">
        <v>1</v>
      </c>
      <c r="H2" s="1">
        <v>1</v>
      </c>
      <c r="I2" s="1">
        <v>1</v>
      </c>
      <c r="J2" s="1">
        <v>1</v>
      </c>
    </row>
    <row r="3" spans="1:10" x14ac:dyDescent="0.2">
      <c r="A3" s="1">
        <v>829</v>
      </c>
      <c r="B3" s="1">
        <v>0</v>
      </c>
      <c r="C3" s="1">
        <v>12</v>
      </c>
      <c r="D3" s="1">
        <v>4</v>
      </c>
      <c r="E3" s="1">
        <v>2</v>
      </c>
      <c r="F3" s="1">
        <v>1</v>
      </c>
      <c r="G3" s="1">
        <v>1</v>
      </c>
      <c r="H3" s="1">
        <v>1</v>
      </c>
      <c r="I3" s="1">
        <v>2</v>
      </c>
      <c r="J3" s="1">
        <v>1</v>
      </c>
    </row>
    <row r="4" spans="1:10" x14ac:dyDescent="0.2">
      <c r="A4" s="1">
        <v>2315</v>
      </c>
      <c r="B4" s="1">
        <v>0</v>
      </c>
      <c r="C4" s="1">
        <v>17</v>
      </c>
      <c r="D4" s="1">
        <v>2</v>
      </c>
      <c r="E4" s="1">
        <v>2</v>
      </c>
      <c r="F4" s="1">
        <v>1</v>
      </c>
      <c r="G4" s="1">
        <v>1</v>
      </c>
      <c r="H4" s="1">
        <v>0</v>
      </c>
      <c r="I4" s="1">
        <v>0</v>
      </c>
      <c r="J4" s="1">
        <v>1</v>
      </c>
    </row>
    <row r="5" spans="1:10" x14ac:dyDescent="0.2">
      <c r="A5" s="1">
        <v>1610</v>
      </c>
      <c r="B5" s="1">
        <v>0</v>
      </c>
      <c r="C5" s="1">
        <v>17</v>
      </c>
      <c r="D5" s="1">
        <v>4</v>
      </c>
      <c r="E5" s="1">
        <v>3</v>
      </c>
      <c r="F5" s="1">
        <v>1</v>
      </c>
      <c r="G5" s="1">
        <v>1</v>
      </c>
      <c r="H5" s="1">
        <v>0</v>
      </c>
      <c r="I5" s="1">
        <v>2</v>
      </c>
      <c r="J5" s="1">
        <v>1</v>
      </c>
    </row>
    <row r="6" spans="1:10" x14ac:dyDescent="0.2">
      <c r="A6" s="1">
        <v>597</v>
      </c>
      <c r="B6" s="1">
        <v>0</v>
      </c>
      <c r="C6" s="1">
        <v>12</v>
      </c>
      <c r="D6" s="1">
        <v>5</v>
      </c>
      <c r="E6" s="1">
        <v>1</v>
      </c>
      <c r="F6" s="1">
        <v>2</v>
      </c>
      <c r="G6" s="1">
        <v>1</v>
      </c>
      <c r="H6" s="1">
        <v>0</v>
      </c>
      <c r="I6" s="1">
        <v>1</v>
      </c>
      <c r="J6" s="1">
        <v>1</v>
      </c>
    </row>
    <row r="7" spans="1:10" x14ac:dyDescent="0.2">
      <c r="A7" s="1">
        <v>93</v>
      </c>
      <c r="B7" s="1">
        <v>0</v>
      </c>
      <c r="C7" s="1">
        <v>7</v>
      </c>
      <c r="D7" s="1">
        <v>3</v>
      </c>
      <c r="E7" s="1">
        <v>2</v>
      </c>
      <c r="F7" s="1">
        <v>2</v>
      </c>
      <c r="G7" s="1">
        <v>1</v>
      </c>
      <c r="H7" s="1">
        <v>1</v>
      </c>
      <c r="I7" s="1">
        <v>0</v>
      </c>
      <c r="J7" s="1">
        <v>1</v>
      </c>
    </row>
    <row r="8" spans="1:10" x14ac:dyDescent="0.2">
      <c r="A8" s="1">
        <v>642</v>
      </c>
      <c r="B8" s="1">
        <v>0</v>
      </c>
      <c r="C8" s="1">
        <v>8</v>
      </c>
      <c r="D8" s="1">
        <v>4</v>
      </c>
      <c r="E8" s="1">
        <v>2</v>
      </c>
      <c r="F8" s="1">
        <v>2</v>
      </c>
      <c r="G8" s="1">
        <v>1</v>
      </c>
      <c r="H8" s="1">
        <v>0</v>
      </c>
      <c r="I8" s="1">
        <v>0</v>
      </c>
      <c r="J8" s="1">
        <v>1</v>
      </c>
    </row>
    <row r="9" spans="1:10" x14ac:dyDescent="0.2">
      <c r="A9" s="1">
        <v>1567</v>
      </c>
      <c r="B9" s="1">
        <v>0</v>
      </c>
      <c r="C9" s="1">
        <v>11</v>
      </c>
      <c r="D9" s="1">
        <v>2</v>
      </c>
      <c r="E9" s="1">
        <v>2</v>
      </c>
      <c r="F9" s="1">
        <v>2</v>
      </c>
      <c r="G9" s="1">
        <v>1</v>
      </c>
      <c r="H9" s="1">
        <v>1</v>
      </c>
      <c r="I9" s="1">
        <v>0</v>
      </c>
      <c r="J9" s="1">
        <v>1</v>
      </c>
    </row>
    <row r="10" spans="1:10" x14ac:dyDescent="0.2">
      <c r="A10" s="1">
        <v>1699</v>
      </c>
      <c r="B10" s="1">
        <v>0</v>
      </c>
      <c r="C10" s="1">
        <v>15</v>
      </c>
      <c r="D10" s="1">
        <v>5</v>
      </c>
      <c r="E10" s="1">
        <v>3</v>
      </c>
      <c r="F10" s="1">
        <v>2</v>
      </c>
      <c r="G10" s="1">
        <v>1</v>
      </c>
      <c r="H10" s="1">
        <v>1</v>
      </c>
      <c r="I10" s="1">
        <v>1</v>
      </c>
      <c r="J10" s="1">
        <v>1</v>
      </c>
    </row>
    <row r="11" spans="1:10" x14ac:dyDescent="0.2">
      <c r="A11" s="1">
        <v>2487</v>
      </c>
      <c r="B11" s="1">
        <v>0</v>
      </c>
      <c r="C11" s="1">
        <v>17</v>
      </c>
      <c r="D11" s="1">
        <v>2</v>
      </c>
      <c r="E11" s="1">
        <v>1</v>
      </c>
      <c r="F11" s="1">
        <v>3</v>
      </c>
      <c r="G11" s="1">
        <v>1</v>
      </c>
      <c r="H11" s="1">
        <v>0</v>
      </c>
      <c r="I11" s="1">
        <v>2</v>
      </c>
      <c r="J11" s="1">
        <v>1</v>
      </c>
    </row>
    <row r="12" spans="1:10" x14ac:dyDescent="0.2">
      <c r="A12" s="1">
        <v>2346</v>
      </c>
      <c r="B12" s="1">
        <v>0</v>
      </c>
      <c r="C12" s="1">
        <v>16</v>
      </c>
      <c r="D12" s="1">
        <v>4</v>
      </c>
      <c r="E12" s="1">
        <v>2</v>
      </c>
      <c r="F12" s="1">
        <v>3</v>
      </c>
      <c r="G12" s="1">
        <v>1</v>
      </c>
      <c r="H12" s="1">
        <v>1</v>
      </c>
      <c r="I12" s="1">
        <v>2</v>
      </c>
      <c r="J12" s="1">
        <v>1</v>
      </c>
    </row>
    <row r="13" spans="1:10" x14ac:dyDescent="0.2">
      <c r="A13" s="1">
        <v>1852</v>
      </c>
      <c r="B13" s="1">
        <v>0</v>
      </c>
      <c r="C13" s="1">
        <v>8</v>
      </c>
      <c r="D13" s="1">
        <v>5</v>
      </c>
      <c r="E13" s="1">
        <v>3</v>
      </c>
      <c r="F13" s="1">
        <v>3</v>
      </c>
      <c r="G13" s="1">
        <v>1</v>
      </c>
      <c r="H13" s="1">
        <v>0</v>
      </c>
      <c r="I13" s="1">
        <v>2</v>
      </c>
      <c r="J13" s="1">
        <v>1</v>
      </c>
    </row>
    <row r="14" spans="1:10" x14ac:dyDescent="0.2">
      <c r="A14" s="1">
        <v>2251</v>
      </c>
      <c r="B14" s="1">
        <v>0</v>
      </c>
      <c r="C14" s="1">
        <v>8</v>
      </c>
      <c r="D14" s="1">
        <v>2</v>
      </c>
      <c r="E14" s="1">
        <v>3</v>
      </c>
      <c r="F14" s="1">
        <v>3</v>
      </c>
      <c r="G14" s="1">
        <v>1</v>
      </c>
      <c r="H14" s="1">
        <v>1</v>
      </c>
      <c r="I14" s="1">
        <v>1</v>
      </c>
      <c r="J14" s="1">
        <v>1</v>
      </c>
    </row>
    <row r="15" spans="1:10" x14ac:dyDescent="0.2">
      <c r="A15" s="1">
        <v>1235</v>
      </c>
      <c r="B15" s="1">
        <v>0</v>
      </c>
      <c r="C15" s="1">
        <v>6</v>
      </c>
      <c r="D15" s="1">
        <v>3</v>
      </c>
      <c r="E15" s="1">
        <v>1</v>
      </c>
      <c r="F15" s="1">
        <v>4</v>
      </c>
      <c r="G15" s="1">
        <v>1</v>
      </c>
      <c r="H15" s="1">
        <v>1</v>
      </c>
      <c r="I15" s="1">
        <v>0</v>
      </c>
      <c r="J15" s="1">
        <v>1</v>
      </c>
    </row>
    <row r="16" spans="1:10" x14ac:dyDescent="0.2">
      <c r="A16" s="1">
        <v>390</v>
      </c>
      <c r="B16" s="1">
        <v>0</v>
      </c>
      <c r="C16" s="1">
        <v>7</v>
      </c>
      <c r="D16" s="1">
        <v>5</v>
      </c>
      <c r="E16" s="1">
        <v>1</v>
      </c>
      <c r="F16" s="1">
        <v>4</v>
      </c>
      <c r="G16" s="1">
        <v>1</v>
      </c>
      <c r="H16" s="1">
        <v>0</v>
      </c>
      <c r="I16" s="1">
        <v>0</v>
      </c>
      <c r="J16" s="1">
        <v>1</v>
      </c>
    </row>
    <row r="17" spans="1:10" x14ac:dyDescent="0.2">
      <c r="A17" s="1">
        <v>156</v>
      </c>
      <c r="B17" s="1">
        <v>0</v>
      </c>
      <c r="C17" s="1">
        <v>18</v>
      </c>
      <c r="D17" s="1">
        <v>1</v>
      </c>
      <c r="E17" s="1">
        <v>1</v>
      </c>
      <c r="F17" s="1">
        <v>4</v>
      </c>
      <c r="G17" s="1">
        <v>1</v>
      </c>
      <c r="H17" s="1">
        <v>0</v>
      </c>
      <c r="I17" s="1">
        <v>0</v>
      </c>
      <c r="J17" s="1">
        <v>1</v>
      </c>
    </row>
    <row r="18" spans="1:10" x14ac:dyDescent="0.2">
      <c r="A18" s="1">
        <v>1893</v>
      </c>
      <c r="B18" s="1">
        <v>0</v>
      </c>
      <c r="C18" s="1">
        <v>14</v>
      </c>
      <c r="D18" s="1">
        <v>5</v>
      </c>
      <c r="E18" s="1">
        <v>2</v>
      </c>
      <c r="F18" s="1">
        <v>4</v>
      </c>
      <c r="G18" s="1">
        <v>1</v>
      </c>
      <c r="H18" s="1">
        <v>0</v>
      </c>
      <c r="I18" s="1">
        <v>2</v>
      </c>
      <c r="J18" s="1">
        <v>1</v>
      </c>
    </row>
    <row r="19" spans="1:10" x14ac:dyDescent="0.2">
      <c r="A19" s="1">
        <v>336</v>
      </c>
      <c r="B19" s="1">
        <v>0</v>
      </c>
      <c r="C19" s="1">
        <v>5</v>
      </c>
      <c r="D19" s="1">
        <v>1</v>
      </c>
      <c r="E19" s="1">
        <v>3</v>
      </c>
      <c r="F19" s="1">
        <v>4</v>
      </c>
      <c r="G19" s="1">
        <v>1</v>
      </c>
      <c r="H19" s="1">
        <v>1</v>
      </c>
      <c r="I19" s="1">
        <v>3</v>
      </c>
      <c r="J19" s="1">
        <v>1</v>
      </c>
    </row>
    <row r="20" spans="1:10" x14ac:dyDescent="0.2">
      <c r="A20" s="1">
        <v>1447</v>
      </c>
      <c r="B20" s="1">
        <v>0</v>
      </c>
      <c r="C20" s="1">
        <v>9</v>
      </c>
      <c r="D20" s="1">
        <v>3</v>
      </c>
      <c r="E20" s="1">
        <v>3</v>
      </c>
      <c r="F20" s="1">
        <v>4</v>
      </c>
      <c r="G20" s="1">
        <v>1</v>
      </c>
      <c r="H20" s="1">
        <v>1</v>
      </c>
      <c r="I20" s="1">
        <v>1</v>
      </c>
      <c r="J20" s="1">
        <v>1</v>
      </c>
    </row>
    <row r="21" spans="1:10" x14ac:dyDescent="0.2">
      <c r="A21" s="1">
        <v>771</v>
      </c>
      <c r="B21" s="1">
        <v>0</v>
      </c>
      <c r="C21" s="1">
        <v>12</v>
      </c>
      <c r="D21" s="1">
        <v>2</v>
      </c>
      <c r="E21" s="1">
        <v>3</v>
      </c>
      <c r="F21" s="1">
        <v>4</v>
      </c>
      <c r="G21" s="1">
        <v>1</v>
      </c>
      <c r="H21" s="1">
        <v>0</v>
      </c>
      <c r="I21" s="1">
        <v>2</v>
      </c>
      <c r="J21" s="1">
        <v>1</v>
      </c>
    </row>
    <row r="22" spans="1:10" x14ac:dyDescent="0.2">
      <c r="A22" s="1">
        <v>871</v>
      </c>
      <c r="B22" s="1">
        <v>0</v>
      </c>
      <c r="C22" s="1">
        <v>5</v>
      </c>
      <c r="D22" s="1">
        <v>5</v>
      </c>
      <c r="E22" s="1">
        <v>1</v>
      </c>
      <c r="F22" s="1">
        <v>5</v>
      </c>
      <c r="G22" s="1">
        <v>1</v>
      </c>
      <c r="H22" s="1">
        <v>0</v>
      </c>
      <c r="I22" s="1">
        <v>1</v>
      </c>
      <c r="J22" s="1">
        <v>1</v>
      </c>
    </row>
    <row r="23" spans="1:10" x14ac:dyDescent="0.2">
      <c r="A23" s="1">
        <v>1577</v>
      </c>
      <c r="B23" s="1">
        <v>0</v>
      </c>
      <c r="C23" s="1">
        <v>5</v>
      </c>
      <c r="D23" s="1">
        <v>3</v>
      </c>
      <c r="E23" s="1">
        <v>1</v>
      </c>
      <c r="F23" s="1">
        <v>5</v>
      </c>
      <c r="G23" s="1">
        <v>1</v>
      </c>
      <c r="H23" s="1">
        <v>1</v>
      </c>
      <c r="I23" s="1">
        <v>2</v>
      </c>
      <c r="J23" s="1">
        <v>1</v>
      </c>
    </row>
    <row r="24" spans="1:10" x14ac:dyDescent="0.2">
      <c r="A24" s="1">
        <v>891</v>
      </c>
      <c r="B24" s="1">
        <v>0</v>
      </c>
      <c r="C24" s="1">
        <v>9</v>
      </c>
      <c r="D24" s="1">
        <v>2</v>
      </c>
      <c r="E24" s="1">
        <v>1</v>
      </c>
      <c r="F24" s="1">
        <v>5</v>
      </c>
      <c r="G24" s="1">
        <v>1</v>
      </c>
      <c r="H24" s="1">
        <v>1</v>
      </c>
      <c r="I24" s="1">
        <v>3</v>
      </c>
      <c r="J24" s="1">
        <v>1</v>
      </c>
    </row>
    <row r="25" spans="1:10" x14ac:dyDescent="0.2">
      <c r="A25" s="1">
        <v>278</v>
      </c>
      <c r="B25" s="1">
        <v>0</v>
      </c>
      <c r="C25" s="1">
        <v>13</v>
      </c>
      <c r="D25" s="1">
        <v>1</v>
      </c>
      <c r="E25" s="1">
        <v>1</v>
      </c>
      <c r="F25" s="1">
        <v>5</v>
      </c>
      <c r="G25" s="1">
        <v>1</v>
      </c>
      <c r="H25" s="1">
        <v>0</v>
      </c>
      <c r="I25" s="1">
        <v>1</v>
      </c>
      <c r="J25" s="1">
        <v>1</v>
      </c>
    </row>
    <row r="26" spans="1:10" x14ac:dyDescent="0.2">
      <c r="A26" s="1">
        <v>648</v>
      </c>
      <c r="B26" s="1">
        <v>0</v>
      </c>
      <c r="C26" s="1">
        <v>17</v>
      </c>
      <c r="D26" s="1">
        <v>5</v>
      </c>
      <c r="E26" s="1">
        <v>1</v>
      </c>
      <c r="F26" s="1">
        <v>5</v>
      </c>
      <c r="G26" s="1">
        <v>1</v>
      </c>
      <c r="H26" s="1">
        <v>0</v>
      </c>
      <c r="I26" s="1">
        <v>0</v>
      </c>
      <c r="J26" s="1">
        <v>1</v>
      </c>
    </row>
    <row r="27" spans="1:10" x14ac:dyDescent="0.2">
      <c r="A27" s="1">
        <v>1011</v>
      </c>
      <c r="B27" s="1">
        <v>0</v>
      </c>
      <c r="C27" s="1">
        <v>17</v>
      </c>
      <c r="D27" s="1">
        <v>3</v>
      </c>
      <c r="E27" s="1">
        <v>1</v>
      </c>
      <c r="F27" s="1">
        <v>5</v>
      </c>
      <c r="G27" s="1">
        <v>1</v>
      </c>
      <c r="H27" s="1">
        <v>1</v>
      </c>
      <c r="I27" s="1">
        <v>2</v>
      </c>
      <c r="J27" s="1">
        <v>1</v>
      </c>
    </row>
    <row r="28" spans="1:10" x14ac:dyDescent="0.2">
      <c r="A28" s="1">
        <v>91</v>
      </c>
      <c r="B28" s="1">
        <v>0</v>
      </c>
      <c r="C28" s="1">
        <v>7</v>
      </c>
      <c r="D28" s="1">
        <v>1</v>
      </c>
      <c r="E28" s="1">
        <v>2</v>
      </c>
      <c r="F28" s="1">
        <v>5</v>
      </c>
      <c r="G28" s="1">
        <v>1</v>
      </c>
      <c r="H28" s="1">
        <v>1</v>
      </c>
      <c r="I28" s="1">
        <v>1</v>
      </c>
      <c r="J28" s="1">
        <v>1</v>
      </c>
    </row>
    <row r="29" spans="1:10" x14ac:dyDescent="0.2">
      <c r="A29" s="1">
        <v>2213</v>
      </c>
      <c r="B29" s="1">
        <v>0</v>
      </c>
      <c r="C29" s="1">
        <v>18</v>
      </c>
      <c r="D29" s="1">
        <v>1</v>
      </c>
      <c r="E29" s="1">
        <v>2</v>
      </c>
      <c r="F29" s="1">
        <v>5</v>
      </c>
      <c r="G29" s="1">
        <v>1</v>
      </c>
      <c r="H29" s="1">
        <v>1</v>
      </c>
      <c r="I29" s="1">
        <v>0</v>
      </c>
      <c r="J29" s="1">
        <v>1</v>
      </c>
    </row>
    <row r="30" spans="1:10" x14ac:dyDescent="0.2">
      <c r="A30" s="1">
        <v>1361</v>
      </c>
      <c r="B30" s="1">
        <v>0</v>
      </c>
      <c r="C30" s="1">
        <v>7</v>
      </c>
      <c r="D30" s="1">
        <v>1</v>
      </c>
      <c r="E30" s="1">
        <v>3</v>
      </c>
      <c r="F30" s="1">
        <v>5</v>
      </c>
      <c r="G30" s="1">
        <v>1</v>
      </c>
      <c r="H30" s="1">
        <v>1</v>
      </c>
      <c r="I30" s="1">
        <v>0</v>
      </c>
      <c r="J30" s="1">
        <v>1</v>
      </c>
    </row>
    <row r="31" spans="1:10" x14ac:dyDescent="0.2">
      <c r="A31" s="1">
        <v>170</v>
      </c>
      <c r="B31" s="1">
        <v>0</v>
      </c>
      <c r="C31" s="1">
        <v>9</v>
      </c>
      <c r="D31" s="1">
        <v>2</v>
      </c>
      <c r="E31" s="1">
        <v>3</v>
      </c>
      <c r="F31" s="1">
        <v>5</v>
      </c>
      <c r="G31" s="1">
        <v>1</v>
      </c>
      <c r="H31" s="1">
        <v>0</v>
      </c>
      <c r="I31" s="1">
        <v>0</v>
      </c>
      <c r="J31" s="1">
        <v>1</v>
      </c>
    </row>
    <row r="32" spans="1:10" x14ac:dyDescent="0.2">
      <c r="A32" s="1">
        <v>1942</v>
      </c>
      <c r="B32" s="1">
        <v>0</v>
      </c>
      <c r="C32" s="1">
        <v>11</v>
      </c>
      <c r="D32" s="1">
        <v>1</v>
      </c>
      <c r="E32" s="1">
        <v>3</v>
      </c>
      <c r="F32" s="1">
        <v>5</v>
      </c>
      <c r="G32" s="1">
        <v>1</v>
      </c>
      <c r="H32" s="1">
        <v>0</v>
      </c>
      <c r="I32" s="1">
        <v>0</v>
      </c>
      <c r="J32" s="1">
        <v>1</v>
      </c>
    </row>
    <row r="33" spans="1:10" x14ac:dyDescent="0.2">
      <c r="A33" s="1">
        <v>1749</v>
      </c>
      <c r="B33" s="1">
        <v>0</v>
      </c>
      <c r="C33" s="1">
        <v>13</v>
      </c>
      <c r="D33" s="1">
        <v>1</v>
      </c>
      <c r="E33" s="1">
        <v>3</v>
      </c>
      <c r="F33" s="1">
        <v>5</v>
      </c>
      <c r="G33" s="1">
        <v>1</v>
      </c>
      <c r="H33" s="1">
        <v>0</v>
      </c>
      <c r="I33" s="1">
        <v>1</v>
      </c>
      <c r="J33" s="1">
        <v>1</v>
      </c>
    </row>
    <row r="34" spans="1:10" x14ac:dyDescent="0.2">
      <c r="A34" s="1">
        <v>889</v>
      </c>
      <c r="B34" s="1">
        <v>0</v>
      </c>
      <c r="C34" s="1">
        <v>14</v>
      </c>
      <c r="D34" s="1">
        <v>4</v>
      </c>
      <c r="E34" s="1">
        <v>3</v>
      </c>
      <c r="F34" s="1">
        <v>5</v>
      </c>
      <c r="G34" s="1">
        <v>1</v>
      </c>
      <c r="H34" s="1">
        <v>0</v>
      </c>
      <c r="I34" s="1">
        <v>2</v>
      </c>
      <c r="J34" s="1">
        <v>1</v>
      </c>
    </row>
    <row r="35" spans="1:10" x14ac:dyDescent="0.2">
      <c r="A35" s="1">
        <v>1364</v>
      </c>
      <c r="B35" s="1">
        <v>0</v>
      </c>
      <c r="C35" s="1">
        <v>9</v>
      </c>
      <c r="D35" s="1">
        <v>1</v>
      </c>
      <c r="E35" s="1">
        <v>2</v>
      </c>
      <c r="F35" s="1">
        <v>6</v>
      </c>
      <c r="G35" s="1">
        <v>1</v>
      </c>
      <c r="H35" s="1">
        <v>1</v>
      </c>
      <c r="I35" s="1">
        <v>3</v>
      </c>
      <c r="J35" s="1">
        <v>1</v>
      </c>
    </row>
    <row r="36" spans="1:10" x14ac:dyDescent="0.2">
      <c r="A36" s="1">
        <v>1198</v>
      </c>
      <c r="B36" s="1">
        <v>0</v>
      </c>
      <c r="C36" s="1">
        <v>8</v>
      </c>
      <c r="D36" s="1">
        <v>2</v>
      </c>
      <c r="E36" s="1">
        <v>3</v>
      </c>
      <c r="F36" s="1">
        <v>6</v>
      </c>
      <c r="G36" s="1">
        <v>1</v>
      </c>
      <c r="H36" s="1">
        <v>0</v>
      </c>
      <c r="I36" s="1">
        <v>0</v>
      </c>
      <c r="J36" s="1">
        <v>1</v>
      </c>
    </row>
    <row r="37" spans="1:10" x14ac:dyDescent="0.2">
      <c r="A37" s="1">
        <v>883</v>
      </c>
      <c r="B37" s="1">
        <v>0</v>
      </c>
      <c r="C37" s="1">
        <v>10</v>
      </c>
      <c r="D37" s="1">
        <v>5</v>
      </c>
      <c r="E37" s="1">
        <v>3</v>
      </c>
      <c r="F37" s="1">
        <v>6</v>
      </c>
      <c r="G37" s="1">
        <v>1</v>
      </c>
      <c r="H37" s="1">
        <v>0</v>
      </c>
      <c r="I37" s="1">
        <v>2</v>
      </c>
      <c r="J37" s="1">
        <v>1</v>
      </c>
    </row>
    <row r="38" spans="1:10" x14ac:dyDescent="0.2">
      <c r="A38" s="1">
        <v>1807</v>
      </c>
      <c r="B38" s="1">
        <v>0</v>
      </c>
      <c r="C38" s="1">
        <v>15</v>
      </c>
      <c r="D38" s="1">
        <v>3</v>
      </c>
      <c r="E38" s="1">
        <v>3</v>
      </c>
      <c r="F38" s="1">
        <v>6</v>
      </c>
      <c r="G38" s="1">
        <v>1</v>
      </c>
      <c r="H38" s="1">
        <v>1</v>
      </c>
      <c r="I38" s="1">
        <v>1</v>
      </c>
      <c r="J38" s="1">
        <v>1</v>
      </c>
    </row>
    <row r="39" spans="1:10" x14ac:dyDescent="0.2">
      <c r="A39" s="1">
        <v>2000</v>
      </c>
      <c r="B39" s="1">
        <v>0</v>
      </c>
      <c r="C39" s="1">
        <v>16</v>
      </c>
      <c r="D39" s="1">
        <v>5</v>
      </c>
      <c r="E39" s="1">
        <v>1</v>
      </c>
      <c r="F39" s="1">
        <v>7</v>
      </c>
      <c r="G39" s="1">
        <v>1</v>
      </c>
      <c r="H39" s="1">
        <v>1</v>
      </c>
      <c r="I39" s="1">
        <v>3</v>
      </c>
      <c r="J39" s="1">
        <v>1</v>
      </c>
    </row>
    <row r="40" spans="1:10" x14ac:dyDescent="0.2">
      <c r="A40" s="1">
        <v>678</v>
      </c>
      <c r="B40" s="1">
        <v>0</v>
      </c>
      <c r="C40" s="1">
        <v>7</v>
      </c>
      <c r="D40" s="1">
        <v>1</v>
      </c>
      <c r="E40" s="1">
        <v>3</v>
      </c>
      <c r="F40" s="1">
        <v>7</v>
      </c>
      <c r="G40" s="1">
        <v>1</v>
      </c>
      <c r="H40" s="1">
        <v>1</v>
      </c>
      <c r="I40" s="1">
        <v>2</v>
      </c>
      <c r="J40" s="1">
        <v>1</v>
      </c>
    </row>
    <row r="41" spans="1:10" x14ac:dyDescent="0.2">
      <c r="A41" s="1">
        <v>2118</v>
      </c>
      <c r="B41" s="1">
        <v>0</v>
      </c>
      <c r="C41" s="1">
        <v>15</v>
      </c>
      <c r="D41" s="1">
        <v>2</v>
      </c>
      <c r="E41" s="1">
        <v>3</v>
      </c>
      <c r="F41" s="1">
        <v>7</v>
      </c>
      <c r="G41" s="1">
        <v>1</v>
      </c>
      <c r="H41" s="1">
        <v>0</v>
      </c>
      <c r="I41" s="1">
        <v>1</v>
      </c>
      <c r="J41" s="1">
        <v>1</v>
      </c>
    </row>
    <row r="42" spans="1:10" x14ac:dyDescent="0.2">
      <c r="A42" s="1">
        <v>2440</v>
      </c>
      <c r="B42" s="1">
        <v>0</v>
      </c>
      <c r="C42" s="1">
        <v>17</v>
      </c>
      <c r="D42" s="1">
        <v>3</v>
      </c>
      <c r="E42" s="1">
        <v>3</v>
      </c>
      <c r="F42" s="1">
        <v>7</v>
      </c>
      <c r="G42" s="1">
        <v>1</v>
      </c>
      <c r="H42" s="1">
        <v>0</v>
      </c>
      <c r="I42" s="1">
        <v>1</v>
      </c>
      <c r="J42" s="1">
        <v>1</v>
      </c>
    </row>
    <row r="43" spans="1:10" x14ac:dyDescent="0.2">
      <c r="A43" s="1">
        <v>2023</v>
      </c>
      <c r="B43" s="1">
        <v>0</v>
      </c>
      <c r="C43" s="1">
        <v>17</v>
      </c>
      <c r="D43" s="1">
        <v>1</v>
      </c>
      <c r="E43" s="1">
        <v>1</v>
      </c>
      <c r="F43" s="1">
        <v>8</v>
      </c>
      <c r="G43" s="1">
        <v>1</v>
      </c>
      <c r="H43" s="1">
        <v>0</v>
      </c>
      <c r="I43" s="1">
        <v>3</v>
      </c>
      <c r="J43" s="1">
        <v>1</v>
      </c>
    </row>
    <row r="44" spans="1:10" x14ac:dyDescent="0.2">
      <c r="A44" s="1">
        <v>1611</v>
      </c>
      <c r="B44" s="1">
        <v>0</v>
      </c>
      <c r="C44" s="1">
        <v>5</v>
      </c>
      <c r="D44" s="1">
        <v>3</v>
      </c>
      <c r="E44" s="1">
        <v>2</v>
      </c>
      <c r="F44" s="1">
        <v>8</v>
      </c>
      <c r="G44" s="1">
        <v>1</v>
      </c>
      <c r="H44" s="1">
        <v>0</v>
      </c>
      <c r="I44" s="1">
        <v>0</v>
      </c>
      <c r="J44" s="1">
        <v>1</v>
      </c>
    </row>
    <row r="45" spans="1:10" x14ac:dyDescent="0.2">
      <c r="A45" s="1">
        <v>245</v>
      </c>
      <c r="B45" s="1">
        <v>0</v>
      </c>
      <c r="C45" s="1">
        <v>16</v>
      </c>
      <c r="D45" s="1">
        <v>2</v>
      </c>
      <c r="E45" s="1">
        <v>2</v>
      </c>
      <c r="F45" s="1">
        <v>8</v>
      </c>
      <c r="G45" s="1">
        <v>1</v>
      </c>
      <c r="H45" s="1">
        <v>1</v>
      </c>
      <c r="I45" s="1">
        <v>0</v>
      </c>
      <c r="J45" s="1">
        <v>1</v>
      </c>
    </row>
    <row r="46" spans="1:10" x14ac:dyDescent="0.2">
      <c r="A46" s="1">
        <v>2331</v>
      </c>
      <c r="B46" s="1">
        <v>0</v>
      </c>
      <c r="C46" s="1">
        <v>9</v>
      </c>
      <c r="D46" s="1">
        <v>3</v>
      </c>
      <c r="E46" s="1">
        <v>3</v>
      </c>
      <c r="F46" s="1">
        <v>8</v>
      </c>
      <c r="G46" s="1">
        <v>1</v>
      </c>
      <c r="H46" s="1">
        <v>1</v>
      </c>
      <c r="I46" s="1">
        <v>2</v>
      </c>
      <c r="J46" s="1">
        <v>1</v>
      </c>
    </row>
    <row r="47" spans="1:10" x14ac:dyDescent="0.2">
      <c r="A47" s="1">
        <v>2049</v>
      </c>
      <c r="B47" s="1">
        <v>0</v>
      </c>
      <c r="C47" s="1">
        <v>16</v>
      </c>
      <c r="D47" s="1">
        <v>3</v>
      </c>
      <c r="E47" s="1">
        <v>3</v>
      </c>
      <c r="F47" s="1">
        <v>8</v>
      </c>
      <c r="G47" s="1">
        <v>1</v>
      </c>
      <c r="H47" s="1">
        <v>1</v>
      </c>
      <c r="I47" s="1">
        <v>0</v>
      </c>
      <c r="J47" s="1">
        <v>1</v>
      </c>
    </row>
    <row r="48" spans="1:10" x14ac:dyDescent="0.2">
      <c r="A48" s="1">
        <v>763</v>
      </c>
      <c r="B48" s="1">
        <v>0</v>
      </c>
      <c r="C48" s="1">
        <v>20</v>
      </c>
      <c r="D48" s="1">
        <v>3</v>
      </c>
      <c r="E48" s="1">
        <v>3</v>
      </c>
      <c r="F48" s="1">
        <v>8</v>
      </c>
      <c r="G48" s="1">
        <v>1</v>
      </c>
      <c r="H48" s="1">
        <v>0</v>
      </c>
      <c r="I48" s="1">
        <v>2</v>
      </c>
      <c r="J48" s="1">
        <v>1</v>
      </c>
    </row>
    <row r="49" spans="1:10" x14ac:dyDescent="0.2">
      <c r="A49" s="1">
        <v>2154</v>
      </c>
      <c r="B49" s="1">
        <v>0</v>
      </c>
      <c r="C49" s="1">
        <v>10</v>
      </c>
      <c r="D49" s="1">
        <v>4</v>
      </c>
      <c r="E49" s="1">
        <v>1</v>
      </c>
      <c r="F49" s="1">
        <v>9</v>
      </c>
      <c r="G49" s="1">
        <v>1</v>
      </c>
      <c r="H49" s="1">
        <v>0</v>
      </c>
      <c r="I49" s="1">
        <v>2</v>
      </c>
      <c r="J49" s="1">
        <v>1</v>
      </c>
    </row>
    <row r="50" spans="1:10" x14ac:dyDescent="0.2">
      <c r="A50" s="1">
        <v>2450</v>
      </c>
      <c r="B50" s="1">
        <v>0</v>
      </c>
      <c r="C50" s="1">
        <v>7</v>
      </c>
      <c r="D50" s="1">
        <v>5</v>
      </c>
      <c r="E50" s="1">
        <v>2</v>
      </c>
      <c r="F50" s="1">
        <v>9</v>
      </c>
      <c r="G50" s="1">
        <v>1</v>
      </c>
      <c r="H50" s="1">
        <v>1</v>
      </c>
      <c r="I50" s="1">
        <v>3</v>
      </c>
      <c r="J50" s="1">
        <v>1</v>
      </c>
    </row>
    <row r="51" spans="1:10" x14ac:dyDescent="0.2">
      <c r="A51" s="1">
        <v>167</v>
      </c>
      <c r="B51" s="1">
        <v>0</v>
      </c>
      <c r="C51" s="1">
        <v>19</v>
      </c>
      <c r="D51" s="1">
        <v>5</v>
      </c>
      <c r="E51" s="1">
        <v>2</v>
      </c>
      <c r="F51" s="1">
        <v>9</v>
      </c>
      <c r="G51" s="1">
        <v>1</v>
      </c>
      <c r="H51" s="1">
        <v>0</v>
      </c>
      <c r="I51" s="1">
        <v>2</v>
      </c>
      <c r="J51" s="1">
        <v>1</v>
      </c>
    </row>
    <row r="52" spans="1:10" x14ac:dyDescent="0.2">
      <c r="A52" s="1">
        <v>368</v>
      </c>
      <c r="B52" s="1">
        <v>0</v>
      </c>
      <c r="C52" s="1">
        <v>6</v>
      </c>
      <c r="D52" s="1">
        <v>5</v>
      </c>
      <c r="E52" s="1">
        <v>1</v>
      </c>
      <c r="F52" s="1">
        <v>10</v>
      </c>
      <c r="G52" s="1">
        <v>1</v>
      </c>
      <c r="H52" s="1">
        <v>1</v>
      </c>
      <c r="I52" s="1">
        <v>1</v>
      </c>
      <c r="J52" s="1">
        <v>1</v>
      </c>
    </row>
    <row r="53" spans="1:10" x14ac:dyDescent="0.2">
      <c r="A53" s="1">
        <v>852</v>
      </c>
      <c r="B53" s="1">
        <v>0</v>
      </c>
      <c r="C53" s="1">
        <v>15</v>
      </c>
      <c r="D53" s="1">
        <v>5</v>
      </c>
      <c r="E53" s="1">
        <v>1</v>
      </c>
      <c r="F53" s="1">
        <v>10</v>
      </c>
      <c r="G53" s="1">
        <v>1</v>
      </c>
      <c r="H53" s="1">
        <v>0</v>
      </c>
      <c r="I53" s="1">
        <v>3</v>
      </c>
      <c r="J53" s="1">
        <v>1</v>
      </c>
    </row>
    <row r="54" spans="1:10" x14ac:dyDescent="0.2">
      <c r="A54" s="1">
        <v>955</v>
      </c>
      <c r="B54" s="1">
        <v>0</v>
      </c>
      <c r="C54" s="1">
        <v>17</v>
      </c>
      <c r="D54" s="1">
        <v>1</v>
      </c>
      <c r="E54" s="1">
        <v>1</v>
      </c>
      <c r="F54" s="1">
        <v>10</v>
      </c>
      <c r="G54" s="1">
        <v>1</v>
      </c>
      <c r="H54" s="1">
        <v>1</v>
      </c>
      <c r="I54" s="1">
        <v>0</v>
      </c>
      <c r="J54" s="1">
        <v>1</v>
      </c>
    </row>
    <row r="55" spans="1:10" x14ac:dyDescent="0.2">
      <c r="A55" s="1">
        <v>1556</v>
      </c>
      <c r="B55" s="1">
        <v>0</v>
      </c>
      <c r="C55" s="1">
        <v>10</v>
      </c>
      <c r="D55" s="1">
        <v>4</v>
      </c>
      <c r="E55" s="1">
        <v>2</v>
      </c>
      <c r="F55" s="1">
        <v>10</v>
      </c>
      <c r="G55" s="1">
        <v>1</v>
      </c>
      <c r="H55" s="1">
        <v>0</v>
      </c>
      <c r="I55" s="1">
        <v>2</v>
      </c>
      <c r="J55" s="1">
        <v>1</v>
      </c>
    </row>
    <row r="56" spans="1:10" x14ac:dyDescent="0.2">
      <c r="A56" s="1">
        <v>1789</v>
      </c>
      <c r="B56" s="1">
        <v>0</v>
      </c>
      <c r="C56" s="1">
        <v>16</v>
      </c>
      <c r="D56" s="1">
        <v>2</v>
      </c>
      <c r="E56" s="1">
        <v>2</v>
      </c>
      <c r="F56" s="1">
        <v>10</v>
      </c>
      <c r="G56" s="1">
        <v>1</v>
      </c>
      <c r="H56" s="1">
        <v>0</v>
      </c>
      <c r="I56" s="1">
        <v>2</v>
      </c>
      <c r="J56" s="1">
        <v>1</v>
      </c>
    </row>
    <row r="57" spans="1:10" x14ac:dyDescent="0.2">
      <c r="A57" s="1">
        <v>1464</v>
      </c>
      <c r="B57" s="1">
        <v>0</v>
      </c>
      <c r="C57" s="1">
        <v>18</v>
      </c>
      <c r="D57" s="1">
        <v>1</v>
      </c>
      <c r="E57" s="1">
        <v>2</v>
      </c>
      <c r="F57" s="1">
        <v>10</v>
      </c>
      <c r="G57" s="1">
        <v>1</v>
      </c>
      <c r="H57" s="1">
        <v>1</v>
      </c>
      <c r="I57" s="1">
        <v>0</v>
      </c>
      <c r="J57" s="1">
        <v>1</v>
      </c>
    </row>
    <row r="58" spans="1:10" x14ac:dyDescent="0.2">
      <c r="A58" s="1">
        <v>175</v>
      </c>
      <c r="B58" s="1">
        <v>0</v>
      </c>
      <c r="C58" s="1">
        <v>8</v>
      </c>
      <c r="D58" s="1">
        <v>1</v>
      </c>
      <c r="E58" s="1">
        <v>3</v>
      </c>
      <c r="F58" s="1">
        <v>10</v>
      </c>
      <c r="G58" s="1">
        <v>1</v>
      </c>
      <c r="H58" s="1">
        <v>1</v>
      </c>
      <c r="I58" s="1">
        <v>0</v>
      </c>
      <c r="J58" s="1">
        <v>1</v>
      </c>
    </row>
    <row r="59" spans="1:10" x14ac:dyDescent="0.2">
      <c r="A59" s="1">
        <v>1225</v>
      </c>
      <c r="B59" s="1">
        <v>0</v>
      </c>
      <c r="C59" s="1">
        <v>8</v>
      </c>
      <c r="D59" s="1">
        <v>4</v>
      </c>
      <c r="E59" s="1">
        <v>3</v>
      </c>
      <c r="F59" s="1">
        <v>10</v>
      </c>
      <c r="G59" s="1">
        <v>1</v>
      </c>
      <c r="H59" s="1">
        <v>0</v>
      </c>
      <c r="I59" s="1">
        <v>1</v>
      </c>
      <c r="J59" s="1">
        <v>1</v>
      </c>
    </row>
    <row r="60" spans="1:10" x14ac:dyDescent="0.2">
      <c r="A60" s="1">
        <v>660</v>
      </c>
      <c r="B60" s="1">
        <v>0</v>
      </c>
      <c r="C60" s="1">
        <v>16</v>
      </c>
      <c r="D60" s="1">
        <v>4</v>
      </c>
      <c r="E60" s="1">
        <v>1</v>
      </c>
      <c r="F60" s="1">
        <v>1</v>
      </c>
      <c r="G60" s="1">
        <v>1</v>
      </c>
      <c r="H60" s="1">
        <v>0</v>
      </c>
      <c r="I60" s="1">
        <v>3</v>
      </c>
      <c r="J60" s="1">
        <v>2</v>
      </c>
    </row>
    <row r="61" spans="1:10" x14ac:dyDescent="0.2">
      <c r="A61" s="1">
        <v>1900</v>
      </c>
      <c r="B61" s="1">
        <v>0</v>
      </c>
      <c r="C61" s="1">
        <v>16</v>
      </c>
      <c r="D61" s="1">
        <v>2</v>
      </c>
      <c r="E61" s="1">
        <v>1</v>
      </c>
      <c r="F61" s="1">
        <v>1</v>
      </c>
      <c r="G61" s="1">
        <v>1</v>
      </c>
      <c r="H61" s="1">
        <v>1</v>
      </c>
      <c r="I61" s="1">
        <v>0</v>
      </c>
      <c r="J61" s="1">
        <v>2</v>
      </c>
    </row>
    <row r="62" spans="1:10" x14ac:dyDescent="0.2">
      <c r="A62" s="1">
        <v>720</v>
      </c>
      <c r="B62" s="1">
        <v>0</v>
      </c>
      <c r="C62" s="1">
        <v>18</v>
      </c>
      <c r="D62" s="1">
        <v>3</v>
      </c>
      <c r="E62" s="1">
        <v>1</v>
      </c>
      <c r="F62" s="1">
        <v>1</v>
      </c>
      <c r="G62" s="1">
        <v>1</v>
      </c>
      <c r="H62" s="1">
        <v>0</v>
      </c>
      <c r="I62" s="1">
        <v>2</v>
      </c>
      <c r="J62" s="1">
        <v>2</v>
      </c>
    </row>
    <row r="63" spans="1:10" x14ac:dyDescent="0.2">
      <c r="A63" s="1">
        <v>2210</v>
      </c>
      <c r="B63" s="1">
        <v>0</v>
      </c>
      <c r="C63" s="1">
        <v>5</v>
      </c>
      <c r="D63" s="1">
        <v>3</v>
      </c>
      <c r="E63" s="1">
        <v>2</v>
      </c>
      <c r="F63" s="1">
        <v>1</v>
      </c>
      <c r="G63" s="1">
        <v>1</v>
      </c>
      <c r="H63" s="1">
        <v>0</v>
      </c>
      <c r="I63" s="1">
        <v>2</v>
      </c>
      <c r="J63" s="1">
        <v>2</v>
      </c>
    </row>
    <row r="64" spans="1:10" x14ac:dyDescent="0.2">
      <c r="A64" s="1">
        <v>2010</v>
      </c>
      <c r="B64" s="1">
        <v>0</v>
      </c>
      <c r="C64" s="1">
        <v>18</v>
      </c>
      <c r="D64" s="1">
        <v>2</v>
      </c>
      <c r="E64" s="1">
        <v>2</v>
      </c>
      <c r="F64" s="1">
        <v>1</v>
      </c>
      <c r="G64" s="1">
        <v>1</v>
      </c>
      <c r="H64" s="1">
        <v>1</v>
      </c>
      <c r="I64" s="1">
        <v>3</v>
      </c>
      <c r="J64" s="1">
        <v>2</v>
      </c>
    </row>
    <row r="65" spans="1:10" x14ac:dyDescent="0.2">
      <c r="A65" s="1">
        <v>1078</v>
      </c>
      <c r="B65" s="1">
        <v>0</v>
      </c>
      <c r="C65" s="1">
        <v>8</v>
      </c>
      <c r="D65" s="1">
        <v>4</v>
      </c>
      <c r="E65" s="1">
        <v>3</v>
      </c>
      <c r="F65" s="1">
        <v>1</v>
      </c>
      <c r="G65" s="1">
        <v>1</v>
      </c>
      <c r="H65" s="1">
        <v>0</v>
      </c>
      <c r="I65" s="1">
        <v>0</v>
      </c>
      <c r="J65" s="1">
        <v>2</v>
      </c>
    </row>
    <row r="66" spans="1:10" x14ac:dyDescent="0.2">
      <c r="A66" s="1">
        <v>1054</v>
      </c>
      <c r="B66" s="1">
        <v>0</v>
      </c>
      <c r="C66" s="1">
        <v>5</v>
      </c>
      <c r="D66" s="1">
        <v>2</v>
      </c>
      <c r="E66" s="1">
        <v>1</v>
      </c>
      <c r="F66" s="1">
        <v>2</v>
      </c>
      <c r="G66" s="1">
        <v>1</v>
      </c>
      <c r="H66" s="1">
        <v>1</v>
      </c>
      <c r="I66" s="1">
        <v>2</v>
      </c>
      <c r="J66" s="1">
        <v>2</v>
      </c>
    </row>
    <row r="67" spans="1:10" x14ac:dyDescent="0.2">
      <c r="A67" s="1">
        <v>1112</v>
      </c>
      <c r="B67" s="1">
        <v>0</v>
      </c>
      <c r="C67" s="1">
        <v>6</v>
      </c>
      <c r="D67" s="1">
        <v>2</v>
      </c>
      <c r="E67" s="1">
        <v>1</v>
      </c>
      <c r="F67" s="1">
        <v>2</v>
      </c>
      <c r="G67" s="1">
        <v>1</v>
      </c>
      <c r="H67" s="1">
        <v>1</v>
      </c>
      <c r="I67" s="1">
        <v>3</v>
      </c>
      <c r="J67" s="1">
        <v>2</v>
      </c>
    </row>
    <row r="68" spans="1:10" x14ac:dyDescent="0.2">
      <c r="A68" s="1">
        <v>2041</v>
      </c>
      <c r="B68" s="1">
        <v>0</v>
      </c>
      <c r="C68" s="1">
        <v>13</v>
      </c>
      <c r="D68" s="1">
        <v>5</v>
      </c>
      <c r="E68" s="1">
        <v>2</v>
      </c>
      <c r="F68" s="1">
        <v>2</v>
      </c>
      <c r="G68" s="1">
        <v>1</v>
      </c>
      <c r="H68" s="1">
        <v>0</v>
      </c>
      <c r="I68" s="1">
        <v>3</v>
      </c>
      <c r="J68" s="1">
        <v>2</v>
      </c>
    </row>
    <row r="69" spans="1:10" x14ac:dyDescent="0.2">
      <c r="A69" s="1">
        <v>1271</v>
      </c>
      <c r="B69" s="1">
        <v>0</v>
      </c>
      <c r="C69" s="1">
        <v>16</v>
      </c>
      <c r="D69" s="1">
        <v>4</v>
      </c>
      <c r="E69" s="1">
        <v>2</v>
      </c>
      <c r="F69" s="1">
        <v>2</v>
      </c>
      <c r="G69" s="1">
        <v>1</v>
      </c>
      <c r="H69" s="1">
        <v>0</v>
      </c>
      <c r="I69" s="1">
        <v>1</v>
      </c>
      <c r="J69" s="1">
        <v>2</v>
      </c>
    </row>
    <row r="70" spans="1:10" x14ac:dyDescent="0.2">
      <c r="A70" s="1">
        <v>547</v>
      </c>
      <c r="B70" s="1">
        <v>0</v>
      </c>
      <c r="C70" s="1">
        <v>15</v>
      </c>
      <c r="D70" s="1">
        <v>5</v>
      </c>
      <c r="E70" s="1">
        <v>3</v>
      </c>
      <c r="F70" s="1">
        <v>2</v>
      </c>
      <c r="G70" s="1">
        <v>1</v>
      </c>
      <c r="H70" s="1">
        <v>0</v>
      </c>
      <c r="I70" s="1">
        <v>2</v>
      </c>
      <c r="J70" s="1">
        <v>2</v>
      </c>
    </row>
    <row r="71" spans="1:10" x14ac:dyDescent="0.2">
      <c r="A71" s="1">
        <v>1707</v>
      </c>
      <c r="B71" s="1">
        <v>0</v>
      </c>
      <c r="C71" s="1">
        <v>15</v>
      </c>
      <c r="D71" s="1">
        <v>2</v>
      </c>
      <c r="E71" s="1">
        <v>3</v>
      </c>
      <c r="F71" s="1">
        <v>2</v>
      </c>
      <c r="G71" s="1">
        <v>1</v>
      </c>
      <c r="H71" s="1">
        <v>0</v>
      </c>
      <c r="I71" s="1">
        <v>3</v>
      </c>
      <c r="J71" s="1">
        <v>2</v>
      </c>
    </row>
    <row r="72" spans="1:10" x14ac:dyDescent="0.2">
      <c r="A72" s="1">
        <v>795</v>
      </c>
      <c r="B72" s="1">
        <v>0</v>
      </c>
      <c r="C72" s="1">
        <v>7</v>
      </c>
      <c r="D72" s="1">
        <v>1</v>
      </c>
      <c r="E72" s="1">
        <v>1</v>
      </c>
      <c r="F72" s="1">
        <v>3</v>
      </c>
      <c r="G72" s="1">
        <v>1</v>
      </c>
      <c r="H72" s="1">
        <v>0</v>
      </c>
      <c r="I72" s="1">
        <v>2</v>
      </c>
      <c r="J72" s="1">
        <v>2</v>
      </c>
    </row>
    <row r="73" spans="1:10" x14ac:dyDescent="0.2">
      <c r="A73" s="1">
        <v>523</v>
      </c>
      <c r="B73" s="1">
        <v>0</v>
      </c>
      <c r="C73" s="1">
        <v>9</v>
      </c>
      <c r="D73" s="1">
        <v>1</v>
      </c>
      <c r="E73" s="1">
        <v>1</v>
      </c>
      <c r="F73" s="1">
        <v>3</v>
      </c>
      <c r="G73" s="1">
        <v>1</v>
      </c>
      <c r="H73" s="1">
        <v>1</v>
      </c>
      <c r="I73" s="1">
        <v>3</v>
      </c>
      <c r="J73" s="1">
        <v>2</v>
      </c>
    </row>
    <row r="74" spans="1:10" x14ac:dyDescent="0.2">
      <c r="A74" s="1">
        <v>296</v>
      </c>
      <c r="B74" s="1">
        <v>0</v>
      </c>
      <c r="C74" s="1">
        <v>19</v>
      </c>
      <c r="D74" s="1">
        <v>3</v>
      </c>
      <c r="E74" s="1">
        <v>1</v>
      </c>
      <c r="F74" s="1">
        <v>3</v>
      </c>
      <c r="G74" s="1">
        <v>1</v>
      </c>
      <c r="H74" s="1">
        <v>1</v>
      </c>
      <c r="I74" s="1">
        <v>1</v>
      </c>
      <c r="J74" s="1">
        <v>2</v>
      </c>
    </row>
    <row r="75" spans="1:10" x14ac:dyDescent="0.2">
      <c r="A75" s="1">
        <v>1617</v>
      </c>
      <c r="B75" s="1">
        <v>0</v>
      </c>
      <c r="C75" s="1">
        <v>14</v>
      </c>
      <c r="D75" s="1">
        <v>3</v>
      </c>
      <c r="E75" s="1">
        <v>2</v>
      </c>
      <c r="F75" s="1">
        <v>3</v>
      </c>
      <c r="G75" s="1">
        <v>1</v>
      </c>
      <c r="H75" s="1">
        <v>0</v>
      </c>
      <c r="I75" s="1">
        <v>0</v>
      </c>
      <c r="J75" s="1">
        <v>2</v>
      </c>
    </row>
    <row r="76" spans="1:10" x14ac:dyDescent="0.2">
      <c r="A76" s="1">
        <v>130</v>
      </c>
      <c r="B76" s="1">
        <v>0</v>
      </c>
      <c r="C76" s="1">
        <v>20</v>
      </c>
      <c r="D76" s="1">
        <v>5</v>
      </c>
      <c r="E76" s="1">
        <v>2</v>
      </c>
      <c r="F76" s="1">
        <v>3</v>
      </c>
      <c r="G76" s="1">
        <v>1</v>
      </c>
      <c r="H76" s="1">
        <v>0</v>
      </c>
      <c r="I76" s="1">
        <v>1</v>
      </c>
      <c r="J76" s="1">
        <v>2</v>
      </c>
    </row>
    <row r="77" spans="1:10" x14ac:dyDescent="0.2">
      <c r="A77" s="1">
        <v>419</v>
      </c>
      <c r="B77" s="1">
        <v>0</v>
      </c>
      <c r="C77" s="1">
        <v>17</v>
      </c>
      <c r="D77" s="1">
        <v>4</v>
      </c>
      <c r="E77" s="1">
        <v>3</v>
      </c>
      <c r="F77" s="1">
        <v>3</v>
      </c>
      <c r="G77" s="1">
        <v>1</v>
      </c>
      <c r="H77" s="1">
        <v>0</v>
      </c>
      <c r="I77" s="1">
        <v>1</v>
      </c>
      <c r="J77" s="1">
        <v>2</v>
      </c>
    </row>
    <row r="78" spans="1:10" x14ac:dyDescent="0.2">
      <c r="A78" s="1">
        <v>186</v>
      </c>
      <c r="B78" s="1">
        <v>0</v>
      </c>
      <c r="C78" s="1">
        <v>5</v>
      </c>
      <c r="D78" s="1">
        <v>4</v>
      </c>
      <c r="E78" s="1">
        <v>1</v>
      </c>
      <c r="F78" s="1">
        <v>4</v>
      </c>
      <c r="G78" s="1">
        <v>1</v>
      </c>
      <c r="H78" s="1">
        <v>1</v>
      </c>
      <c r="I78" s="1">
        <v>1</v>
      </c>
      <c r="J78" s="1">
        <v>2</v>
      </c>
    </row>
    <row r="79" spans="1:10" x14ac:dyDescent="0.2">
      <c r="A79" s="1">
        <v>117</v>
      </c>
      <c r="B79" s="1">
        <v>0</v>
      </c>
      <c r="C79" s="1">
        <v>7</v>
      </c>
      <c r="D79" s="1">
        <v>2</v>
      </c>
      <c r="E79" s="1">
        <v>1</v>
      </c>
      <c r="F79" s="1">
        <v>4</v>
      </c>
      <c r="G79" s="1">
        <v>1</v>
      </c>
      <c r="H79" s="1">
        <v>0</v>
      </c>
      <c r="I79" s="1">
        <v>0</v>
      </c>
      <c r="J79" s="1">
        <v>2</v>
      </c>
    </row>
    <row r="80" spans="1:10" x14ac:dyDescent="0.2">
      <c r="A80" s="1">
        <v>731</v>
      </c>
      <c r="B80" s="1">
        <v>0</v>
      </c>
      <c r="C80" s="1">
        <v>7</v>
      </c>
      <c r="D80" s="1">
        <v>4</v>
      </c>
      <c r="E80" s="1">
        <v>1</v>
      </c>
      <c r="F80" s="1">
        <v>4</v>
      </c>
      <c r="G80" s="1">
        <v>1</v>
      </c>
      <c r="H80" s="1">
        <v>1</v>
      </c>
      <c r="I80" s="1">
        <v>0</v>
      </c>
      <c r="J80" s="1">
        <v>2</v>
      </c>
    </row>
    <row r="81" spans="1:10" x14ac:dyDescent="0.2">
      <c r="A81" s="1">
        <v>2139</v>
      </c>
      <c r="B81" s="1">
        <v>0</v>
      </c>
      <c r="C81" s="1">
        <v>7</v>
      </c>
      <c r="D81" s="1">
        <v>3</v>
      </c>
      <c r="E81" s="1">
        <v>2</v>
      </c>
      <c r="F81" s="1">
        <v>4</v>
      </c>
      <c r="G81" s="1">
        <v>1</v>
      </c>
      <c r="H81" s="1">
        <v>1</v>
      </c>
      <c r="I81" s="1">
        <v>0</v>
      </c>
      <c r="J81" s="1">
        <v>2</v>
      </c>
    </row>
    <row r="82" spans="1:10" x14ac:dyDescent="0.2">
      <c r="A82" s="1">
        <v>1641</v>
      </c>
      <c r="B82" s="1">
        <v>0</v>
      </c>
      <c r="C82" s="1">
        <v>15</v>
      </c>
      <c r="D82" s="1">
        <v>4</v>
      </c>
      <c r="E82" s="1">
        <v>2</v>
      </c>
      <c r="F82" s="1">
        <v>4</v>
      </c>
      <c r="G82" s="1">
        <v>1</v>
      </c>
      <c r="H82" s="1">
        <v>0</v>
      </c>
      <c r="I82" s="1">
        <v>1</v>
      </c>
      <c r="J82" s="1">
        <v>2</v>
      </c>
    </row>
    <row r="83" spans="1:10" x14ac:dyDescent="0.2">
      <c r="A83" s="1">
        <v>260</v>
      </c>
      <c r="B83" s="1">
        <v>0</v>
      </c>
      <c r="C83" s="1">
        <v>7</v>
      </c>
      <c r="D83" s="1">
        <v>5</v>
      </c>
      <c r="E83" s="1">
        <v>1</v>
      </c>
      <c r="F83" s="1">
        <v>5</v>
      </c>
      <c r="G83" s="1">
        <v>1</v>
      </c>
      <c r="H83" s="1">
        <v>1</v>
      </c>
      <c r="I83" s="1">
        <v>3</v>
      </c>
      <c r="J83" s="1">
        <v>2</v>
      </c>
    </row>
    <row r="84" spans="1:10" x14ac:dyDescent="0.2">
      <c r="A84" s="1">
        <v>940</v>
      </c>
      <c r="B84" s="1">
        <v>0</v>
      </c>
      <c r="C84" s="1">
        <v>18</v>
      </c>
      <c r="D84" s="1">
        <v>2</v>
      </c>
      <c r="E84" s="1">
        <v>1</v>
      </c>
      <c r="F84" s="1">
        <v>5</v>
      </c>
      <c r="G84" s="1">
        <v>1</v>
      </c>
      <c r="H84" s="1">
        <v>0</v>
      </c>
      <c r="I84" s="1">
        <v>0</v>
      </c>
      <c r="J84" s="1">
        <v>2</v>
      </c>
    </row>
    <row r="85" spans="1:10" x14ac:dyDescent="0.2">
      <c r="A85" s="1">
        <v>2415</v>
      </c>
      <c r="B85" s="1">
        <v>0</v>
      </c>
      <c r="C85" s="1">
        <v>12</v>
      </c>
      <c r="D85" s="1">
        <v>5</v>
      </c>
      <c r="E85" s="1">
        <v>2</v>
      </c>
      <c r="F85" s="1">
        <v>5</v>
      </c>
      <c r="G85" s="1">
        <v>1</v>
      </c>
      <c r="H85" s="1">
        <v>0</v>
      </c>
      <c r="I85" s="1">
        <v>2</v>
      </c>
      <c r="J85" s="1">
        <v>2</v>
      </c>
    </row>
    <row r="86" spans="1:10" x14ac:dyDescent="0.2">
      <c r="A86" s="1">
        <v>2192</v>
      </c>
      <c r="B86" s="1">
        <v>0</v>
      </c>
      <c r="C86" s="1">
        <v>17</v>
      </c>
      <c r="D86" s="1">
        <v>1</v>
      </c>
      <c r="E86" s="1">
        <v>2</v>
      </c>
      <c r="F86" s="1">
        <v>5</v>
      </c>
      <c r="G86" s="1">
        <v>1</v>
      </c>
      <c r="H86" s="1">
        <v>1</v>
      </c>
      <c r="I86" s="1">
        <v>0</v>
      </c>
      <c r="J86" s="1">
        <v>2</v>
      </c>
    </row>
    <row r="87" spans="1:10" x14ac:dyDescent="0.2">
      <c r="A87" s="1">
        <v>1169</v>
      </c>
      <c r="B87" s="1">
        <v>0</v>
      </c>
      <c r="C87" s="1">
        <v>9</v>
      </c>
      <c r="D87" s="1">
        <v>5</v>
      </c>
      <c r="E87" s="1">
        <v>3</v>
      </c>
      <c r="F87" s="1">
        <v>5</v>
      </c>
      <c r="G87" s="1">
        <v>1</v>
      </c>
      <c r="H87" s="1">
        <v>1</v>
      </c>
      <c r="I87" s="1">
        <v>3</v>
      </c>
      <c r="J87" s="1">
        <v>2</v>
      </c>
    </row>
    <row r="88" spans="1:10" x14ac:dyDescent="0.2">
      <c r="A88" s="1">
        <v>1468</v>
      </c>
      <c r="B88" s="1">
        <v>0</v>
      </c>
      <c r="C88" s="1">
        <v>9</v>
      </c>
      <c r="D88" s="1">
        <v>4</v>
      </c>
      <c r="E88" s="1">
        <v>3</v>
      </c>
      <c r="F88" s="1">
        <v>5</v>
      </c>
      <c r="G88" s="1">
        <v>1</v>
      </c>
      <c r="H88" s="1">
        <v>0</v>
      </c>
      <c r="I88" s="1">
        <v>2</v>
      </c>
      <c r="J88" s="1">
        <v>2</v>
      </c>
    </row>
    <row r="89" spans="1:10" x14ac:dyDescent="0.2">
      <c r="A89" s="1">
        <v>2249</v>
      </c>
      <c r="B89" s="1">
        <v>0</v>
      </c>
      <c r="C89" s="1">
        <v>9</v>
      </c>
      <c r="D89" s="1">
        <v>3</v>
      </c>
      <c r="E89" s="1">
        <v>3</v>
      </c>
      <c r="F89" s="1">
        <v>5</v>
      </c>
      <c r="G89" s="1">
        <v>1</v>
      </c>
      <c r="H89" s="1">
        <v>0</v>
      </c>
      <c r="I89" s="1">
        <v>1</v>
      </c>
      <c r="J89" s="1">
        <v>2</v>
      </c>
    </row>
    <row r="90" spans="1:10" x14ac:dyDescent="0.2">
      <c r="A90" s="1">
        <v>1438</v>
      </c>
      <c r="B90" s="1">
        <v>0</v>
      </c>
      <c r="C90" s="1">
        <v>12</v>
      </c>
      <c r="D90" s="1">
        <v>1</v>
      </c>
      <c r="E90" s="1">
        <v>3</v>
      </c>
      <c r="F90" s="1">
        <v>5</v>
      </c>
      <c r="G90" s="1">
        <v>1</v>
      </c>
      <c r="H90" s="1">
        <v>1</v>
      </c>
      <c r="I90" s="1">
        <v>1</v>
      </c>
      <c r="J90" s="1">
        <v>2</v>
      </c>
    </row>
    <row r="91" spans="1:10" x14ac:dyDescent="0.2">
      <c r="A91" s="1">
        <v>483</v>
      </c>
      <c r="B91" s="1">
        <v>0</v>
      </c>
      <c r="C91" s="1">
        <v>6</v>
      </c>
      <c r="D91" s="1">
        <v>3</v>
      </c>
      <c r="E91" s="1">
        <v>1</v>
      </c>
      <c r="F91" s="1">
        <v>6</v>
      </c>
      <c r="G91" s="1">
        <v>1</v>
      </c>
      <c r="H91" s="1">
        <v>1</v>
      </c>
      <c r="I91" s="1">
        <v>1</v>
      </c>
      <c r="J91" s="1">
        <v>2</v>
      </c>
    </row>
    <row r="92" spans="1:10" x14ac:dyDescent="0.2">
      <c r="A92" s="1">
        <v>1483</v>
      </c>
      <c r="B92" s="1">
        <v>0</v>
      </c>
      <c r="C92" s="1">
        <v>9</v>
      </c>
      <c r="D92" s="1">
        <v>3</v>
      </c>
      <c r="E92" s="1">
        <v>1</v>
      </c>
      <c r="F92" s="1">
        <v>6</v>
      </c>
      <c r="G92" s="1">
        <v>1</v>
      </c>
      <c r="H92" s="1">
        <v>0</v>
      </c>
      <c r="I92" s="1">
        <v>0</v>
      </c>
      <c r="J92" s="1">
        <v>2</v>
      </c>
    </row>
    <row r="93" spans="1:10" x14ac:dyDescent="0.2">
      <c r="A93" s="1">
        <v>2258</v>
      </c>
      <c r="B93" s="1">
        <v>0</v>
      </c>
      <c r="C93" s="1">
        <v>17</v>
      </c>
      <c r="D93" s="1">
        <v>3</v>
      </c>
      <c r="E93" s="1">
        <v>1</v>
      </c>
      <c r="F93" s="1">
        <v>6</v>
      </c>
      <c r="G93" s="1">
        <v>1</v>
      </c>
      <c r="H93" s="1">
        <v>0</v>
      </c>
      <c r="I93" s="1">
        <v>0</v>
      </c>
      <c r="J93" s="1">
        <v>2</v>
      </c>
    </row>
    <row r="94" spans="1:10" x14ac:dyDescent="0.2">
      <c r="A94" s="1">
        <v>1962</v>
      </c>
      <c r="B94" s="1">
        <v>0</v>
      </c>
      <c r="C94" s="1">
        <v>6</v>
      </c>
      <c r="D94" s="1">
        <v>2</v>
      </c>
      <c r="E94" s="1">
        <v>3</v>
      </c>
      <c r="F94" s="1">
        <v>7</v>
      </c>
      <c r="G94" s="1">
        <v>1</v>
      </c>
      <c r="H94" s="1">
        <v>0</v>
      </c>
      <c r="I94" s="1">
        <v>0</v>
      </c>
      <c r="J94" s="1">
        <v>2</v>
      </c>
    </row>
    <row r="95" spans="1:10" x14ac:dyDescent="0.2">
      <c r="A95" s="1">
        <v>1239</v>
      </c>
      <c r="B95" s="1">
        <v>0</v>
      </c>
      <c r="C95" s="1">
        <v>8</v>
      </c>
      <c r="D95" s="1">
        <v>4</v>
      </c>
      <c r="E95" s="1">
        <v>1</v>
      </c>
      <c r="F95" s="1">
        <v>8</v>
      </c>
      <c r="G95" s="1">
        <v>1</v>
      </c>
      <c r="H95" s="1">
        <v>0</v>
      </c>
      <c r="I95" s="1">
        <v>0</v>
      </c>
      <c r="J95" s="1">
        <v>2</v>
      </c>
    </row>
    <row r="96" spans="1:10" x14ac:dyDescent="0.2">
      <c r="A96" s="1">
        <v>2220</v>
      </c>
      <c r="B96" s="1">
        <v>0</v>
      </c>
      <c r="C96" s="1">
        <v>10</v>
      </c>
      <c r="D96" s="1">
        <v>4</v>
      </c>
      <c r="E96" s="1">
        <v>1</v>
      </c>
      <c r="F96" s="1">
        <v>8</v>
      </c>
      <c r="G96" s="1">
        <v>1</v>
      </c>
      <c r="H96" s="1">
        <v>0</v>
      </c>
      <c r="I96" s="1">
        <v>1</v>
      </c>
      <c r="J96" s="1">
        <v>2</v>
      </c>
    </row>
    <row r="97" spans="1:10" x14ac:dyDescent="0.2">
      <c r="A97" s="1">
        <v>256</v>
      </c>
      <c r="B97" s="1">
        <v>0</v>
      </c>
      <c r="C97" s="1">
        <v>6</v>
      </c>
      <c r="D97" s="1">
        <v>2</v>
      </c>
      <c r="E97" s="1">
        <v>2</v>
      </c>
      <c r="F97" s="1">
        <v>8</v>
      </c>
      <c r="G97" s="1">
        <v>1</v>
      </c>
      <c r="H97" s="1">
        <v>1</v>
      </c>
      <c r="I97" s="1">
        <v>3</v>
      </c>
      <c r="J97" s="1">
        <v>2</v>
      </c>
    </row>
    <row r="98" spans="1:10" x14ac:dyDescent="0.2">
      <c r="A98" s="1">
        <v>866</v>
      </c>
      <c r="B98" s="1">
        <v>0</v>
      </c>
      <c r="C98" s="1">
        <v>6</v>
      </c>
      <c r="D98" s="1">
        <v>1</v>
      </c>
      <c r="E98" s="1">
        <v>2</v>
      </c>
      <c r="F98" s="1">
        <v>8</v>
      </c>
      <c r="G98" s="1">
        <v>1</v>
      </c>
      <c r="H98" s="1">
        <v>1</v>
      </c>
      <c r="I98" s="1">
        <v>1</v>
      </c>
      <c r="J98" s="1">
        <v>2</v>
      </c>
    </row>
    <row r="99" spans="1:10" x14ac:dyDescent="0.2">
      <c r="A99" s="1">
        <v>1408</v>
      </c>
      <c r="B99" s="1">
        <v>0</v>
      </c>
      <c r="C99" s="1">
        <v>16</v>
      </c>
      <c r="D99" s="1">
        <v>5</v>
      </c>
      <c r="E99" s="1">
        <v>2</v>
      </c>
      <c r="F99" s="1">
        <v>8</v>
      </c>
      <c r="G99" s="1">
        <v>1</v>
      </c>
      <c r="H99" s="1">
        <v>1</v>
      </c>
      <c r="I99" s="1">
        <v>0</v>
      </c>
      <c r="J99" s="1">
        <v>2</v>
      </c>
    </row>
    <row r="100" spans="1:10" x14ac:dyDescent="0.2">
      <c r="A100" s="1">
        <v>2428</v>
      </c>
      <c r="B100" s="1">
        <v>0</v>
      </c>
      <c r="C100" s="1">
        <v>11</v>
      </c>
      <c r="D100" s="1">
        <v>4</v>
      </c>
      <c r="E100" s="1">
        <v>3</v>
      </c>
      <c r="F100" s="1">
        <v>8</v>
      </c>
      <c r="G100" s="1">
        <v>1</v>
      </c>
      <c r="H100" s="1">
        <v>0</v>
      </c>
      <c r="I100" s="1">
        <v>0</v>
      </c>
      <c r="J100" s="1">
        <v>2</v>
      </c>
    </row>
    <row r="101" spans="1:10" x14ac:dyDescent="0.2">
      <c r="A101" s="1">
        <v>135</v>
      </c>
      <c r="B101" s="1">
        <v>0</v>
      </c>
      <c r="C101" s="1">
        <v>16</v>
      </c>
      <c r="D101" s="1">
        <v>1</v>
      </c>
      <c r="E101" s="1">
        <v>3</v>
      </c>
      <c r="F101" s="1">
        <v>8</v>
      </c>
      <c r="G101" s="1">
        <v>1</v>
      </c>
      <c r="H101" s="1">
        <v>1</v>
      </c>
      <c r="I101" s="1">
        <v>0</v>
      </c>
      <c r="J101" s="1">
        <v>2</v>
      </c>
    </row>
    <row r="102" spans="1:10" x14ac:dyDescent="0.2">
      <c r="A102" s="1">
        <v>735</v>
      </c>
      <c r="B102" s="1">
        <v>0</v>
      </c>
      <c r="C102" s="1">
        <v>6</v>
      </c>
      <c r="D102" s="1">
        <v>2</v>
      </c>
      <c r="E102" s="1">
        <v>1</v>
      </c>
      <c r="F102" s="1">
        <v>9</v>
      </c>
      <c r="G102" s="1">
        <v>1</v>
      </c>
      <c r="H102" s="1">
        <v>0</v>
      </c>
      <c r="I102" s="1">
        <v>2</v>
      </c>
      <c r="J102" s="1">
        <v>2</v>
      </c>
    </row>
    <row r="103" spans="1:10" x14ac:dyDescent="0.2">
      <c r="A103" s="1">
        <v>404</v>
      </c>
      <c r="B103" s="1">
        <v>0</v>
      </c>
      <c r="C103" s="1">
        <v>9</v>
      </c>
      <c r="D103" s="1">
        <v>5</v>
      </c>
      <c r="E103" s="1">
        <v>3</v>
      </c>
      <c r="F103" s="1">
        <v>9</v>
      </c>
      <c r="G103" s="1">
        <v>1</v>
      </c>
      <c r="H103" s="1">
        <v>0</v>
      </c>
      <c r="I103" s="1">
        <v>0</v>
      </c>
      <c r="J103" s="1">
        <v>2</v>
      </c>
    </row>
    <row r="104" spans="1:10" x14ac:dyDescent="0.2">
      <c r="A104" s="1">
        <v>2007</v>
      </c>
      <c r="B104" s="1">
        <v>0</v>
      </c>
      <c r="C104" s="1">
        <v>13</v>
      </c>
      <c r="D104" s="1">
        <v>2</v>
      </c>
      <c r="E104" s="1">
        <v>3</v>
      </c>
      <c r="F104" s="1">
        <v>9</v>
      </c>
      <c r="G104" s="1">
        <v>1</v>
      </c>
      <c r="H104" s="1">
        <v>1</v>
      </c>
      <c r="I104" s="1">
        <v>3</v>
      </c>
      <c r="J104" s="1">
        <v>2</v>
      </c>
    </row>
    <row r="105" spans="1:10" x14ac:dyDescent="0.2">
      <c r="A105" s="1">
        <v>1332</v>
      </c>
      <c r="B105" s="1">
        <v>0</v>
      </c>
      <c r="C105" s="1">
        <v>15</v>
      </c>
      <c r="D105" s="1">
        <v>1</v>
      </c>
      <c r="E105" s="1">
        <v>2</v>
      </c>
      <c r="F105" s="1">
        <v>10</v>
      </c>
      <c r="G105" s="1">
        <v>1</v>
      </c>
      <c r="H105" s="1">
        <v>1</v>
      </c>
      <c r="I105" s="1">
        <v>0</v>
      </c>
      <c r="J105" s="1">
        <v>2</v>
      </c>
    </row>
    <row r="106" spans="1:10" x14ac:dyDescent="0.2">
      <c r="A106" s="1">
        <v>1138</v>
      </c>
      <c r="B106" s="1">
        <v>0</v>
      </c>
      <c r="C106" s="1">
        <v>11</v>
      </c>
      <c r="D106" s="1">
        <v>5</v>
      </c>
      <c r="E106" s="1">
        <v>3</v>
      </c>
      <c r="F106" s="1">
        <v>10</v>
      </c>
      <c r="G106" s="1">
        <v>1</v>
      </c>
      <c r="H106" s="1">
        <v>0</v>
      </c>
      <c r="I106" s="1">
        <v>0</v>
      </c>
      <c r="J106" s="1">
        <v>2</v>
      </c>
    </row>
    <row r="107" spans="1:10" x14ac:dyDescent="0.2">
      <c r="A107" s="1">
        <v>1394</v>
      </c>
      <c r="B107" s="1">
        <v>0</v>
      </c>
      <c r="C107" s="1">
        <v>14</v>
      </c>
      <c r="D107" s="1">
        <v>1</v>
      </c>
      <c r="E107" s="1">
        <v>3</v>
      </c>
      <c r="F107" s="1">
        <v>1</v>
      </c>
      <c r="G107" s="1">
        <v>1</v>
      </c>
      <c r="H107" s="1">
        <v>1</v>
      </c>
      <c r="I107" s="1">
        <v>1</v>
      </c>
      <c r="J107" s="1">
        <v>3</v>
      </c>
    </row>
    <row r="108" spans="1:10" x14ac:dyDescent="0.2">
      <c r="A108" s="1">
        <v>804</v>
      </c>
      <c r="B108" s="1">
        <v>0</v>
      </c>
      <c r="C108" s="1">
        <v>18</v>
      </c>
      <c r="D108" s="1">
        <v>2</v>
      </c>
      <c r="E108" s="1">
        <v>1</v>
      </c>
      <c r="F108" s="1">
        <v>2</v>
      </c>
      <c r="G108" s="1">
        <v>1</v>
      </c>
      <c r="H108" s="1">
        <v>0</v>
      </c>
      <c r="I108" s="1">
        <v>1</v>
      </c>
      <c r="J108" s="1">
        <v>3</v>
      </c>
    </row>
    <row r="109" spans="1:10" x14ac:dyDescent="0.2">
      <c r="A109" s="1">
        <v>1349</v>
      </c>
      <c r="B109" s="1">
        <v>0</v>
      </c>
      <c r="C109" s="1">
        <v>14</v>
      </c>
      <c r="D109" s="1">
        <v>2</v>
      </c>
      <c r="E109" s="1">
        <v>2</v>
      </c>
      <c r="F109" s="1">
        <v>2</v>
      </c>
      <c r="G109" s="1">
        <v>1</v>
      </c>
      <c r="H109" s="1">
        <v>0</v>
      </c>
      <c r="I109" s="1">
        <v>3</v>
      </c>
      <c r="J109" s="1">
        <v>3</v>
      </c>
    </row>
    <row r="110" spans="1:10" x14ac:dyDescent="0.2">
      <c r="A110" s="1">
        <v>646</v>
      </c>
      <c r="B110" s="1">
        <v>0</v>
      </c>
      <c r="C110" s="1">
        <v>15</v>
      </c>
      <c r="D110" s="1">
        <v>2</v>
      </c>
      <c r="E110" s="1">
        <v>2</v>
      </c>
      <c r="F110" s="1">
        <v>2</v>
      </c>
      <c r="G110" s="1">
        <v>1</v>
      </c>
      <c r="H110" s="1">
        <v>1</v>
      </c>
      <c r="I110" s="1">
        <v>0</v>
      </c>
      <c r="J110" s="1">
        <v>3</v>
      </c>
    </row>
    <row r="111" spans="1:10" x14ac:dyDescent="0.2">
      <c r="A111" s="1">
        <v>1295</v>
      </c>
      <c r="B111" s="1">
        <v>0</v>
      </c>
      <c r="C111" s="1">
        <v>11</v>
      </c>
      <c r="D111" s="1">
        <v>3</v>
      </c>
      <c r="E111" s="1">
        <v>2</v>
      </c>
      <c r="F111" s="1">
        <v>3</v>
      </c>
      <c r="G111" s="1">
        <v>1</v>
      </c>
      <c r="H111" s="1">
        <v>0</v>
      </c>
      <c r="I111" s="1">
        <v>3</v>
      </c>
      <c r="J111" s="1">
        <v>3</v>
      </c>
    </row>
    <row r="112" spans="1:10" x14ac:dyDescent="0.2">
      <c r="A112" s="1">
        <v>2433</v>
      </c>
      <c r="B112" s="1">
        <v>0</v>
      </c>
      <c r="C112" s="1">
        <v>13</v>
      </c>
      <c r="D112" s="1">
        <v>1</v>
      </c>
      <c r="E112" s="1">
        <v>2</v>
      </c>
      <c r="F112" s="1">
        <v>3</v>
      </c>
      <c r="G112" s="1">
        <v>1</v>
      </c>
      <c r="H112" s="1">
        <v>0</v>
      </c>
      <c r="I112" s="1">
        <v>2</v>
      </c>
      <c r="J112" s="1">
        <v>3</v>
      </c>
    </row>
    <row r="113" spans="1:10" x14ac:dyDescent="0.2">
      <c r="A113" s="1">
        <v>1292</v>
      </c>
      <c r="B113" s="1">
        <v>0</v>
      </c>
      <c r="C113" s="1">
        <v>17</v>
      </c>
      <c r="D113" s="1">
        <v>3</v>
      </c>
      <c r="E113" s="1">
        <v>2</v>
      </c>
      <c r="F113" s="1">
        <v>3</v>
      </c>
      <c r="G113" s="1">
        <v>1</v>
      </c>
      <c r="H113" s="1">
        <v>0</v>
      </c>
      <c r="I113" s="1">
        <v>1</v>
      </c>
      <c r="J113" s="1">
        <v>3</v>
      </c>
    </row>
    <row r="114" spans="1:10" x14ac:dyDescent="0.2">
      <c r="A114" s="1">
        <v>1621</v>
      </c>
      <c r="B114" s="1">
        <v>0</v>
      </c>
      <c r="C114" s="1">
        <v>18</v>
      </c>
      <c r="D114" s="1">
        <v>1</v>
      </c>
      <c r="E114" s="1">
        <v>3</v>
      </c>
      <c r="F114" s="1">
        <v>3</v>
      </c>
      <c r="G114" s="1">
        <v>1</v>
      </c>
      <c r="H114" s="1">
        <v>0</v>
      </c>
      <c r="I114" s="1">
        <v>0</v>
      </c>
      <c r="J114" s="1">
        <v>3</v>
      </c>
    </row>
    <row r="115" spans="1:10" x14ac:dyDescent="0.2">
      <c r="A115" s="1">
        <v>1755</v>
      </c>
      <c r="B115" s="1">
        <v>0</v>
      </c>
      <c r="C115" s="1">
        <v>14</v>
      </c>
      <c r="D115" s="1">
        <v>3</v>
      </c>
      <c r="E115" s="1">
        <v>1</v>
      </c>
      <c r="F115" s="1">
        <v>4</v>
      </c>
      <c r="G115" s="1">
        <v>1</v>
      </c>
      <c r="H115" s="1">
        <v>1</v>
      </c>
      <c r="I115" s="1">
        <v>2</v>
      </c>
      <c r="J115" s="1">
        <v>3</v>
      </c>
    </row>
    <row r="116" spans="1:10" x14ac:dyDescent="0.2">
      <c r="A116" s="1">
        <v>1895</v>
      </c>
      <c r="B116" s="1">
        <v>0</v>
      </c>
      <c r="C116" s="1">
        <v>19</v>
      </c>
      <c r="D116" s="1">
        <v>5</v>
      </c>
      <c r="E116" s="1">
        <v>1</v>
      </c>
      <c r="F116" s="1">
        <v>4</v>
      </c>
      <c r="G116" s="1">
        <v>1</v>
      </c>
      <c r="H116" s="1">
        <v>0</v>
      </c>
      <c r="I116" s="1">
        <v>1</v>
      </c>
      <c r="J116" s="1">
        <v>3</v>
      </c>
    </row>
    <row r="117" spans="1:10" x14ac:dyDescent="0.2">
      <c r="A117" s="1">
        <v>775</v>
      </c>
      <c r="B117" s="1">
        <v>0</v>
      </c>
      <c r="C117" s="1">
        <v>10</v>
      </c>
      <c r="D117" s="1">
        <v>2</v>
      </c>
      <c r="E117" s="1">
        <v>2</v>
      </c>
      <c r="F117" s="1">
        <v>4</v>
      </c>
      <c r="G117" s="1">
        <v>1</v>
      </c>
      <c r="H117" s="1">
        <v>0</v>
      </c>
      <c r="I117" s="1">
        <v>2</v>
      </c>
      <c r="J117" s="1">
        <v>3</v>
      </c>
    </row>
    <row r="118" spans="1:10" x14ac:dyDescent="0.2">
      <c r="A118" s="1">
        <v>2014</v>
      </c>
      <c r="B118" s="1">
        <v>0</v>
      </c>
      <c r="C118" s="1">
        <v>15</v>
      </c>
      <c r="D118" s="1">
        <v>5</v>
      </c>
      <c r="E118" s="1">
        <v>3</v>
      </c>
      <c r="F118" s="1">
        <v>4</v>
      </c>
      <c r="G118" s="1">
        <v>1</v>
      </c>
      <c r="H118" s="1">
        <v>0</v>
      </c>
      <c r="I118" s="1">
        <v>1</v>
      </c>
      <c r="J118" s="1">
        <v>3</v>
      </c>
    </row>
    <row r="119" spans="1:10" x14ac:dyDescent="0.2">
      <c r="A119" s="1">
        <v>1286</v>
      </c>
      <c r="B119" s="1">
        <v>0</v>
      </c>
      <c r="C119" s="1">
        <v>20</v>
      </c>
      <c r="D119" s="1">
        <v>2</v>
      </c>
      <c r="E119" s="1">
        <v>3</v>
      </c>
      <c r="F119" s="1">
        <v>4</v>
      </c>
      <c r="G119" s="1">
        <v>1</v>
      </c>
      <c r="H119" s="1">
        <v>1</v>
      </c>
      <c r="I119" s="1">
        <v>0</v>
      </c>
      <c r="J119" s="1">
        <v>3</v>
      </c>
    </row>
    <row r="120" spans="1:10" x14ac:dyDescent="0.2">
      <c r="A120" s="1">
        <v>1434</v>
      </c>
      <c r="B120" s="1">
        <v>0</v>
      </c>
      <c r="C120" s="1">
        <v>6</v>
      </c>
      <c r="D120" s="1">
        <v>4</v>
      </c>
      <c r="E120" s="1">
        <v>1</v>
      </c>
      <c r="F120" s="1">
        <v>5</v>
      </c>
      <c r="G120" s="1">
        <v>1</v>
      </c>
      <c r="H120" s="1">
        <v>0</v>
      </c>
      <c r="I120" s="1">
        <v>1</v>
      </c>
      <c r="J120" s="1">
        <v>3</v>
      </c>
    </row>
    <row r="121" spans="1:10" x14ac:dyDescent="0.2">
      <c r="A121" s="1">
        <v>388</v>
      </c>
      <c r="B121" s="1">
        <v>0</v>
      </c>
      <c r="C121" s="1">
        <v>5</v>
      </c>
      <c r="D121" s="1">
        <v>1</v>
      </c>
      <c r="E121" s="1">
        <v>2</v>
      </c>
      <c r="F121" s="1">
        <v>5</v>
      </c>
      <c r="G121" s="1">
        <v>1</v>
      </c>
      <c r="H121" s="1">
        <v>1</v>
      </c>
      <c r="I121" s="1">
        <v>1</v>
      </c>
      <c r="J121" s="1">
        <v>3</v>
      </c>
    </row>
    <row r="122" spans="1:10" x14ac:dyDescent="0.2">
      <c r="A122" s="1">
        <v>2136</v>
      </c>
      <c r="B122" s="1">
        <v>0</v>
      </c>
      <c r="C122" s="1">
        <v>9</v>
      </c>
      <c r="D122" s="1">
        <v>4</v>
      </c>
      <c r="E122" s="1">
        <v>2</v>
      </c>
      <c r="F122" s="1">
        <v>5</v>
      </c>
      <c r="G122" s="1">
        <v>1</v>
      </c>
      <c r="H122" s="1">
        <v>0</v>
      </c>
      <c r="I122" s="1">
        <v>2</v>
      </c>
      <c r="J122" s="1">
        <v>3</v>
      </c>
    </row>
    <row r="123" spans="1:10" x14ac:dyDescent="0.2">
      <c r="A123" s="1">
        <v>2495</v>
      </c>
      <c r="B123" s="1">
        <v>0</v>
      </c>
      <c r="C123" s="1">
        <v>11</v>
      </c>
      <c r="D123" s="1">
        <v>5</v>
      </c>
      <c r="E123" s="1">
        <v>2</v>
      </c>
      <c r="F123" s="1">
        <v>5</v>
      </c>
      <c r="G123" s="1">
        <v>1</v>
      </c>
      <c r="H123" s="1">
        <v>1</v>
      </c>
      <c r="I123" s="1">
        <v>2</v>
      </c>
      <c r="J123" s="1">
        <v>3</v>
      </c>
    </row>
    <row r="124" spans="1:10" x14ac:dyDescent="0.2">
      <c r="A124" s="1">
        <v>2459</v>
      </c>
      <c r="B124" s="1">
        <v>0</v>
      </c>
      <c r="C124" s="1">
        <v>7</v>
      </c>
      <c r="D124" s="1">
        <v>1</v>
      </c>
      <c r="E124" s="1">
        <v>3</v>
      </c>
      <c r="F124" s="1">
        <v>5</v>
      </c>
      <c r="G124" s="1">
        <v>1</v>
      </c>
      <c r="H124" s="1">
        <v>1</v>
      </c>
      <c r="I124" s="1">
        <v>3</v>
      </c>
      <c r="J124" s="1">
        <v>3</v>
      </c>
    </row>
    <row r="125" spans="1:10" x14ac:dyDescent="0.2">
      <c r="A125" s="1">
        <v>1254</v>
      </c>
      <c r="B125" s="1">
        <v>0</v>
      </c>
      <c r="C125" s="1">
        <v>13</v>
      </c>
      <c r="D125" s="1">
        <v>4</v>
      </c>
      <c r="E125" s="1">
        <v>2</v>
      </c>
      <c r="F125" s="1">
        <v>6</v>
      </c>
      <c r="G125" s="1">
        <v>1</v>
      </c>
      <c r="H125" s="1">
        <v>0</v>
      </c>
      <c r="I125" s="1">
        <v>2</v>
      </c>
      <c r="J125" s="1">
        <v>3</v>
      </c>
    </row>
    <row r="126" spans="1:10" x14ac:dyDescent="0.2">
      <c r="A126" s="1">
        <v>2169</v>
      </c>
      <c r="B126" s="1">
        <v>0</v>
      </c>
      <c r="C126" s="1">
        <v>17</v>
      </c>
      <c r="D126" s="1">
        <v>2</v>
      </c>
      <c r="E126" s="1">
        <v>2</v>
      </c>
      <c r="F126" s="1">
        <v>6</v>
      </c>
      <c r="G126" s="1">
        <v>1</v>
      </c>
      <c r="H126" s="1">
        <v>0</v>
      </c>
      <c r="I126" s="1">
        <v>0</v>
      </c>
      <c r="J126" s="1">
        <v>3</v>
      </c>
    </row>
    <row r="127" spans="1:10" x14ac:dyDescent="0.2">
      <c r="A127" s="1">
        <v>1994</v>
      </c>
      <c r="B127" s="1">
        <v>0</v>
      </c>
      <c r="C127" s="1">
        <v>7</v>
      </c>
      <c r="D127" s="1">
        <v>3</v>
      </c>
      <c r="E127" s="1">
        <v>3</v>
      </c>
      <c r="F127" s="1">
        <v>6</v>
      </c>
      <c r="G127" s="1">
        <v>1</v>
      </c>
      <c r="H127" s="1">
        <v>0</v>
      </c>
      <c r="I127" s="1">
        <v>2</v>
      </c>
      <c r="J127" s="1">
        <v>3</v>
      </c>
    </row>
    <row r="128" spans="1:10" x14ac:dyDescent="0.2">
      <c r="A128" s="1">
        <v>1802</v>
      </c>
      <c r="B128" s="1">
        <v>0</v>
      </c>
      <c r="C128" s="1">
        <v>11</v>
      </c>
      <c r="D128" s="1">
        <v>5</v>
      </c>
      <c r="E128" s="1">
        <v>3</v>
      </c>
      <c r="F128" s="1">
        <v>6</v>
      </c>
      <c r="G128" s="1">
        <v>1</v>
      </c>
      <c r="H128" s="1">
        <v>0</v>
      </c>
      <c r="I128" s="1">
        <v>1</v>
      </c>
      <c r="J128" s="1">
        <v>3</v>
      </c>
    </row>
    <row r="129" spans="1:10" x14ac:dyDescent="0.2">
      <c r="A129" s="1">
        <v>326</v>
      </c>
      <c r="B129" s="1">
        <v>0</v>
      </c>
      <c r="C129" s="1">
        <v>14</v>
      </c>
      <c r="D129" s="1">
        <v>4</v>
      </c>
      <c r="E129" s="1">
        <v>3</v>
      </c>
      <c r="F129" s="1">
        <v>6</v>
      </c>
      <c r="G129" s="1">
        <v>1</v>
      </c>
      <c r="H129" s="1">
        <v>0</v>
      </c>
      <c r="I129" s="1">
        <v>1</v>
      </c>
      <c r="J129" s="1">
        <v>3</v>
      </c>
    </row>
    <row r="130" spans="1:10" x14ac:dyDescent="0.2">
      <c r="A130" s="1">
        <v>1452</v>
      </c>
      <c r="B130" s="1">
        <v>0</v>
      </c>
      <c r="C130" s="1">
        <v>18</v>
      </c>
      <c r="D130" s="1">
        <v>1</v>
      </c>
      <c r="E130" s="1">
        <v>3</v>
      </c>
      <c r="F130" s="1">
        <v>6</v>
      </c>
      <c r="G130" s="1">
        <v>1</v>
      </c>
      <c r="H130" s="1">
        <v>0</v>
      </c>
      <c r="I130" s="1">
        <v>0</v>
      </c>
      <c r="J130" s="1">
        <v>3</v>
      </c>
    </row>
    <row r="131" spans="1:10" x14ac:dyDescent="0.2">
      <c r="A131" s="1">
        <v>645</v>
      </c>
      <c r="B131" s="1">
        <v>0</v>
      </c>
      <c r="C131" s="1">
        <v>7</v>
      </c>
      <c r="D131" s="1">
        <v>3</v>
      </c>
      <c r="E131" s="1">
        <v>2</v>
      </c>
      <c r="F131" s="1">
        <v>7</v>
      </c>
      <c r="G131" s="1">
        <v>1</v>
      </c>
      <c r="H131" s="1">
        <v>0</v>
      </c>
      <c r="I131" s="1">
        <v>0</v>
      </c>
      <c r="J131" s="1">
        <v>3</v>
      </c>
    </row>
    <row r="132" spans="1:10" x14ac:dyDescent="0.2">
      <c r="A132" s="1">
        <v>1090</v>
      </c>
      <c r="B132" s="1">
        <v>0</v>
      </c>
      <c r="C132" s="1">
        <v>13</v>
      </c>
      <c r="D132" s="1">
        <v>2</v>
      </c>
      <c r="E132" s="1">
        <v>2</v>
      </c>
      <c r="F132" s="1">
        <v>7</v>
      </c>
      <c r="G132" s="1">
        <v>1</v>
      </c>
      <c r="H132" s="1">
        <v>0</v>
      </c>
      <c r="I132" s="1">
        <v>0</v>
      </c>
      <c r="J132" s="1">
        <v>3</v>
      </c>
    </row>
    <row r="133" spans="1:10" x14ac:dyDescent="0.2">
      <c r="A133" s="1">
        <v>1758</v>
      </c>
      <c r="B133" s="1">
        <v>0</v>
      </c>
      <c r="C133" s="1">
        <v>12</v>
      </c>
      <c r="D133" s="1">
        <v>1</v>
      </c>
      <c r="E133" s="1">
        <v>3</v>
      </c>
      <c r="F133" s="1">
        <v>7</v>
      </c>
      <c r="G133" s="1">
        <v>1</v>
      </c>
      <c r="H133" s="1">
        <v>0</v>
      </c>
      <c r="I133" s="1">
        <v>1</v>
      </c>
      <c r="J133" s="1">
        <v>3</v>
      </c>
    </row>
    <row r="134" spans="1:10" x14ac:dyDescent="0.2">
      <c r="A134" s="1">
        <v>1524</v>
      </c>
      <c r="B134" s="1">
        <v>0</v>
      </c>
      <c r="C134" s="1">
        <v>20</v>
      </c>
      <c r="D134" s="1">
        <v>5</v>
      </c>
      <c r="E134" s="1">
        <v>1</v>
      </c>
      <c r="F134" s="1">
        <v>8</v>
      </c>
      <c r="G134" s="1">
        <v>1</v>
      </c>
      <c r="H134" s="1">
        <v>0</v>
      </c>
      <c r="I134" s="1">
        <v>3</v>
      </c>
      <c r="J134" s="1">
        <v>3</v>
      </c>
    </row>
    <row r="135" spans="1:10" x14ac:dyDescent="0.2">
      <c r="A135" s="1">
        <v>580</v>
      </c>
      <c r="B135" s="1">
        <v>0</v>
      </c>
      <c r="C135" s="1">
        <v>13</v>
      </c>
      <c r="D135" s="1">
        <v>5</v>
      </c>
      <c r="E135" s="1">
        <v>2</v>
      </c>
      <c r="F135" s="1">
        <v>8</v>
      </c>
      <c r="G135" s="1">
        <v>1</v>
      </c>
      <c r="H135" s="1">
        <v>0</v>
      </c>
      <c r="I135" s="1">
        <v>0</v>
      </c>
      <c r="J135" s="1">
        <v>3</v>
      </c>
    </row>
    <row r="136" spans="1:10" x14ac:dyDescent="0.2">
      <c r="A136" s="1">
        <v>1013</v>
      </c>
      <c r="B136" s="1">
        <v>0</v>
      </c>
      <c r="C136" s="1">
        <v>13</v>
      </c>
      <c r="D136" s="1">
        <v>2</v>
      </c>
      <c r="E136" s="1">
        <v>2</v>
      </c>
      <c r="F136" s="1">
        <v>8</v>
      </c>
      <c r="G136" s="1">
        <v>1</v>
      </c>
      <c r="H136" s="1">
        <v>1</v>
      </c>
      <c r="I136" s="1">
        <v>2</v>
      </c>
      <c r="J136" s="1">
        <v>3</v>
      </c>
    </row>
    <row r="137" spans="1:10" x14ac:dyDescent="0.2">
      <c r="A137" s="1">
        <v>1479</v>
      </c>
      <c r="B137" s="1">
        <v>0</v>
      </c>
      <c r="C137" s="1">
        <v>9</v>
      </c>
      <c r="D137" s="1">
        <v>1</v>
      </c>
      <c r="E137" s="1">
        <v>3</v>
      </c>
      <c r="F137" s="1">
        <v>8</v>
      </c>
      <c r="G137" s="1">
        <v>1</v>
      </c>
      <c r="H137" s="1">
        <v>1</v>
      </c>
      <c r="I137" s="1">
        <v>3</v>
      </c>
      <c r="J137" s="1">
        <v>3</v>
      </c>
    </row>
    <row r="138" spans="1:10" x14ac:dyDescent="0.2">
      <c r="A138" s="1">
        <v>1543</v>
      </c>
      <c r="B138" s="1">
        <v>0</v>
      </c>
      <c r="C138" s="1">
        <v>13</v>
      </c>
      <c r="D138" s="1">
        <v>1</v>
      </c>
      <c r="E138" s="1">
        <v>1</v>
      </c>
      <c r="F138" s="1">
        <v>9</v>
      </c>
      <c r="G138" s="1">
        <v>1</v>
      </c>
      <c r="H138" s="1">
        <v>1</v>
      </c>
      <c r="I138" s="1">
        <v>2</v>
      </c>
      <c r="J138" s="1">
        <v>3</v>
      </c>
    </row>
    <row r="139" spans="1:10" x14ac:dyDescent="0.2">
      <c r="A139" s="1">
        <v>41</v>
      </c>
      <c r="B139" s="1">
        <v>0</v>
      </c>
      <c r="C139" s="1">
        <v>16</v>
      </c>
      <c r="D139" s="1">
        <v>1</v>
      </c>
      <c r="E139" s="1">
        <v>2</v>
      </c>
      <c r="F139" s="1">
        <v>9</v>
      </c>
      <c r="G139" s="1">
        <v>1</v>
      </c>
      <c r="H139" s="1">
        <v>1</v>
      </c>
      <c r="I139" s="1">
        <v>0</v>
      </c>
      <c r="J139" s="1">
        <v>3</v>
      </c>
    </row>
    <row r="140" spans="1:10" x14ac:dyDescent="0.2">
      <c r="A140" s="1">
        <v>2172</v>
      </c>
      <c r="B140" s="1">
        <v>0</v>
      </c>
      <c r="C140" s="1">
        <v>5</v>
      </c>
      <c r="D140" s="1">
        <v>2</v>
      </c>
      <c r="E140" s="1">
        <v>3</v>
      </c>
      <c r="F140" s="1">
        <v>9</v>
      </c>
      <c r="G140" s="1">
        <v>1</v>
      </c>
      <c r="H140" s="1">
        <v>1</v>
      </c>
      <c r="I140" s="1">
        <v>1</v>
      </c>
      <c r="J140" s="1">
        <v>3</v>
      </c>
    </row>
    <row r="141" spans="1:10" x14ac:dyDescent="0.2">
      <c r="A141" s="1">
        <v>1888</v>
      </c>
      <c r="B141" s="1">
        <v>0</v>
      </c>
      <c r="C141" s="1">
        <v>6</v>
      </c>
      <c r="D141" s="1">
        <v>4</v>
      </c>
      <c r="E141" s="1">
        <v>3</v>
      </c>
      <c r="F141" s="1">
        <v>9</v>
      </c>
      <c r="G141" s="1">
        <v>1</v>
      </c>
      <c r="H141" s="1">
        <v>0</v>
      </c>
      <c r="I141" s="1">
        <v>0</v>
      </c>
      <c r="J141" s="1">
        <v>3</v>
      </c>
    </row>
    <row r="142" spans="1:10" x14ac:dyDescent="0.2">
      <c r="A142" s="1">
        <v>1176</v>
      </c>
      <c r="B142" s="1">
        <v>0</v>
      </c>
      <c r="C142" s="1">
        <v>15</v>
      </c>
      <c r="D142" s="1">
        <v>2</v>
      </c>
      <c r="E142" s="1">
        <v>1</v>
      </c>
      <c r="F142" s="1">
        <v>10</v>
      </c>
      <c r="G142" s="1">
        <v>1</v>
      </c>
      <c r="H142" s="1">
        <v>0</v>
      </c>
      <c r="I142" s="1">
        <v>0</v>
      </c>
      <c r="J142" s="1">
        <v>3</v>
      </c>
    </row>
    <row r="143" spans="1:10" x14ac:dyDescent="0.2">
      <c r="A143" s="1">
        <v>1421</v>
      </c>
      <c r="B143" s="1">
        <v>0</v>
      </c>
      <c r="C143" s="1">
        <v>19</v>
      </c>
      <c r="D143" s="1">
        <v>5</v>
      </c>
      <c r="E143" s="1">
        <v>1</v>
      </c>
      <c r="F143" s="1">
        <v>10</v>
      </c>
      <c r="G143" s="1">
        <v>1</v>
      </c>
      <c r="H143" s="1">
        <v>1</v>
      </c>
      <c r="I143" s="1">
        <v>0</v>
      </c>
      <c r="J143" s="1">
        <v>3</v>
      </c>
    </row>
    <row r="144" spans="1:10" x14ac:dyDescent="0.2">
      <c r="A144" s="1">
        <v>1489</v>
      </c>
      <c r="B144" s="1">
        <v>0</v>
      </c>
      <c r="C144" s="1">
        <v>6</v>
      </c>
      <c r="D144" s="1">
        <v>4</v>
      </c>
      <c r="E144" s="1">
        <v>2</v>
      </c>
      <c r="F144" s="1">
        <v>10</v>
      </c>
      <c r="G144" s="1">
        <v>1</v>
      </c>
      <c r="H144" s="1">
        <v>0</v>
      </c>
      <c r="I144" s="1">
        <v>3</v>
      </c>
      <c r="J144" s="1">
        <v>3</v>
      </c>
    </row>
    <row r="145" spans="1:10" x14ac:dyDescent="0.2">
      <c r="A145" s="1">
        <v>2394</v>
      </c>
      <c r="B145" s="1">
        <v>0</v>
      </c>
      <c r="C145" s="1">
        <v>8</v>
      </c>
      <c r="D145" s="1">
        <v>3</v>
      </c>
      <c r="E145" s="1">
        <v>2</v>
      </c>
      <c r="F145" s="1">
        <v>10</v>
      </c>
      <c r="G145" s="1">
        <v>1</v>
      </c>
      <c r="H145" s="1">
        <v>0</v>
      </c>
      <c r="I145" s="1">
        <v>3</v>
      </c>
      <c r="J145" s="1">
        <v>3</v>
      </c>
    </row>
    <row r="146" spans="1:10" x14ac:dyDescent="0.2">
      <c r="A146" s="1">
        <v>1531</v>
      </c>
      <c r="B146" s="1">
        <v>0</v>
      </c>
      <c r="C146" s="1">
        <v>15</v>
      </c>
      <c r="D146" s="1">
        <v>1</v>
      </c>
      <c r="E146" s="1">
        <v>1</v>
      </c>
      <c r="F146" s="1">
        <v>1</v>
      </c>
      <c r="G146" s="1">
        <v>1</v>
      </c>
      <c r="H146" s="1">
        <v>1</v>
      </c>
      <c r="I146" s="1">
        <v>0</v>
      </c>
      <c r="J146" s="1">
        <v>4</v>
      </c>
    </row>
    <row r="147" spans="1:10" x14ac:dyDescent="0.2">
      <c r="A147" s="1">
        <v>157</v>
      </c>
      <c r="B147" s="1">
        <v>0</v>
      </c>
      <c r="C147" s="1">
        <v>18</v>
      </c>
      <c r="D147" s="1">
        <v>4</v>
      </c>
      <c r="E147" s="1">
        <v>1</v>
      </c>
      <c r="F147" s="1">
        <v>1</v>
      </c>
      <c r="G147" s="1">
        <v>1</v>
      </c>
      <c r="H147" s="1">
        <v>1</v>
      </c>
      <c r="I147" s="1">
        <v>3</v>
      </c>
      <c r="J147" s="1">
        <v>4</v>
      </c>
    </row>
    <row r="148" spans="1:10" x14ac:dyDescent="0.2">
      <c r="A148" s="1">
        <v>2406</v>
      </c>
      <c r="B148" s="1">
        <v>0</v>
      </c>
      <c r="C148" s="1">
        <v>19</v>
      </c>
      <c r="D148" s="1">
        <v>3</v>
      </c>
      <c r="E148" s="1">
        <v>1</v>
      </c>
      <c r="F148" s="1">
        <v>1</v>
      </c>
      <c r="G148" s="1">
        <v>1</v>
      </c>
      <c r="H148" s="1">
        <v>0</v>
      </c>
      <c r="I148" s="1">
        <v>3</v>
      </c>
      <c r="J148" s="1">
        <v>4</v>
      </c>
    </row>
    <row r="149" spans="1:10" x14ac:dyDescent="0.2">
      <c r="A149" s="1">
        <v>1329</v>
      </c>
      <c r="B149" s="1">
        <v>0</v>
      </c>
      <c r="C149" s="1">
        <v>20</v>
      </c>
      <c r="D149" s="1">
        <v>3</v>
      </c>
      <c r="E149" s="1">
        <v>1</v>
      </c>
      <c r="F149" s="1">
        <v>1</v>
      </c>
      <c r="G149" s="1">
        <v>1</v>
      </c>
      <c r="H149" s="1">
        <v>1</v>
      </c>
      <c r="I149" s="1">
        <v>2</v>
      </c>
      <c r="J149" s="1">
        <v>4</v>
      </c>
    </row>
    <row r="150" spans="1:10" x14ac:dyDescent="0.2">
      <c r="A150" s="1">
        <v>94</v>
      </c>
      <c r="B150" s="1">
        <v>0</v>
      </c>
      <c r="C150" s="1">
        <v>17</v>
      </c>
      <c r="D150" s="1">
        <v>2</v>
      </c>
      <c r="E150" s="1">
        <v>2</v>
      </c>
      <c r="F150" s="1">
        <v>1</v>
      </c>
      <c r="G150" s="1">
        <v>1</v>
      </c>
      <c r="H150" s="1">
        <v>1</v>
      </c>
      <c r="I150" s="1">
        <v>2</v>
      </c>
      <c r="J150" s="1">
        <v>4</v>
      </c>
    </row>
    <row r="151" spans="1:10" x14ac:dyDescent="0.2">
      <c r="A151" s="1">
        <v>89</v>
      </c>
      <c r="B151" s="1">
        <v>0</v>
      </c>
      <c r="C151" s="1">
        <v>19</v>
      </c>
      <c r="D151" s="1">
        <v>4</v>
      </c>
      <c r="E151" s="1">
        <v>2</v>
      </c>
      <c r="F151" s="1">
        <v>1</v>
      </c>
      <c r="G151" s="1">
        <v>1</v>
      </c>
      <c r="H151" s="1">
        <v>0</v>
      </c>
      <c r="I151" s="1">
        <v>0</v>
      </c>
      <c r="J151" s="1">
        <v>4</v>
      </c>
    </row>
    <row r="152" spans="1:10" x14ac:dyDescent="0.2">
      <c r="A152" s="1">
        <v>1137</v>
      </c>
      <c r="B152" s="1">
        <v>0</v>
      </c>
      <c r="C152" s="1">
        <v>14</v>
      </c>
      <c r="D152" s="1">
        <v>1</v>
      </c>
      <c r="E152" s="1">
        <v>3</v>
      </c>
      <c r="F152" s="1">
        <v>1</v>
      </c>
      <c r="G152" s="1">
        <v>1</v>
      </c>
      <c r="H152" s="1">
        <v>1</v>
      </c>
      <c r="I152" s="1">
        <v>0</v>
      </c>
      <c r="J152" s="1">
        <v>4</v>
      </c>
    </row>
    <row r="153" spans="1:10" x14ac:dyDescent="0.2">
      <c r="A153" s="1">
        <v>1130</v>
      </c>
      <c r="B153" s="1">
        <v>0</v>
      </c>
      <c r="C153" s="1">
        <v>19</v>
      </c>
      <c r="D153" s="1">
        <v>4</v>
      </c>
      <c r="E153" s="1">
        <v>3</v>
      </c>
      <c r="F153" s="1">
        <v>1</v>
      </c>
      <c r="G153" s="1">
        <v>1</v>
      </c>
      <c r="H153" s="1">
        <v>1</v>
      </c>
      <c r="I153" s="1">
        <v>2</v>
      </c>
      <c r="J153" s="1">
        <v>4</v>
      </c>
    </row>
    <row r="154" spans="1:10" x14ac:dyDescent="0.2">
      <c r="A154" s="1">
        <v>73</v>
      </c>
      <c r="B154" s="1">
        <v>0</v>
      </c>
      <c r="C154" s="1">
        <v>5</v>
      </c>
      <c r="D154" s="1">
        <v>5</v>
      </c>
      <c r="E154" s="1">
        <v>1</v>
      </c>
      <c r="F154" s="1">
        <v>2</v>
      </c>
      <c r="G154" s="1">
        <v>1</v>
      </c>
      <c r="H154" s="1">
        <v>0</v>
      </c>
      <c r="I154" s="1">
        <v>0</v>
      </c>
      <c r="J154" s="1">
        <v>4</v>
      </c>
    </row>
    <row r="155" spans="1:10" x14ac:dyDescent="0.2">
      <c r="A155" s="1">
        <v>2278</v>
      </c>
      <c r="B155" s="1">
        <v>0</v>
      </c>
      <c r="C155" s="1">
        <v>11</v>
      </c>
      <c r="D155" s="1">
        <v>4</v>
      </c>
      <c r="E155" s="1">
        <v>1</v>
      </c>
      <c r="F155" s="1">
        <v>2</v>
      </c>
      <c r="G155" s="1">
        <v>1</v>
      </c>
      <c r="H155" s="1">
        <v>1</v>
      </c>
      <c r="I155" s="1">
        <v>0</v>
      </c>
      <c r="J155" s="1">
        <v>4</v>
      </c>
    </row>
    <row r="156" spans="1:10" x14ac:dyDescent="0.2">
      <c r="A156" s="1">
        <v>2022</v>
      </c>
      <c r="B156" s="1">
        <v>0</v>
      </c>
      <c r="C156" s="1">
        <v>12</v>
      </c>
      <c r="D156" s="1">
        <v>1</v>
      </c>
      <c r="E156" s="1">
        <v>1</v>
      </c>
      <c r="F156" s="1">
        <v>2</v>
      </c>
      <c r="G156" s="1">
        <v>1</v>
      </c>
      <c r="H156" s="1">
        <v>0</v>
      </c>
      <c r="I156" s="1">
        <v>0</v>
      </c>
      <c r="J156" s="1">
        <v>4</v>
      </c>
    </row>
    <row r="157" spans="1:10" x14ac:dyDescent="0.2">
      <c r="A157" s="1">
        <v>658</v>
      </c>
      <c r="B157" s="1">
        <v>0</v>
      </c>
      <c r="C157" s="1">
        <v>15</v>
      </c>
      <c r="D157" s="1">
        <v>3</v>
      </c>
      <c r="E157" s="1">
        <v>2</v>
      </c>
      <c r="F157" s="1">
        <v>2</v>
      </c>
      <c r="G157" s="1">
        <v>1</v>
      </c>
      <c r="H157" s="1">
        <v>1</v>
      </c>
      <c r="I157" s="1">
        <v>1</v>
      </c>
      <c r="J157" s="1">
        <v>4</v>
      </c>
    </row>
    <row r="158" spans="1:10" x14ac:dyDescent="0.2">
      <c r="A158" s="1">
        <v>1470</v>
      </c>
      <c r="B158" s="1">
        <v>0</v>
      </c>
      <c r="C158" s="1">
        <v>19</v>
      </c>
      <c r="D158" s="1">
        <v>1</v>
      </c>
      <c r="E158" s="1">
        <v>2</v>
      </c>
      <c r="F158" s="1">
        <v>2</v>
      </c>
      <c r="G158" s="1">
        <v>1</v>
      </c>
      <c r="H158" s="1">
        <v>1</v>
      </c>
      <c r="I158" s="1">
        <v>0</v>
      </c>
      <c r="J158" s="1">
        <v>4</v>
      </c>
    </row>
    <row r="159" spans="1:10" x14ac:dyDescent="0.2">
      <c r="A159" s="1">
        <v>1687</v>
      </c>
      <c r="B159" s="1">
        <v>0</v>
      </c>
      <c r="C159" s="1">
        <v>7</v>
      </c>
      <c r="D159" s="1">
        <v>3</v>
      </c>
      <c r="E159" s="1">
        <v>3</v>
      </c>
      <c r="F159" s="1">
        <v>2</v>
      </c>
      <c r="G159" s="1">
        <v>1</v>
      </c>
      <c r="H159" s="1">
        <v>1</v>
      </c>
      <c r="I159" s="1">
        <v>2</v>
      </c>
      <c r="J159" s="1">
        <v>4</v>
      </c>
    </row>
    <row r="160" spans="1:10" x14ac:dyDescent="0.2">
      <c r="A160" s="1">
        <v>1244</v>
      </c>
      <c r="B160" s="1">
        <v>0</v>
      </c>
      <c r="C160" s="1">
        <v>16</v>
      </c>
      <c r="D160" s="1">
        <v>1</v>
      </c>
      <c r="E160" s="1">
        <v>3</v>
      </c>
      <c r="F160" s="1">
        <v>2</v>
      </c>
      <c r="G160" s="1">
        <v>1</v>
      </c>
      <c r="H160" s="1">
        <v>1</v>
      </c>
      <c r="I160" s="1">
        <v>0</v>
      </c>
      <c r="J160" s="1">
        <v>4</v>
      </c>
    </row>
    <row r="161" spans="1:10" x14ac:dyDescent="0.2">
      <c r="A161" s="1">
        <v>2027</v>
      </c>
      <c r="B161" s="1">
        <v>0</v>
      </c>
      <c r="C161" s="1">
        <v>10</v>
      </c>
      <c r="D161" s="1">
        <v>4</v>
      </c>
      <c r="E161" s="1">
        <v>1</v>
      </c>
      <c r="F161" s="1">
        <v>3</v>
      </c>
      <c r="G161" s="1">
        <v>1</v>
      </c>
      <c r="H161" s="1">
        <v>1</v>
      </c>
      <c r="I161" s="1">
        <v>0</v>
      </c>
      <c r="J161" s="1">
        <v>4</v>
      </c>
    </row>
    <row r="162" spans="1:10" x14ac:dyDescent="0.2">
      <c r="A162" s="1">
        <v>367</v>
      </c>
      <c r="B162" s="1">
        <v>0</v>
      </c>
      <c r="C162" s="1">
        <v>12</v>
      </c>
      <c r="D162" s="1">
        <v>5</v>
      </c>
      <c r="E162" s="1">
        <v>1</v>
      </c>
      <c r="F162" s="1">
        <v>3</v>
      </c>
      <c r="G162" s="1">
        <v>1</v>
      </c>
      <c r="H162" s="1">
        <v>1</v>
      </c>
      <c r="I162" s="1">
        <v>3</v>
      </c>
      <c r="J162" s="1">
        <v>4</v>
      </c>
    </row>
    <row r="163" spans="1:10" x14ac:dyDescent="0.2">
      <c r="A163" s="1">
        <v>2032</v>
      </c>
      <c r="B163" s="1">
        <v>0</v>
      </c>
      <c r="C163" s="1">
        <v>14</v>
      </c>
      <c r="D163" s="1">
        <v>3</v>
      </c>
      <c r="E163" s="1">
        <v>2</v>
      </c>
      <c r="F163" s="1">
        <v>3</v>
      </c>
      <c r="G163" s="1">
        <v>1</v>
      </c>
      <c r="H163" s="1">
        <v>1</v>
      </c>
      <c r="I163" s="1">
        <v>0</v>
      </c>
      <c r="J163" s="1">
        <v>4</v>
      </c>
    </row>
    <row r="164" spans="1:10" x14ac:dyDescent="0.2">
      <c r="A164" s="1">
        <v>1959</v>
      </c>
      <c r="B164" s="1">
        <v>0</v>
      </c>
      <c r="C164" s="1">
        <v>18</v>
      </c>
      <c r="D164" s="1">
        <v>2</v>
      </c>
      <c r="E164" s="1">
        <v>3</v>
      </c>
      <c r="F164" s="1">
        <v>3</v>
      </c>
      <c r="G164" s="1">
        <v>1</v>
      </c>
      <c r="H164" s="1">
        <v>1</v>
      </c>
      <c r="I164" s="1">
        <v>0</v>
      </c>
      <c r="J164" s="1">
        <v>4</v>
      </c>
    </row>
    <row r="165" spans="1:10" x14ac:dyDescent="0.2">
      <c r="A165" s="1">
        <v>1017</v>
      </c>
      <c r="B165" s="1">
        <v>0</v>
      </c>
      <c r="C165" s="1">
        <v>6</v>
      </c>
      <c r="D165" s="1">
        <v>4</v>
      </c>
      <c r="E165" s="1">
        <v>1</v>
      </c>
      <c r="F165" s="1">
        <v>4</v>
      </c>
      <c r="G165" s="1">
        <v>1</v>
      </c>
      <c r="H165" s="1">
        <v>1</v>
      </c>
      <c r="I165" s="1">
        <v>2</v>
      </c>
      <c r="J165" s="1">
        <v>4</v>
      </c>
    </row>
    <row r="166" spans="1:10" x14ac:dyDescent="0.2">
      <c r="A166" s="1">
        <v>2240</v>
      </c>
      <c r="B166" s="1">
        <v>0</v>
      </c>
      <c r="C166" s="1">
        <v>12</v>
      </c>
      <c r="D166" s="1">
        <v>1</v>
      </c>
      <c r="E166" s="1">
        <v>1</v>
      </c>
      <c r="F166" s="1">
        <v>4</v>
      </c>
      <c r="G166" s="1">
        <v>1</v>
      </c>
      <c r="H166" s="1">
        <v>1</v>
      </c>
      <c r="I166" s="1">
        <v>0</v>
      </c>
      <c r="J166" s="1">
        <v>4</v>
      </c>
    </row>
    <row r="167" spans="1:10" x14ac:dyDescent="0.2">
      <c r="A167" s="1">
        <v>2066</v>
      </c>
      <c r="B167" s="1">
        <v>0</v>
      </c>
      <c r="C167" s="1">
        <v>11</v>
      </c>
      <c r="D167" s="1">
        <v>4</v>
      </c>
      <c r="E167" s="1">
        <v>2</v>
      </c>
      <c r="F167" s="1">
        <v>4</v>
      </c>
      <c r="G167" s="1">
        <v>1</v>
      </c>
      <c r="H167" s="1">
        <v>1</v>
      </c>
      <c r="I167" s="1">
        <v>0</v>
      </c>
      <c r="J167" s="1">
        <v>4</v>
      </c>
    </row>
    <row r="168" spans="1:10" x14ac:dyDescent="0.2">
      <c r="A168" s="1">
        <v>1512</v>
      </c>
      <c r="B168" s="1">
        <v>0</v>
      </c>
      <c r="C168" s="1">
        <v>12</v>
      </c>
      <c r="D168" s="1">
        <v>4</v>
      </c>
      <c r="E168" s="1">
        <v>2</v>
      </c>
      <c r="F168" s="1">
        <v>4</v>
      </c>
      <c r="G168" s="1">
        <v>1</v>
      </c>
      <c r="H168" s="1">
        <v>0</v>
      </c>
      <c r="I168" s="1">
        <v>2</v>
      </c>
      <c r="J168" s="1">
        <v>4</v>
      </c>
    </row>
    <row r="169" spans="1:10" x14ac:dyDescent="0.2">
      <c r="A169" s="1">
        <v>1733</v>
      </c>
      <c r="B169" s="1">
        <v>0</v>
      </c>
      <c r="C169" s="1">
        <v>17</v>
      </c>
      <c r="D169" s="1">
        <v>4</v>
      </c>
      <c r="E169" s="1">
        <v>2</v>
      </c>
      <c r="F169" s="1">
        <v>4</v>
      </c>
      <c r="G169" s="1">
        <v>1</v>
      </c>
      <c r="H169" s="1">
        <v>0</v>
      </c>
      <c r="I169" s="1">
        <v>2</v>
      </c>
      <c r="J169" s="1">
        <v>4</v>
      </c>
    </row>
    <row r="170" spans="1:10" x14ac:dyDescent="0.2">
      <c r="A170" s="1">
        <v>1630</v>
      </c>
      <c r="B170" s="1">
        <v>0</v>
      </c>
      <c r="C170" s="1">
        <v>5</v>
      </c>
      <c r="D170" s="1">
        <v>4</v>
      </c>
      <c r="E170" s="1">
        <v>3</v>
      </c>
      <c r="F170" s="1">
        <v>4</v>
      </c>
      <c r="G170" s="1">
        <v>1</v>
      </c>
      <c r="H170" s="1">
        <v>0</v>
      </c>
      <c r="I170" s="1">
        <v>0</v>
      </c>
      <c r="J170" s="1">
        <v>4</v>
      </c>
    </row>
    <row r="171" spans="1:10" x14ac:dyDescent="0.2">
      <c r="A171" s="1">
        <v>325</v>
      </c>
      <c r="B171" s="1">
        <v>0</v>
      </c>
      <c r="C171" s="1">
        <v>8</v>
      </c>
      <c r="D171" s="1">
        <v>3</v>
      </c>
      <c r="E171" s="1">
        <v>3</v>
      </c>
      <c r="F171" s="1">
        <v>4</v>
      </c>
      <c r="G171" s="1">
        <v>1</v>
      </c>
      <c r="H171" s="1">
        <v>0</v>
      </c>
      <c r="I171" s="1">
        <v>1</v>
      </c>
      <c r="J171" s="1">
        <v>4</v>
      </c>
    </row>
    <row r="172" spans="1:10" x14ac:dyDescent="0.2">
      <c r="A172" s="1">
        <v>80</v>
      </c>
      <c r="B172" s="1">
        <v>0</v>
      </c>
      <c r="C172" s="1">
        <v>15</v>
      </c>
      <c r="D172" s="1">
        <v>4</v>
      </c>
      <c r="E172" s="1">
        <v>3</v>
      </c>
      <c r="F172" s="1">
        <v>4</v>
      </c>
      <c r="G172" s="1">
        <v>1</v>
      </c>
      <c r="H172" s="1">
        <v>0</v>
      </c>
      <c r="I172" s="1">
        <v>3</v>
      </c>
      <c r="J172" s="1">
        <v>4</v>
      </c>
    </row>
    <row r="173" spans="1:10" x14ac:dyDescent="0.2">
      <c r="A173" s="1">
        <v>2286</v>
      </c>
      <c r="B173" s="1">
        <v>0</v>
      </c>
      <c r="C173" s="1">
        <v>20</v>
      </c>
      <c r="D173" s="1">
        <v>1</v>
      </c>
      <c r="E173" s="1">
        <v>3</v>
      </c>
      <c r="F173" s="1">
        <v>4</v>
      </c>
      <c r="G173" s="1">
        <v>1</v>
      </c>
      <c r="H173" s="1">
        <v>0</v>
      </c>
      <c r="I173" s="1">
        <v>1</v>
      </c>
      <c r="J173" s="1">
        <v>4</v>
      </c>
    </row>
    <row r="174" spans="1:10" x14ac:dyDescent="0.2">
      <c r="A174" s="1">
        <v>1517</v>
      </c>
      <c r="B174" s="1">
        <v>0</v>
      </c>
      <c r="C174" s="1">
        <v>6</v>
      </c>
      <c r="D174" s="1">
        <v>3</v>
      </c>
      <c r="E174" s="1">
        <v>1</v>
      </c>
      <c r="F174" s="1">
        <v>5</v>
      </c>
      <c r="G174" s="1">
        <v>1</v>
      </c>
      <c r="H174" s="1">
        <v>1</v>
      </c>
      <c r="I174" s="1">
        <v>2</v>
      </c>
      <c r="J174" s="1">
        <v>4</v>
      </c>
    </row>
    <row r="175" spans="1:10" x14ac:dyDescent="0.2">
      <c r="A175" s="1">
        <v>307</v>
      </c>
      <c r="B175" s="1">
        <v>0</v>
      </c>
      <c r="C175" s="1">
        <v>9</v>
      </c>
      <c r="D175" s="1">
        <v>5</v>
      </c>
      <c r="E175" s="1">
        <v>1</v>
      </c>
      <c r="F175" s="1">
        <v>5</v>
      </c>
      <c r="G175" s="1">
        <v>1</v>
      </c>
      <c r="H175" s="1">
        <v>0</v>
      </c>
      <c r="I175" s="1">
        <v>2</v>
      </c>
      <c r="J175" s="1">
        <v>4</v>
      </c>
    </row>
    <row r="176" spans="1:10" x14ac:dyDescent="0.2">
      <c r="A176" s="1">
        <v>708</v>
      </c>
      <c r="B176" s="1">
        <v>0</v>
      </c>
      <c r="C176" s="1">
        <v>11</v>
      </c>
      <c r="D176" s="1">
        <v>4</v>
      </c>
      <c r="E176" s="1">
        <v>2</v>
      </c>
      <c r="F176" s="1">
        <v>5</v>
      </c>
      <c r="G176" s="1">
        <v>1</v>
      </c>
      <c r="H176" s="1">
        <v>0</v>
      </c>
      <c r="I176" s="1">
        <v>3</v>
      </c>
      <c r="J176" s="1">
        <v>4</v>
      </c>
    </row>
    <row r="177" spans="1:10" x14ac:dyDescent="0.2">
      <c r="A177" s="1">
        <v>1790</v>
      </c>
      <c r="B177" s="1">
        <v>0</v>
      </c>
      <c r="C177" s="1">
        <v>13</v>
      </c>
      <c r="D177" s="1">
        <v>1</v>
      </c>
      <c r="E177" s="1">
        <v>2</v>
      </c>
      <c r="F177" s="1">
        <v>5</v>
      </c>
      <c r="G177" s="1">
        <v>1</v>
      </c>
      <c r="H177" s="1">
        <v>0</v>
      </c>
      <c r="I177" s="1">
        <v>1</v>
      </c>
      <c r="J177" s="1">
        <v>4</v>
      </c>
    </row>
    <row r="178" spans="1:10" x14ac:dyDescent="0.2">
      <c r="A178" s="1">
        <v>2102</v>
      </c>
      <c r="B178" s="1">
        <v>0</v>
      </c>
      <c r="C178" s="1">
        <v>14</v>
      </c>
      <c r="D178" s="1">
        <v>4</v>
      </c>
      <c r="E178" s="1">
        <v>2</v>
      </c>
      <c r="F178" s="1">
        <v>5</v>
      </c>
      <c r="G178" s="1">
        <v>1</v>
      </c>
      <c r="H178" s="1">
        <v>0</v>
      </c>
      <c r="I178" s="1">
        <v>2</v>
      </c>
      <c r="J178" s="1">
        <v>4</v>
      </c>
    </row>
    <row r="179" spans="1:10" x14ac:dyDescent="0.2">
      <c r="A179" s="1">
        <v>79</v>
      </c>
      <c r="B179" s="1">
        <v>0</v>
      </c>
      <c r="C179" s="1">
        <v>15</v>
      </c>
      <c r="D179" s="1">
        <v>3</v>
      </c>
      <c r="E179" s="1">
        <v>3</v>
      </c>
      <c r="F179" s="1">
        <v>5</v>
      </c>
      <c r="G179" s="1">
        <v>1</v>
      </c>
      <c r="H179" s="1">
        <v>1</v>
      </c>
      <c r="I179" s="1">
        <v>2</v>
      </c>
      <c r="J179" s="1">
        <v>4</v>
      </c>
    </row>
    <row r="180" spans="1:10" x14ac:dyDescent="0.2">
      <c r="A180" s="1">
        <v>356</v>
      </c>
      <c r="B180" s="1">
        <v>0</v>
      </c>
      <c r="C180" s="1">
        <v>19</v>
      </c>
      <c r="D180" s="1">
        <v>4</v>
      </c>
      <c r="E180" s="1">
        <v>3</v>
      </c>
      <c r="F180" s="1">
        <v>5</v>
      </c>
      <c r="G180" s="1">
        <v>1</v>
      </c>
      <c r="H180" s="1">
        <v>0</v>
      </c>
      <c r="I180" s="1">
        <v>3</v>
      </c>
      <c r="J180" s="1">
        <v>4</v>
      </c>
    </row>
    <row r="181" spans="1:10" x14ac:dyDescent="0.2">
      <c r="A181" s="1">
        <v>1612</v>
      </c>
      <c r="B181" s="1">
        <v>0</v>
      </c>
      <c r="C181" s="1">
        <v>14</v>
      </c>
      <c r="D181" s="1">
        <v>5</v>
      </c>
      <c r="E181" s="1">
        <v>1</v>
      </c>
      <c r="F181" s="1">
        <v>6</v>
      </c>
      <c r="G181" s="1">
        <v>1</v>
      </c>
      <c r="H181" s="1">
        <v>0</v>
      </c>
      <c r="I181" s="1">
        <v>0</v>
      </c>
      <c r="J181" s="1">
        <v>4</v>
      </c>
    </row>
    <row r="182" spans="1:10" x14ac:dyDescent="0.2">
      <c r="A182" s="1">
        <v>1902</v>
      </c>
      <c r="B182" s="1">
        <v>0</v>
      </c>
      <c r="C182" s="1">
        <v>16</v>
      </c>
      <c r="D182" s="1">
        <v>4</v>
      </c>
      <c r="E182" s="1">
        <v>1</v>
      </c>
      <c r="F182" s="1">
        <v>6</v>
      </c>
      <c r="G182" s="1">
        <v>1</v>
      </c>
      <c r="H182" s="1">
        <v>0</v>
      </c>
      <c r="I182" s="1">
        <v>0</v>
      </c>
      <c r="J182" s="1">
        <v>4</v>
      </c>
    </row>
    <row r="183" spans="1:10" x14ac:dyDescent="0.2">
      <c r="A183" s="1">
        <v>490</v>
      </c>
      <c r="B183" s="1">
        <v>0</v>
      </c>
      <c r="C183" s="1">
        <v>18</v>
      </c>
      <c r="D183" s="1">
        <v>5</v>
      </c>
      <c r="E183" s="1">
        <v>1</v>
      </c>
      <c r="F183" s="1">
        <v>6</v>
      </c>
      <c r="G183" s="1">
        <v>1</v>
      </c>
      <c r="H183" s="1">
        <v>1</v>
      </c>
      <c r="I183" s="1">
        <v>0</v>
      </c>
      <c r="J183" s="1">
        <v>4</v>
      </c>
    </row>
    <row r="184" spans="1:10" x14ac:dyDescent="0.2">
      <c r="A184" s="1">
        <v>1126</v>
      </c>
      <c r="B184" s="1">
        <v>0</v>
      </c>
      <c r="C184" s="1">
        <v>7</v>
      </c>
      <c r="D184" s="1">
        <v>2</v>
      </c>
      <c r="E184" s="1">
        <v>2</v>
      </c>
      <c r="F184" s="1">
        <v>6</v>
      </c>
      <c r="G184" s="1">
        <v>1</v>
      </c>
      <c r="H184" s="1">
        <v>0</v>
      </c>
      <c r="I184" s="1">
        <v>3</v>
      </c>
      <c r="J184" s="1">
        <v>4</v>
      </c>
    </row>
    <row r="185" spans="1:10" x14ac:dyDescent="0.2">
      <c r="A185" s="1">
        <v>1542</v>
      </c>
      <c r="B185" s="1">
        <v>0</v>
      </c>
      <c r="C185" s="1">
        <v>10</v>
      </c>
      <c r="D185" s="1">
        <v>4</v>
      </c>
      <c r="E185" s="1">
        <v>2</v>
      </c>
      <c r="F185" s="1">
        <v>6</v>
      </c>
      <c r="G185" s="1">
        <v>1</v>
      </c>
      <c r="H185" s="1">
        <v>0</v>
      </c>
      <c r="I185" s="1">
        <v>3</v>
      </c>
      <c r="J185" s="1">
        <v>4</v>
      </c>
    </row>
    <row r="186" spans="1:10" x14ac:dyDescent="0.2">
      <c r="A186" s="1">
        <v>228</v>
      </c>
      <c r="B186" s="1">
        <v>0</v>
      </c>
      <c r="C186" s="1">
        <v>10</v>
      </c>
      <c r="D186" s="1">
        <v>5</v>
      </c>
      <c r="E186" s="1">
        <v>3</v>
      </c>
      <c r="F186" s="1">
        <v>6</v>
      </c>
      <c r="G186" s="1">
        <v>1</v>
      </c>
      <c r="H186" s="1">
        <v>0</v>
      </c>
      <c r="I186" s="1">
        <v>2</v>
      </c>
      <c r="J186" s="1">
        <v>4</v>
      </c>
    </row>
    <row r="187" spans="1:10" x14ac:dyDescent="0.2">
      <c r="A187" s="1">
        <v>1388</v>
      </c>
      <c r="B187" s="1">
        <v>0</v>
      </c>
      <c r="C187" s="1">
        <v>16</v>
      </c>
      <c r="D187" s="1">
        <v>1</v>
      </c>
      <c r="E187" s="1">
        <v>3</v>
      </c>
      <c r="F187" s="1">
        <v>6</v>
      </c>
      <c r="G187" s="1">
        <v>1</v>
      </c>
      <c r="H187" s="1">
        <v>1</v>
      </c>
      <c r="I187" s="1">
        <v>2</v>
      </c>
      <c r="J187" s="1">
        <v>4</v>
      </c>
    </row>
    <row r="188" spans="1:10" x14ac:dyDescent="0.2">
      <c r="A188" s="1">
        <v>21</v>
      </c>
      <c r="B188" s="1">
        <v>0</v>
      </c>
      <c r="C188" s="1">
        <v>18</v>
      </c>
      <c r="D188" s="1">
        <v>2</v>
      </c>
      <c r="E188" s="1">
        <v>3</v>
      </c>
      <c r="F188" s="1">
        <v>6</v>
      </c>
      <c r="G188" s="1">
        <v>1</v>
      </c>
      <c r="H188" s="1">
        <v>1</v>
      </c>
      <c r="I188" s="1">
        <v>1</v>
      </c>
      <c r="J188" s="1">
        <v>4</v>
      </c>
    </row>
    <row r="189" spans="1:10" x14ac:dyDescent="0.2">
      <c r="A189" s="1">
        <v>43</v>
      </c>
      <c r="B189" s="1">
        <v>0</v>
      </c>
      <c r="C189" s="1">
        <v>7</v>
      </c>
      <c r="D189" s="1">
        <v>2</v>
      </c>
      <c r="E189" s="1">
        <v>1</v>
      </c>
      <c r="F189" s="1">
        <v>7</v>
      </c>
      <c r="G189" s="1">
        <v>1</v>
      </c>
      <c r="H189" s="1">
        <v>1</v>
      </c>
      <c r="I189" s="1">
        <v>2</v>
      </c>
      <c r="J189" s="1">
        <v>4</v>
      </c>
    </row>
    <row r="190" spans="1:10" x14ac:dyDescent="0.2">
      <c r="A190" s="1">
        <v>2457</v>
      </c>
      <c r="B190" s="1">
        <v>0</v>
      </c>
      <c r="C190" s="1">
        <v>8</v>
      </c>
      <c r="D190" s="1">
        <v>4</v>
      </c>
      <c r="E190" s="1">
        <v>1</v>
      </c>
      <c r="F190" s="1">
        <v>7</v>
      </c>
      <c r="G190" s="1">
        <v>1</v>
      </c>
      <c r="H190" s="1">
        <v>1</v>
      </c>
      <c r="I190" s="1">
        <v>0</v>
      </c>
      <c r="J190" s="1">
        <v>4</v>
      </c>
    </row>
    <row r="191" spans="1:10" x14ac:dyDescent="0.2">
      <c r="A191" s="1">
        <v>1653</v>
      </c>
      <c r="B191" s="1">
        <v>0</v>
      </c>
      <c r="C191" s="1">
        <v>16</v>
      </c>
      <c r="D191" s="1">
        <v>5</v>
      </c>
      <c r="E191" s="1">
        <v>2</v>
      </c>
      <c r="F191" s="1">
        <v>7</v>
      </c>
      <c r="G191" s="1">
        <v>1</v>
      </c>
      <c r="H191" s="1">
        <v>0</v>
      </c>
      <c r="I191" s="1">
        <v>0</v>
      </c>
      <c r="J191" s="1">
        <v>4</v>
      </c>
    </row>
    <row r="192" spans="1:10" x14ac:dyDescent="0.2">
      <c r="A192" s="1">
        <v>546</v>
      </c>
      <c r="B192" s="1">
        <v>0</v>
      </c>
      <c r="C192" s="1">
        <v>17</v>
      </c>
      <c r="D192" s="1">
        <v>3</v>
      </c>
      <c r="E192" s="1">
        <v>2</v>
      </c>
      <c r="F192" s="1">
        <v>7</v>
      </c>
      <c r="G192" s="1">
        <v>1</v>
      </c>
      <c r="H192" s="1">
        <v>0</v>
      </c>
      <c r="I192" s="1">
        <v>1</v>
      </c>
      <c r="J192" s="1">
        <v>4</v>
      </c>
    </row>
    <row r="193" spans="1:10" x14ac:dyDescent="0.2">
      <c r="A193" s="1">
        <v>1794</v>
      </c>
      <c r="B193" s="1">
        <v>0</v>
      </c>
      <c r="C193" s="1">
        <v>10</v>
      </c>
      <c r="D193" s="1">
        <v>1</v>
      </c>
      <c r="E193" s="1">
        <v>3</v>
      </c>
      <c r="F193" s="1">
        <v>7</v>
      </c>
      <c r="G193" s="1">
        <v>1</v>
      </c>
      <c r="H193" s="1">
        <v>1</v>
      </c>
      <c r="I193" s="1">
        <v>1</v>
      </c>
      <c r="J193" s="1">
        <v>4</v>
      </c>
    </row>
    <row r="194" spans="1:10" x14ac:dyDescent="0.2">
      <c r="A194" s="1">
        <v>2490</v>
      </c>
      <c r="B194" s="1">
        <v>0</v>
      </c>
      <c r="C194" s="1">
        <v>11</v>
      </c>
      <c r="D194" s="1">
        <v>5</v>
      </c>
      <c r="E194" s="1">
        <v>3</v>
      </c>
      <c r="F194" s="1">
        <v>7</v>
      </c>
      <c r="G194" s="1">
        <v>1</v>
      </c>
      <c r="H194" s="1">
        <v>1</v>
      </c>
      <c r="I194" s="1">
        <v>1</v>
      </c>
      <c r="J194" s="1">
        <v>4</v>
      </c>
    </row>
    <row r="195" spans="1:10" x14ac:dyDescent="0.2">
      <c r="A195" s="1">
        <v>449</v>
      </c>
      <c r="B195" s="1">
        <v>0</v>
      </c>
      <c r="C195" s="1">
        <v>15</v>
      </c>
      <c r="D195" s="1">
        <v>5</v>
      </c>
      <c r="E195" s="1">
        <v>3</v>
      </c>
      <c r="F195" s="1">
        <v>7</v>
      </c>
      <c r="G195" s="1">
        <v>1</v>
      </c>
      <c r="H195" s="1">
        <v>0</v>
      </c>
      <c r="I195" s="1">
        <v>1</v>
      </c>
      <c r="J195" s="1">
        <v>4</v>
      </c>
    </row>
    <row r="196" spans="1:10" x14ac:dyDescent="0.2">
      <c r="A196" s="1">
        <v>1665</v>
      </c>
      <c r="B196" s="1">
        <v>0</v>
      </c>
      <c r="C196" s="1">
        <v>10</v>
      </c>
      <c r="D196" s="1">
        <v>4</v>
      </c>
      <c r="E196" s="1">
        <v>1</v>
      </c>
      <c r="F196" s="1">
        <v>8</v>
      </c>
      <c r="G196" s="1">
        <v>1</v>
      </c>
      <c r="H196" s="1">
        <v>1</v>
      </c>
      <c r="I196" s="1">
        <v>3</v>
      </c>
      <c r="J196" s="1">
        <v>4</v>
      </c>
    </row>
    <row r="197" spans="1:10" x14ac:dyDescent="0.2">
      <c r="A197" s="1">
        <v>1033</v>
      </c>
      <c r="B197" s="1">
        <v>0</v>
      </c>
      <c r="C197" s="1">
        <v>11</v>
      </c>
      <c r="D197" s="1">
        <v>5</v>
      </c>
      <c r="E197" s="1">
        <v>1</v>
      </c>
      <c r="F197" s="1">
        <v>8</v>
      </c>
      <c r="G197" s="1">
        <v>1</v>
      </c>
      <c r="H197" s="1">
        <v>1</v>
      </c>
      <c r="I197" s="1">
        <v>3</v>
      </c>
      <c r="J197" s="1">
        <v>4</v>
      </c>
    </row>
    <row r="198" spans="1:10" x14ac:dyDescent="0.2">
      <c r="A198" s="1">
        <v>575</v>
      </c>
      <c r="B198" s="1">
        <v>0</v>
      </c>
      <c r="C198" s="1">
        <v>12</v>
      </c>
      <c r="D198" s="1">
        <v>1</v>
      </c>
      <c r="E198" s="1">
        <v>1</v>
      </c>
      <c r="F198" s="1">
        <v>8</v>
      </c>
      <c r="G198" s="1">
        <v>1</v>
      </c>
      <c r="H198" s="1">
        <v>1</v>
      </c>
      <c r="I198" s="1">
        <v>3</v>
      </c>
      <c r="J198" s="1">
        <v>4</v>
      </c>
    </row>
    <row r="199" spans="1:10" x14ac:dyDescent="0.2">
      <c r="A199" s="1">
        <v>727</v>
      </c>
      <c r="B199" s="1">
        <v>0</v>
      </c>
      <c r="C199" s="1">
        <v>8</v>
      </c>
      <c r="D199" s="1">
        <v>3</v>
      </c>
      <c r="E199" s="1">
        <v>2</v>
      </c>
      <c r="F199" s="1">
        <v>8</v>
      </c>
      <c r="G199" s="1">
        <v>1</v>
      </c>
      <c r="H199" s="1">
        <v>0</v>
      </c>
      <c r="I199" s="1">
        <v>0</v>
      </c>
      <c r="J199" s="1">
        <v>4</v>
      </c>
    </row>
    <row r="200" spans="1:10" x14ac:dyDescent="0.2">
      <c r="A200" s="1">
        <v>1175</v>
      </c>
      <c r="B200" s="1">
        <v>0</v>
      </c>
      <c r="C200" s="1">
        <v>13</v>
      </c>
      <c r="D200" s="1">
        <v>5</v>
      </c>
      <c r="E200" s="1">
        <v>2</v>
      </c>
      <c r="F200" s="1">
        <v>8</v>
      </c>
      <c r="G200" s="1">
        <v>1</v>
      </c>
      <c r="H200" s="1">
        <v>0</v>
      </c>
      <c r="I200" s="1">
        <v>3</v>
      </c>
      <c r="J200" s="1">
        <v>4</v>
      </c>
    </row>
    <row r="201" spans="1:10" x14ac:dyDescent="0.2">
      <c r="A201" s="1">
        <v>2183</v>
      </c>
      <c r="B201" s="1">
        <v>0</v>
      </c>
      <c r="C201" s="1">
        <v>6</v>
      </c>
      <c r="D201" s="1">
        <v>3</v>
      </c>
      <c r="E201" s="1">
        <v>3</v>
      </c>
      <c r="F201" s="1">
        <v>8</v>
      </c>
      <c r="G201" s="1">
        <v>1</v>
      </c>
      <c r="H201" s="1">
        <v>1</v>
      </c>
      <c r="I201" s="1">
        <v>1</v>
      </c>
      <c r="J201" s="1">
        <v>4</v>
      </c>
    </row>
    <row r="202" spans="1:10" x14ac:dyDescent="0.2">
      <c r="A202" s="1">
        <v>814</v>
      </c>
      <c r="B202" s="1">
        <v>0</v>
      </c>
      <c r="C202" s="1">
        <v>13</v>
      </c>
      <c r="D202" s="1">
        <v>3</v>
      </c>
      <c r="E202" s="1">
        <v>1</v>
      </c>
      <c r="F202" s="1">
        <v>9</v>
      </c>
      <c r="G202" s="1">
        <v>1</v>
      </c>
      <c r="H202" s="1">
        <v>0</v>
      </c>
      <c r="I202" s="1">
        <v>2</v>
      </c>
      <c r="J202" s="1">
        <v>4</v>
      </c>
    </row>
    <row r="203" spans="1:10" x14ac:dyDescent="0.2">
      <c r="A203" s="1">
        <v>2405</v>
      </c>
      <c r="B203" s="1">
        <v>0</v>
      </c>
      <c r="C203" s="1">
        <v>8</v>
      </c>
      <c r="D203" s="1">
        <v>1</v>
      </c>
      <c r="E203" s="1">
        <v>2</v>
      </c>
      <c r="F203" s="1">
        <v>9</v>
      </c>
      <c r="G203" s="1">
        <v>1</v>
      </c>
      <c r="H203" s="1">
        <v>1</v>
      </c>
      <c r="I203" s="1">
        <v>0</v>
      </c>
      <c r="J203" s="1">
        <v>4</v>
      </c>
    </row>
    <row r="204" spans="1:10" x14ac:dyDescent="0.2">
      <c r="A204" s="1">
        <v>1031</v>
      </c>
      <c r="B204" s="1">
        <v>0</v>
      </c>
      <c r="C204" s="1">
        <v>12</v>
      </c>
      <c r="D204" s="1">
        <v>2</v>
      </c>
      <c r="E204" s="1">
        <v>2</v>
      </c>
      <c r="F204" s="1">
        <v>9</v>
      </c>
      <c r="G204" s="1">
        <v>1</v>
      </c>
      <c r="H204" s="1">
        <v>1</v>
      </c>
      <c r="I204" s="1">
        <v>1</v>
      </c>
      <c r="J204" s="1">
        <v>4</v>
      </c>
    </row>
    <row r="205" spans="1:10" x14ac:dyDescent="0.2">
      <c r="A205" s="1">
        <v>1189</v>
      </c>
      <c r="B205" s="1">
        <v>0</v>
      </c>
      <c r="C205" s="1">
        <v>14</v>
      </c>
      <c r="D205" s="1">
        <v>5</v>
      </c>
      <c r="E205" s="1">
        <v>2</v>
      </c>
      <c r="F205" s="1">
        <v>9</v>
      </c>
      <c r="G205" s="1">
        <v>1</v>
      </c>
      <c r="H205" s="1">
        <v>0</v>
      </c>
      <c r="I205" s="1">
        <v>2</v>
      </c>
      <c r="J205" s="1">
        <v>4</v>
      </c>
    </row>
    <row r="206" spans="1:10" x14ac:dyDescent="0.2">
      <c r="A206" s="1">
        <v>548</v>
      </c>
      <c r="B206" s="1">
        <v>0</v>
      </c>
      <c r="C206" s="1">
        <v>16</v>
      </c>
      <c r="D206" s="1">
        <v>5</v>
      </c>
      <c r="E206" s="1">
        <v>2</v>
      </c>
      <c r="F206" s="1">
        <v>9</v>
      </c>
      <c r="G206" s="1">
        <v>1</v>
      </c>
      <c r="H206" s="1">
        <v>0</v>
      </c>
      <c r="I206" s="1">
        <v>0</v>
      </c>
      <c r="J206" s="1">
        <v>4</v>
      </c>
    </row>
    <row r="207" spans="1:10" x14ac:dyDescent="0.2">
      <c r="A207" s="1">
        <v>1576</v>
      </c>
      <c r="B207" s="1">
        <v>0</v>
      </c>
      <c r="C207" s="1">
        <v>17</v>
      </c>
      <c r="D207" s="1">
        <v>4</v>
      </c>
      <c r="E207" s="1">
        <v>2</v>
      </c>
      <c r="F207" s="1">
        <v>9</v>
      </c>
      <c r="G207" s="1">
        <v>1</v>
      </c>
      <c r="H207" s="1">
        <v>0</v>
      </c>
      <c r="I207" s="1">
        <v>0</v>
      </c>
      <c r="J207" s="1">
        <v>4</v>
      </c>
    </row>
    <row r="208" spans="1:10" x14ac:dyDescent="0.2">
      <c r="A208" s="1">
        <v>350</v>
      </c>
      <c r="B208" s="1">
        <v>0</v>
      </c>
      <c r="C208" s="1">
        <v>14</v>
      </c>
      <c r="D208" s="1">
        <v>2</v>
      </c>
      <c r="E208" s="1">
        <v>3</v>
      </c>
      <c r="F208" s="1">
        <v>9</v>
      </c>
      <c r="G208" s="1">
        <v>1</v>
      </c>
      <c r="H208" s="1">
        <v>1</v>
      </c>
      <c r="I208" s="1">
        <v>1</v>
      </c>
      <c r="J208" s="1">
        <v>4</v>
      </c>
    </row>
    <row r="209" spans="1:10" x14ac:dyDescent="0.2">
      <c r="A209" s="1">
        <v>864</v>
      </c>
      <c r="B209" s="1">
        <v>0</v>
      </c>
      <c r="C209" s="1">
        <v>12</v>
      </c>
      <c r="D209" s="1">
        <v>4</v>
      </c>
      <c r="E209" s="1">
        <v>1</v>
      </c>
      <c r="F209" s="1">
        <v>10</v>
      </c>
      <c r="G209" s="1">
        <v>1</v>
      </c>
      <c r="H209" s="1">
        <v>1</v>
      </c>
      <c r="I209" s="1">
        <v>2</v>
      </c>
      <c r="J209" s="1">
        <v>4</v>
      </c>
    </row>
    <row r="210" spans="1:10" x14ac:dyDescent="0.2">
      <c r="A210" s="1">
        <v>2264</v>
      </c>
      <c r="B210" s="1">
        <v>0</v>
      </c>
      <c r="C210" s="1">
        <v>12</v>
      </c>
      <c r="D210" s="1">
        <v>4</v>
      </c>
      <c r="E210" s="1">
        <v>1</v>
      </c>
      <c r="F210" s="1">
        <v>10</v>
      </c>
      <c r="G210" s="1">
        <v>1</v>
      </c>
      <c r="H210" s="1">
        <v>0</v>
      </c>
      <c r="I210" s="1">
        <v>2</v>
      </c>
      <c r="J210" s="1">
        <v>4</v>
      </c>
    </row>
    <row r="211" spans="1:10" x14ac:dyDescent="0.2">
      <c r="A211" s="1">
        <v>2322</v>
      </c>
      <c r="B211" s="1">
        <v>0</v>
      </c>
      <c r="C211" s="1">
        <v>19</v>
      </c>
      <c r="D211" s="1">
        <v>2</v>
      </c>
      <c r="E211" s="1">
        <v>1</v>
      </c>
      <c r="F211" s="1">
        <v>10</v>
      </c>
      <c r="G211" s="1">
        <v>1</v>
      </c>
      <c r="H211" s="1">
        <v>1</v>
      </c>
      <c r="I211" s="1">
        <v>2</v>
      </c>
      <c r="J211" s="1">
        <v>4</v>
      </c>
    </row>
    <row r="212" spans="1:10" x14ac:dyDescent="0.2">
      <c r="A212" s="1">
        <v>2499</v>
      </c>
      <c r="B212" s="1">
        <v>0</v>
      </c>
      <c r="C212" s="1">
        <v>6</v>
      </c>
      <c r="D212" s="1">
        <v>2</v>
      </c>
      <c r="E212" s="1">
        <v>2</v>
      </c>
      <c r="F212" s="1">
        <v>10</v>
      </c>
      <c r="G212" s="1">
        <v>1</v>
      </c>
      <c r="H212" s="1">
        <v>1</v>
      </c>
      <c r="I212" s="1">
        <v>2</v>
      </c>
      <c r="J212" s="1">
        <v>4</v>
      </c>
    </row>
    <row r="213" spans="1:10" x14ac:dyDescent="0.2">
      <c r="A213" s="1">
        <v>2058</v>
      </c>
      <c r="B213" s="1">
        <v>0</v>
      </c>
      <c r="C213" s="1">
        <v>8</v>
      </c>
      <c r="D213" s="1">
        <v>1</v>
      </c>
      <c r="E213" s="1">
        <v>2</v>
      </c>
      <c r="F213" s="1">
        <v>10</v>
      </c>
      <c r="G213" s="1">
        <v>1</v>
      </c>
      <c r="H213" s="1">
        <v>0</v>
      </c>
      <c r="I213" s="1">
        <v>3</v>
      </c>
      <c r="J213" s="1">
        <v>4</v>
      </c>
    </row>
    <row r="214" spans="1:10" x14ac:dyDescent="0.2">
      <c r="A214" s="1">
        <v>2257</v>
      </c>
      <c r="B214" s="1">
        <v>0</v>
      </c>
      <c r="C214" s="1">
        <v>16</v>
      </c>
      <c r="D214" s="1">
        <v>1</v>
      </c>
      <c r="E214" s="1">
        <v>2</v>
      </c>
      <c r="F214" s="1">
        <v>10</v>
      </c>
      <c r="G214" s="1">
        <v>1</v>
      </c>
      <c r="H214" s="1">
        <v>0</v>
      </c>
      <c r="I214" s="1">
        <v>1</v>
      </c>
      <c r="J214" s="1">
        <v>4</v>
      </c>
    </row>
    <row r="215" spans="1:10" x14ac:dyDescent="0.2">
      <c r="A215" s="1">
        <v>1183</v>
      </c>
      <c r="B215" s="1">
        <v>0</v>
      </c>
      <c r="C215" s="1">
        <v>19</v>
      </c>
      <c r="D215" s="1">
        <v>2</v>
      </c>
      <c r="E215" s="1">
        <v>2</v>
      </c>
      <c r="F215" s="1">
        <v>10</v>
      </c>
      <c r="G215" s="1">
        <v>1</v>
      </c>
      <c r="H215" s="1">
        <v>0</v>
      </c>
      <c r="I215" s="1">
        <v>0</v>
      </c>
      <c r="J215" s="1">
        <v>4</v>
      </c>
    </row>
    <row r="216" spans="1:10" x14ac:dyDescent="0.2">
      <c r="A216" s="1">
        <v>915</v>
      </c>
      <c r="B216" s="1">
        <v>0</v>
      </c>
      <c r="C216" s="1">
        <v>18</v>
      </c>
      <c r="D216" s="1">
        <v>1</v>
      </c>
      <c r="E216" s="1">
        <v>3</v>
      </c>
      <c r="F216" s="1">
        <v>10</v>
      </c>
      <c r="G216" s="1">
        <v>1</v>
      </c>
      <c r="H216" s="1">
        <v>1</v>
      </c>
      <c r="I216" s="1">
        <v>1</v>
      </c>
      <c r="J216" s="1">
        <v>4</v>
      </c>
    </row>
    <row r="217" spans="1:10" x14ac:dyDescent="0.2">
      <c r="A217" s="1">
        <v>2318</v>
      </c>
      <c r="B217" s="1">
        <v>0</v>
      </c>
      <c r="C217" s="1">
        <v>20</v>
      </c>
      <c r="D217" s="1">
        <v>3</v>
      </c>
      <c r="E217" s="1">
        <v>3</v>
      </c>
      <c r="F217" s="1">
        <v>10</v>
      </c>
      <c r="G217" s="1">
        <v>1</v>
      </c>
      <c r="H217" s="1">
        <v>0</v>
      </c>
      <c r="I217" s="1">
        <v>1</v>
      </c>
      <c r="J217" s="1">
        <v>4</v>
      </c>
    </row>
    <row r="218" spans="1:10" x14ac:dyDescent="0.2">
      <c r="A218" s="1">
        <v>1812</v>
      </c>
      <c r="B218" s="1">
        <v>0</v>
      </c>
      <c r="C218" s="1">
        <v>18</v>
      </c>
      <c r="D218" s="1">
        <v>2</v>
      </c>
      <c r="E218" s="1">
        <v>2</v>
      </c>
      <c r="F218" s="1">
        <v>1</v>
      </c>
      <c r="G218" s="1">
        <v>1</v>
      </c>
      <c r="H218" s="1">
        <v>0</v>
      </c>
      <c r="I218" s="1">
        <v>3</v>
      </c>
      <c r="J218" s="1">
        <v>5</v>
      </c>
    </row>
    <row r="219" spans="1:10" x14ac:dyDescent="0.2">
      <c r="A219" s="1">
        <v>2374</v>
      </c>
      <c r="B219" s="1">
        <v>0</v>
      </c>
      <c r="C219" s="1">
        <v>13</v>
      </c>
      <c r="D219" s="1">
        <v>3</v>
      </c>
      <c r="E219" s="1">
        <v>3</v>
      </c>
      <c r="F219" s="1">
        <v>1</v>
      </c>
      <c r="G219" s="1">
        <v>1</v>
      </c>
      <c r="H219" s="1">
        <v>0</v>
      </c>
      <c r="I219" s="1">
        <v>0</v>
      </c>
      <c r="J219" s="1">
        <v>5</v>
      </c>
    </row>
    <row r="220" spans="1:10" x14ac:dyDescent="0.2">
      <c r="A220" s="1">
        <v>295</v>
      </c>
      <c r="B220" s="1">
        <v>0</v>
      </c>
      <c r="C220" s="1">
        <v>15</v>
      </c>
      <c r="D220" s="1">
        <v>5</v>
      </c>
      <c r="E220" s="1">
        <v>3</v>
      </c>
      <c r="F220" s="1">
        <v>1</v>
      </c>
      <c r="G220" s="1">
        <v>1</v>
      </c>
      <c r="H220" s="1">
        <v>0</v>
      </c>
      <c r="I220" s="1">
        <v>3</v>
      </c>
      <c r="J220" s="1">
        <v>5</v>
      </c>
    </row>
    <row r="221" spans="1:10" x14ac:dyDescent="0.2">
      <c r="A221" s="1">
        <v>734</v>
      </c>
      <c r="B221" s="1">
        <v>0</v>
      </c>
      <c r="C221" s="1">
        <v>17</v>
      </c>
      <c r="D221" s="1">
        <v>5</v>
      </c>
      <c r="E221" s="1">
        <v>3</v>
      </c>
      <c r="F221" s="1">
        <v>1</v>
      </c>
      <c r="G221" s="1">
        <v>1</v>
      </c>
      <c r="H221" s="1">
        <v>1</v>
      </c>
      <c r="I221" s="1">
        <v>1</v>
      </c>
      <c r="J221" s="1">
        <v>5</v>
      </c>
    </row>
    <row r="222" spans="1:10" x14ac:dyDescent="0.2">
      <c r="A222" s="1">
        <v>656</v>
      </c>
      <c r="B222" s="1">
        <v>0</v>
      </c>
      <c r="C222" s="1">
        <v>18</v>
      </c>
      <c r="D222" s="1">
        <v>1</v>
      </c>
      <c r="E222" s="1">
        <v>1</v>
      </c>
      <c r="F222" s="1">
        <v>2</v>
      </c>
      <c r="G222" s="1">
        <v>1</v>
      </c>
      <c r="H222" s="1">
        <v>1</v>
      </c>
      <c r="I222" s="1">
        <v>1</v>
      </c>
      <c r="J222" s="1">
        <v>5</v>
      </c>
    </row>
    <row r="223" spans="1:10" x14ac:dyDescent="0.2">
      <c r="A223" s="1">
        <v>1506</v>
      </c>
      <c r="B223" s="1">
        <v>0</v>
      </c>
      <c r="C223" s="1">
        <v>6</v>
      </c>
      <c r="D223" s="1">
        <v>5</v>
      </c>
      <c r="E223" s="1">
        <v>2</v>
      </c>
      <c r="F223" s="1">
        <v>2</v>
      </c>
      <c r="G223" s="1">
        <v>1</v>
      </c>
      <c r="H223" s="1">
        <v>0</v>
      </c>
      <c r="I223" s="1">
        <v>1</v>
      </c>
      <c r="J223" s="1">
        <v>5</v>
      </c>
    </row>
    <row r="224" spans="1:10" x14ac:dyDescent="0.2">
      <c r="A224" s="1">
        <v>2142</v>
      </c>
      <c r="B224" s="1">
        <v>0</v>
      </c>
      <c r="C224" s="1">
        <v>15</v>
      </c>
      <c r="D224" s="1">
        <v>5</v>
      </c>
      <c r="E224" s="1">
        <v>2</v>
      </c>
      <c r="F224" s="1">
        <v>2</v>
      </c>
      <c r="G224" s="1">
        <v>1</v>
      </c>
      <c r="H224" s="1">
        <v>1</v>
      </c>
      <c r="I224" s="1">
        <v>2</v>
      </c>
      <c r="J224" s="1">
        <v>5</v>
      </c>
    </row>
    <row r="225" spans="1:10" x14ac:dyDescent="0.2">
      <c r="A225" s="1">
        <v>9</v>
      </c>
      <c r="B225" s="1">
        <v>0</v>
      </c>
      <c r="C225" s="1">
        <v>8</v>
      </c>
      <c r="D225" s="1">
        <v>3</v>
      </c>
      <c r="E225" s="1">
        <v>3</v>
      </c>
      <c r="F225" s="1">
        <v>2</v>
      </c>
      <c r="G225" s="1">
        <v>1</v>
      </c>
      <c r="H225" s="1">
        <v>0</v>
      </c>
      <c r="I225" s="1">
        <v>2</v>
      </c>
      <c r="J225" s="1">
        <v>5</v>
      </c>
    </row>
    <row r="226" spans="1:10" x14ac:dyDescent="0.2">
      <c r="A226" s="1">
        <v>1817</v>
      </c>
      <c r="B226" s="1">
        <v>0</v>
      </c>
      <c r="C226" s="1">
        <v>8</v>
      </c>
      <c r="D226" s="1">
        <v>2</v>
      </c>
      <c r="E226" s="1">
        <v>1</v>
      </c>
      <c r="F226" s="1">
        <v>3</v>
      </c>
      <c r="G226" s="1">
        <v>1</v>
      </c>
      <c r="H226" s="1">
        <v>0</v>
      </c>
      <c r="I226" s="1">
        <v>3</v>
      </c>
      <c r="J226" s="1">
        <v>5</v>
      </c>
    </row>
    <row r="227" spans="1:10" x14ac:dyDescent="0.2">
      <c r="A227" s="1">
        <v>2435</v>
      </c>
      <c r="B227" s="1">
        <v>0</v>
      </c>
      <c r="C227" s="1">
        <v>11</v>
      </c>
      <c r="D227" s="1">
        <v>4</v>
      </c>
      <c r="E227" s="1">
        <v>1</v>
      </c>
      <c r="F227" s="1">
        <v>3</v>
      </c>
      <c r="G227" s="1">
        <v>1</v>
      </c>
      <c r="H227" s="1">
        <v>1</v>
      </c>
      <c r="I227" s="1">
        <v>2</v>
      </c>
      <c r="J227" s="1">
        <v>5</v>
      </c>
    </row>
    <row r="228" spans="1:10" x14ac:dyDescent="0.2">
      <c r="A228" s="1">
        <v>1940</v>
      </c>
      <c r="B228" s="1">
        <v>0</v>
      </c>
      <c r="C228" s="1">
        <v>11</v>
      </c>
      <c r="D228" s="1">
        <v>3</v>
      </c>
      <c r="E228" s="1">
        <v>2</v>
      </c>
      <c r="F228" s="1">
        <v>3</v>
      </c>
      <c r="G228" s="1">
        <v>1</v>
      </c>
      <c r="H228" s="1">
        <v>1</v>
      </c>
      <c r="I228" s="1">
        <v>1</v>
      </c>
      <c r="J228" s="1">
        <v>5</v>
      </c>
    </row>
    <row r="229" spans="1:10" x14ac:dyDescent="0.2">
      <c r="A229" s="1">
        <v>2101</v>
      </c>
      <c r="B229" s="1">
        <v>0</v>
      </c>
      <c r="C229" s="1">
        <v>11</v>
      </c>
      <c r="D229" s="1">
        <v>3</v>
      </c>
      <c r="E229" s="1">
        <v>2</v>
      </c>
      <c r="F229" s="1">
        <v>3</v>
      </c>
      <c r="G229" s="1">
        <v>1</v>
      </c>
      <c r="H229" s="1">
        <v>0</v>
      </c>
      <c r="I229" s="1">
        <v>3</v>
      </c>
      <c r="J229" s="1">
        <v>5</v>
      </c>
    </row>
    <row r="230" spans="1:10" x14ac:dyDescent="0.2">
      <c r="A230" s="1">
        <v>986</v>
      </c>
      <c r="B230" s="1">
        <v>0</v>
      </c>
      <c r="C230" s="1">
        <v>12</v>
      </c>
      <c r="D230" s="1">
        <v>4</v>
      </c>
      <c r="E230" s="1">
        <v>2</v>
      </c>
      <c r="F230" s="1">
        <v>3</v>
      </c>
      <c r="G230" s="1">
        <v>1</v>
      </c>
      <c r="H230" s="1">
        <v>1</v>
      </c>
      <c r="I230" s="1">
        <v>3</v>
      </c>
      <c r="J230" s="1">
        <v>5</v>
      </c>
    </row>
    <row r="231" spans="1:10" x14ac:dyDescent="0.2">
      <c r="A231" s="1">
        <v>1406</v>
      </c>
      <c r="B231" s="1">
        <v>0</v>
      </c>
      <c r="C231" s="1">
        <v>17</v>
      </c>
      <c r="D231" s="1">
        <v>4</v>
      </c>
      <c r="E231" s="1">
        <v>3</v>
      </c>
      <c r="F231" s="1">
        <v>3</v>
      </c>
      <c r="G231" s="1">
        <v>1</v>
      </c>
      <c r="H231" s="1">
        <v>1</v>
      </c>
      <c r="I231" s="1">
        <v>0</v>
      </c>
      <c r="J231" s="1">
        <v>5</v>
      </c>
    </row>
    <row r="232" spans="1:10" x14ac:dyDescent="0.2">
      <c r="A232" s="1">
        <v>1319</v>
      </c>
      <c r="B232" s="1">
        <v>0</v>
      </c>
      <c r="C232" s="1">
        <v>19</v>
      </c>
      <c r="D232" s="1">
        <v>2</v>
      </c>
      <c r="E232" s="1">
        <v>3</v>
      </c>
      <c r="F232" s="1">
        <v>3</v>
      </c>
      <c r="G232" s="1">
        <v>1</v>
      </c>
      <c r="H232" s="1">
        <v>0</v>
      </c>
      <c r="I232" s="1">
        <v>3</v>
      </c>
      <c r="J232" s="1">
        <v>5</v>
      </c>
    </row>
    <row r="233" spans="1:10" x14ac:dyDescent="0.2">
      <c r="A233" s="1">
        <v>876</v>
      </c>
      <c r="B233" s="1">
        <v>0</v>
      </c>
      <c r="C233" s="1">
        <v>12</v>
      </c>
      <c r="D233" s="1">
        <v>5</v>
      </c>
      <c r="E233" s="1">
        <v>1</v>
      </c>
      <c r="F233" s="1">
        <v>4</v>
      </c>
      <c r="G233" s="1">
        <v>1</v>
      </c>
      <c r="H233" s="1">
        <v>0</v>
      </c>
      <c r="I233" s="1">
        <v>1</v>
      </c>
      <c r="J233" s="1">
        <v>5</v>
      </c>
    </row>
    <row r="234" spans="1:10" x14ac:dyDescent="0.2">
      <c r="A234" s="1">
        <v>773</v>
      </c>
      <c r="B234" s="1">
        <v>0</v>
      </c>
      <c r="C234" s="1">
        <v>15</v>
      </c>
      <c r="D234" s="1">
        <v>1</v>
      </c>
      <c r="E234" s="1">
        <v>1</v>
      </c>
      <c r="F234" s="1">
        <v>4</v>
      </c>
      <c r="G234" s="1">
        <v>1</v>
      </c>
      <c r="H234" s="1">
        <v>1</v>
      </c>
      <c r="I234" s="1">
        <v>0</v>
      </c>
      <c r="J234" s="1">
        <v>5</v>
      </c>
    </row>
    <row r="235" spans="1:10" x14ac:dyDescent="0.2">
      <c r="A235" s="1">
        <v>478</v>
      </c>
      <c r="B235" s="1">
        <v>0</v>
      </c>
      <c r="C235" s="1">
        <v>13</v>
      </c>
      <c r="D235" s="1">
        <v>4</v>
      </c>
      <c r="E235" s="1">
        <v>3</v>
      </c>
      <c r="F235" s="1">
        <v>4</v>
      </c>
      <c r="G235" s="1">
        <v>1</v>
      </c>
      <c r="H235" s="1">
        <v>0</v>
      </c>
      <c r="I235" s="1">
        <v>2</v>
      </c>
      <c r="J235" s="1">
        <v>5</v>
      </c>
    </row>
    <row r="236" spans="1:10" x14ac:dyDescent="0.2">
      <c r="A236" s="1">
        <v>1896</v>
      </c>
      <c r="B236" s="1">
        <v>0</v>
      </c>
      <c r="C236" s="1">
        <v>13</v>
      </c>
      <c r="D236" s="1">
        <v>5</v>
      </c>
      <c r="E236" s="1">
        <v>3</v>
      </c>
      <c r="F236" s="1">
        <v>4</v>
      </c>
      <c r="G236" s="1">
        <v>1</v>
      </c>
      <c r="H236" s="1">
        <v>0</v>
      </c>
      <c r="I236" s="1">
        <v>2</v>
      </c>
      <c r="J236" s="1">
        <v>5</v>
      </c>
    </row>
    <row r="237" spans="1:10" x14ac:dyDescent="0.2">
      <c r="A237" s="1">
        <v>114</v>
      </c>
      <c r="B237" s="1">
        <v>0</v>
      </c>
      <c r="C237" s="1">
        <v>16</v>
      </c>
      <c r="D237" s="1">
        <v>4</v>
      </c>
      <c r="E237" s="1">
        <v>3</v>
      </c>
      <c r="F237" s="1">
        <v>4</v>
      </c>
      <c r="G237" s="1">
        <v>1</v>
      </c>
      <c r="H237" s="1">
        <v>0</v>
      </c>
      <c r="I237" s="1">
        <v>3</v>
      </c>
      <c r="J237" s="1">
        <v>5</v>
      </c>
    </row>
    <row r="238" spans="1:10" x14ac:dyDescent="0.2">
      <c r="A238" s="1">
        <v>1063</v>
      </c>
      <c r="B238" s="1">
        <v>0</v>
      </c>
      <c r="C238" s="1">
        <v>16</v>
      </c>
      <c r="D238" s="1">
        <v>2</v>
      </c>
      <c r="E238" s="1">
        <v>3</v>
      </c>
      <c r="F238" s="1">
        <v>4</v>
      </c>
      <c r="G238" s="1">
        <v>1</v>
      </c>
      <c r="H238" s="1">
        <v>1</v>
      </c>
      <c r="I238" s="1">
        <v>2</v>
      </c>
      <c r="J238" s="1">
        <v>5</v>
      </c>
    </row>
    <row r="239" spans="1:10" x14ac:dyDescent="0.2">
      <c r="A239" s="1">
        <v>1081</v>
      </c>
      <c r="B239" s="1">
        <v>0</v>
      </c>
      <c r="C239" s="1">
        <v>6</v>
      </c>
      <c r="D239" s="1">
        <v>3</v>
      </c>
      <c r="E239" s="1">
        <v>1</v>
      </c>
      <c r="F239" s="1">
        <v>5</v>
      </c>
      <c r="G239" s="1">
        <v>1</v>
      </c>
      <c r="H239" s="1">
        <v>1</v>
      </c>
      <c r="I239" s="1">
        <v>0</v>
      </c>
      <c r="J239" s="1">
        <v>5</v>
      </c>
    </row>
    <row r="240" spans="1:10" x14ac:dyDescent="0.2">
      <c r="A240" s="1">
        <v>298</v>
      </c>
      <c r="B240" s="1">
        <v>0</v>
      </c>
      <c r="C240" s="1">
        <v>8</v>
      </c>
      <c r="D240" s="1">
        <v>1</v>
      </c>
      <c r="E240" s="1">
        <v>1</v>
      </c>
      <c r="F240" s="1">
        <v>5</v>
      </c>
      <c r="G240" s="1">
        <v>1</v>
      </c>
      <c r="H240" s="1">
        <v>1</v>
      </c>
      <c r="I240" s="1">
        <v>1</v>
      </c>
      <c r="J240" s="1">
        <v>5</v>
      </c>
    </row>
    <row r="241" spans="1:10" x14ac:dyDescent="0.2">
      <c r="A241" s="1">
        <v>1806</v>
      </c>
      <c r="B241" s="1">
        <v>0</v>
      </c>
      <c r="C241" s="1">
        <v>5</v>
      </c>
      <c r="D241" s="1">
        <v>4</v>
      </c>
      <c r="E241" s="1">
        <v>2</v>
      </c>
      <c r="F241" s="1">
        <v>5</v>
      </c>
      <c r="G241" s="1">
        <v>1</v>
      </c>
      <c r="H241" s="1">
        <v>0</v>
      </c>
      <c r="I241" s="1">
        <v>3</v>
      </c>
      <c r="J241" s="1">
        <v>5</v>
      </c>
    </row>
    <row r="242" spans="1:10" x14ac:dyDescent="0.2">
      <c r="A242" s="1">
        <v>669</v>
      </c>
      <c r="B242" s="1">
        <v>0</v>
      </c>
      <c r="C242" s="1">
        <v>20</v>
      </c>
      <c r="D242" s="1">
        <v>5</v>
      </c>
      <c r="E242" s="1">
        <v>2</v>
      </c>
      <c r="F242" s="1">
        <v>5</v>
      </c>
      <c r="G242" s="1">
        <v>1</v>
      </c>
      <c r="H242" s="1">
        <v>1</v>
      </c>
      <c r="I242" s="1">
        <v>2</v>
      </c>
      <c r="J242" s="1">
        <v>5</v>
      </c>
    </row>
    <row r="243" spans="1:10" x14ac:dyDescent="0.2">
      <c r="A243" s="1">
        <v>590</v>
      </c>
      <c r="B243" s="1">
        <v>0</v>
      </c>
      <c r="C243" s="1">
        <v>8</v>
      </c>
      <c r="D243" s="1">
        <v>2</v>
      </c>
      <c r="E243" s="1">
        <v>3</v>
      </c>
      <c r="F243" s="1">
        <v>5</v>
      </c>
      <c r="G243" s="1">
        <v>1</v>
      </c>
      <c r="H243" s="1">
        <v>1</v>
      </c>
      <c r="I243" s="1">
        <v>2</v>
      </c>
      <c r="J243" s="1">
        <v>5</v>
      </c>
    </row>
    <row r="244" spans="1:10" x14ac:dyDescent="0.2">
      <c r="A244" s="1">
        <v>834</v>
      </c>
      <c r="B244" s="1">
        <v>0</v>
      </c>
      <c r="C244" s="1">
        <v>9</v>
      </c>
      <c r="D244" s="1">
        <v>1</v>
      </c>
      <c r="E244" s="1">
        <v>3</v>
      </c>
      <c r="F244" s="1">
        <v>5</v>
      </c>
      <c r="G244" s="1">
        <v>1</v>
      </c>
      <c r="H244" s="1">
        <v>1</v>
      </c>
      <c r="I244" s="1">
        <v>2</v>
      </c>
      <c r="J244" s="1">
        <v>5</v>
      </c>
    </row>
    <row r="245" spans="1:10" x14ac:dyDescent="0.2">
      <c r="A245" s="1">
        <v>1427</v>
      </c>
      <c r="B245" s="1">
        <v>0</v>
      </c>
      <c r="C245" s="1">
        <v>5</v>
      </c>
      <c r="D245" s="1">
        <v>3</v>
      </c>
      <c r="E245" s="1">
        <v>1</v>
      </c>
      <c r="F245" s="1">
        <v>6</v>
      </c>
      <c r="G245" s="1">
        <v>1</v>
      </c>
      <c r="H245" s="1">
        <v>1</v>
      </c>
      <c r="I245" s="1">
        <v>3</v>
      </c>
      <c r="J245" s="1">
        <v>5</v>
      </c>
    </row>
    <row r="246" spans="1:10" x14ac:dyDescent="0.2">
      <c r="A246" s="1">
        <v>495</v>
      </c>
      <c r="B246" s="1">
        <v>0</v>
      </c>
      <c r="C246" s="1">
        <v>15</v>
      </c>
      <c r="D246" s="1">
        <v>1</v>
      </c>
      <c r="E246" s="1">
        <v>1</v>
      </c>
      <c r="F246" s="1">
        <v>6</v>
      </c>
      <c r="G246" s="1">
        <v>1</v>
      </c>
      <c r="H246" s="1">
        <v>1</v>
      </c>
      <c r="I246" s="1">
        <v>1</v>
      </c>
      <c r="J246" s="1">
        <v>5</v>
      </c>
    </row>
    <row r="247" spans="1:10" x14ac:dyDescent="0.2">
      <c r="A247" s="1">
        <v>1213</v>
      </c>
      <c r="B247" s="1">
        <v>0</v>
      </c>
      <c r="C247" s="1">
        <v>15</v>
      </c>
      <c r="D247" s="1">
        <v>2</v>
      </c>
      <c r="E247" s="1">
        <v>2</v>
      </c>
      <c r="F247" s="1">
        <v>6</v>
      </c>
      <c r="G247" s="1">
        <v>1</v>
      </c>
      <c r="H247" s="1">
        <v>0</v>
      </c>
      <c r="I247" s="1">
        <v>1</v>
      </c>
      <c r="J247" s="1">
        <v>5</v>
      </c>
    </row>
    <row r="248" spans="1:10" x14ac:dyDescent="0.2">
      <c r="A248" s="1">
        <v>2444</v>
      </c>
      <c r="B248" s="1">
        <v>0</v>
      </c>
      <c r="C248" s="1">
        <v>17</v>
      </c>
      <c r="D248" s="1">
        <v>5</v>
      </c>
      <c r="E248" s="1">
        <v>2</v>
      </c>
      <c r="F248" s="1">
        <v>6</v>
      </c>
      <c r="G248" s="1">
        <v>1</v>
      </c>
      <c r="H248" s="1">
        <v>0</v>
      </c>
      <c r="I248" s="1">
        <v>0</v>
      </c>
      <c r="J248" s="1">
        <v>5</v>
      </c>
    </row>
    <row r="249" spans="1:10" x14ac:dyDescent="0.2">
      <c r="A249" s="1">
        <v>2160</v>
      </c>
      <c r="B249" s="1">
        <v>0</v>
      </c>
      <c r="C249" s="1">
        <v>5</v>
      </c>
      <c r="D249" s="1">
        <v>1</v>
      </c>
      <c r="E249" s="1">
        <v>3</v>
      </c>
      <c r="F249" s="1">
        <v>6</v>
      </c>
      <c r="G249" s="1">
        <v>1</v>
      </c>
      <c r="H249" s="1">
        <v>0</v>
      </c>
      <c r="I249" s="1">
        <v>1</v>
      </c>
      <c r="J249" s="1">
        <v>5</v>
      </c>
    </row>
    <row r="250" spans="1:10" x14ac:dyDescent="0.2">
      <c r="A250" s="1">
        <v>1701</v>
      </c>
      <c r="B250" s="1">
        <v>0</v>
      </c>
      <c r="C250" s="1">
        <v>17</v>
      </c>
      <c r="D250" s="1">
        <v>3</v>
      </c>
      <c r="E250" s="1">
        <v>3</v>
      </c>
      <c r="F250" s="1">
        <v>6</v>
      </c>
      <c r="G250" s="1">
        <v>1</v>
      </c>
      <c r="H250" s="1">
        <v>1</v>
      </c>
      <c r="I250" s="1">
        <v>2</v>
      </c>
      <c r="J250" s="1">
        <v>5</v>
      </c>
    </row>
    <row r="251" spans="1:10" x14ac:dyDescent="0.2">
      <c r="A251" s="1">
        <v>2096</v>
      </c>
      <c r="B251" s="1">
        <v>0</v>
      </c>
      <c r="C251" s="1">
        <v>9</v>
      </c>
      <c r="D251" s="1">
        <v>3</v>
      </c>
      <c r="E251" s="1">
        <v>2</v>
      </c>
      <c r="F251" s="1">
        <v>7</v>
      </c>
      <c r="G251" s="1">
        <v>1</v>
      </c>
      <c r="H251" s="1">
        <v>0</v>
      </c>
      <c r="I251" s="1">
        <v>2</v>
      </c>
      <c r="J251" s="1">
        <v>5</v>
      </c>
    </row>
    <row r="252" spans="1:10" x14ac:dyDescent="0.2">
      <c r="A252" s="1">
        <v>1208</v>
      </c>
      <c r="B252" s="1">
        <v>0</v>
      </c>
      <c r="C252" s="1">
        <v>13</v>
      </c>
      <c r="D252" s="1">
        <v>3</v>
      </c>
      <c r="E252" s="1">
        <v>2</v>
      </c>
      <c r="F252" s="1">
        <v>7</v>
      </c>
      <c r="G252" s="1">
        <v>1</v>
      </c>
      <c r="H252" s="1">
        <v>0</v>
      </c>
      <c r="I252" s="1">
        <v>2</v>
      </c>
      <c r="J252" s="1">
        <v>5</v>
      </c>
    </row>
    <row r="253" spans="1:10" x14ac:dyDescent="0.2">
      <c r="A253" s="1">
        <v>706</v>
      </c>
      <c r="B253" s="1">
        <v>0</v>
      </c>
      <c r="C253" s="1">
        <v>15</v>
      </c>
      <c r="D253" s="1">
        <v>1</v>
      </c>
      <c r="E253" s="1">
        <v>2</v>
      </c>
      <c r="F253" s="1">
        <v>7</v>
      </c>
      <c r="G253" s="1">
        <v>1</v>
      </c>
      <c r="H253" s="1">
        <v>0</v>
      </c>
      <c r="I253" s="1">
        <v>3</v>
      </c>
      <c r="J253" s="1">
        <v>5</v>
      </c>
    </row>
    <row r="254" spans="1:10" x14ac:dyDescent="0.2">
      <c r="A254" s="1">
        <v>1032</v>
      </c>
      <c r="B254" s="1">
        <v>0</v>
      </c>
      <c r="C254" s="1">
        <v>17</v>
      </c>
      <c r="D254" s="1">
        <v>2</v>
      </c>
      <c r="E254" s="1">
        <v>2</v>
      </c>
      <c r="F254" s="1">
        <v>7</v>
      </c>
      <c r="G254" s="1">
        <v>1</v>
      </c>
      <c r="H254" s="1">
        <v>1</v>
      </c>
      <c r="I254" s="1">
        <v>3</v>
      </c>
      <c r="J254" s="1">
        <v>5</v>
      </c>
    </row>
    <row r="255" spans="1:10" x14ac:dyDescent="0.2">
      <c r="A255" s="1">
        <v>1132</v>
      </c>
      <c r="B255" s="1">
        <v>0</v>
      </c>
      <c r="C255" s="1">
        <v>7</v>
      </c>
      <c r="D255" s="1">
        <v>5</v>
      </c>
      <c r="E255" s="1">
        <v>3</v>
      </c>
      <c r="F255" s="1">
        <v>7</v>
      </c>
      <c r="G255" s="1">
        <v>1</v>
      </c>
      <c r="H255" s="1">
        <v>1</v>
      </c>
      <c r="I255" s="1">
        <v>3</v>
      </c>
      <c r="J255" s="1">
        <v>5</v>
      </c>
    </row>
    <row r="256" spans="1:10" x14ac:dyDescent="0.2">
      <c r="A256" s="1">
        <v>82</v>
      </c>
      <c r="B256" s="1">
        <v>0</v>
      </c>
      <c r="C256" s="1">
        <v>8</v>
      </c>
      <c r="D256" s="1">
        <v>5</v>
      </c>
      <c r="E256" s="1">
        <v>1</v>
      </c>
      <c r="F256" s="1">
        <v>8</v>
      </c>
      <c r="G256" s="1">
        <v>1</v>
      </c>
      <c r="H256" s="1">
        <v>0</v>
      </c>
      <c r="I256" s="1">
        <v>3</v>
      </c>
      <c r="J256" s="1">
        <v>5</v>
      </c>
    </row>
    <row r="257" spans="1:10" x14ac:dyDescent="0.2">
      <c r="A257" s="1">
        <v>1418</v>
      </c>
      <c r="B257" s="1">
        <v>0</v>
      </c>
      <c r="C257" s="1">
        <v>8</v>
      </c>
      <c r="D257" s="1">
        <v>1</v>
      </c>
      <c r="E257" s="1">
        <v>1</v>
      </c>
      <c r="F257" s="1">
        <v>8</v>
      </c>
      <c r="G257" s="1">
        <v>1</v>
      </c>
      <c r="H257" s="1">
        <v>0</v>
      </c>
      <c r="I257" s="1">
        <v>1</v>
      </c>
      <c r="J257" s="1">
        <v>5</v>
      </c>
    </row>
    <row r="258" spans="1:10" x14ac:dyDescent="0.2">
      <c r="A258" s="1">
        <v>1692</v>
      </c>
      <c r="B258" s="1">
        <v>0</v>
      </c>
      <c r="C258" s="1">
        <v>10</v>
      </c>
      <c r="D258" s="1">
        <v>3</v>
      </c>
      <c r="E258" s="1">
        <v>2</v>
      </c>
      <c r="F258" s="1">
        <v>8</v>
      </c>
      <c r="G258" s="1">
        <v>1</v>
      </c>
      <c r="H258" s="1">
        <v>0</v>
      </c>
      <c r="I258" s="1">
        <v>0</v>
      </c>
      <c r="J258" s="1">
        <v>5</v>
      </c>
    </row>
    <row r="259" spans="1:10" x14ac:dyDescent="0.2">
      <c r="A259" s="1">
        <v>431</v>
      </c>
      <c r="B259" s="1">
        <v>0</v>
      </c>
      <c r="C259" s="1">
        <v>7</v>
      </c>
      <c r="D259" s="1">
        <v>4</v>
      </c>
      <c r="E259" s="1">
        <v>3</v>
      </c>
      <c r="F259" s="1">
        <v>8</v>
      </c>
      <c r="G259" s="1">
        <v>1</v>
      </c>
      <c r="H259" s="1">
        <v>1</v>
      </c>
      <c r="I259" s="1">
        <v>1</v>
      </c>
      <c r="J259" s="1">
        <v>5</v>
      </c>
    </row>
    <row r="260" spans="1:10" x14ac:dyDescent="0.2">
      <c r="A260" s="1">
        <v>288</v>
      </c>
      <c r="B260" s="1">
        <v>0</v>
      </c>
      <c r="C260" s="1">
        <v>8</v>
      </c>
      <c r="D260" s="1">
        <v>5</v>
      </c>
      <c r="E260" s="1">
        <v>3</v>
      </c>
      <c r="F260" s="1">
        <v>8</v>
      </c>
      <c r="G260" s="1">
        <v>1</v>
      </c>
      <c r="H260" s="1">
        <v>1</v>
      </c>
      <c r="I260" s="1">
        <v>1</v>
      </c>
      <c r="J260" s="1">
        <v>5</v>
      </c>
    </row>
    <row r="261" spans="1:10" x14ac:dyDescent="0.2">
      <c r="A261" s="1">
        <v>2050</v>
      </c>
      <c r="B261" s="1">
        <v>0</v>
      </c>
      <c r="C261" s="1">
        <v>10</v>
      </c>
      <c r="D261" s="1">
        <v>4</v>
      </c>
      <c r="E261" s="1">
        <v>3</v>
      </c>
      <c r="F261" s="1">
        <v>8</v>
      </c>
      <c r="G261" s="1">
        <v>1</v>
      </c>
      <c r="H261" s="1">
        <v>0</v>
      </c>
      <c r="I261" s="1">
        <v>0</v>
      </c>
      <c r="J261" s="1">
        <v>5</v>
      </c>
    </row>
    <row r="262" spans="1:10" x14ac:dyDescent="0.2">
      <c r="A262" s="1">
        <v>1312</v>
      </c>
      <c r="B262" s="1">
        <v>0</v>
      </c>
      <c r="C262" s="1">
        <v>11</v>
      </c>
      <c r="D262" s="1">
        <v>3</v>
      </c>
      <c r="E262" s="1">
        <v>3</v>
      </c>
      <c r="F262" s="1">
        <v>8</v>
      </c>
      <c r="G262" s="1">
        <v>1</v>
      </c>
      <c r="H262" s="1">
        <v>1</v>
      </c>
      <c r="I262" s="1">
        <v>0</v>
      </c>
      <c r="J262" s="1">
        <v>5</v>
      </c>
    </row>
    <row r="263" spans="1:10" x14ac:dyDescent="0.2">
      <c r="A263" s="1">
        <v>2243</v>
      </c>
      <c r="B263" s="1">
        <v>0</v>
      </c>
      <c r="C263" s="1">
        <v>6</v>
      </c>
      <c r="D263" s="1">
        <v>3</v>
      </c>
      <c r="E263" s="1">
        <v>1</v>
      </c>
      <c r="F263" s="1">
        <v>9</v>
      </c>
      <c r="G263" s="1">
        <v>1</v>
      </c>
      <c r="H263" s="1">
        <v>0</v>
      </c>
      <c r="I263" s="1">
        <v>2</v>
      </c>
      <c r="J263" s="1">
        <v>5</v>
      </c>
    </row>
    <row r="264" spans="1:10" x14ac:dyDescent="0.2">
      <c r="A264" s="1">
        <v>619</v>
      </c>
      <c r="B264" s="1">
        <v>0</v>
      </c>
      <c r="C264" s="1">
        <v>17</v>
      </c>
      <c r="D264" s="1">
        <v>1</v>
      </c>
      <c r="E264" s="1">
        <v>1</v>
      </c>
      <c r="F264" s="1">
        <v>9</v>
      </c>
      <c r="G264" s="1">
        <v>1</v>
      </c>
      <c r="H264" s="1">
        <v>1</v>
      </c>
      <c r="I264" s="1">
        <v>2</v>
      </c>
      <c r="J264" s="1">
        <v>5</v>
      </c>
    </row>
    <row r="265" spans="1:10" x14ac:dyDescent="0.2">
      <c r="A265" s="1">
        <v>657</v>
      </c>
      <c r="B265" s="1">
        <v>0</v>
      </c>
      <c r="C265" s="1">
        <v>14</v>
      </c>
      <c r="D265" s="1">
        <v>5</v>
      </c>
      <c r="E265" s="1">
        <v>2</v>
      </c>
      <c r="F265" s="1">
        <v>9</v>
      </c>
      <c r="G265" s="1">
        <v>1</v>
      </c>
      <c r="H265" s="1">
        <v>1</v>
      </c>
      <c r="I265" s="1">
        <v>2</v>
      </c>
      <c r="J265" s="1">
        <v>5</v>
      </c>
    </row>
    <row r="266" spans="1:10" x14ac:dyDescent="0.2">
      <c r="A266" s="1">
        <v>1989</v>
      </c>
      <c r="B266" s="1">
        <v>0</v>
      </c>
      <c r="C266" s="1">
        <v>15</v>
      </c>
      <c r="D266" s="1">
        <v>4</v>
      </c>
      <c r="E266" s="1">
        <v>2</v>
      </c>
      <c r="F266" s="1">
        <v>9</v>
      </c>
      <c r="G266" s="1">
        <v>1</v>
      </c>
      <c r="H266" s="1">
        <v>0</v>
      </c>
      <c r="I266" s="1">
        <v>1</v>
      </c>
      <c r="J266" s="1">
        <v>5</v>
      </c>
    </row>
    <row r="267" spans="1:10" x14ac:dyDescent="0.2">
      <c r="A267" s="1">
        <v>255</v>
      </c>
      <c r="B267" s="1">
        <v>0</v>
      </c>
      <c r="C267" s="1">
        <v>6</v>
      </c>
      <c r="D267" s="1">
        <v>5</v>
      </c>
      <c r="E267" s="1">
        <v>3</v>
      </c>
      <c r="F267" s="1">
        <v>9</v>
      </c>
      <c r="G267" s="1">
        <v>1</v>
      </c>
      <c r="H267" s="1">
        <v>1</v>
      </c>
      <c r="I267" s="1">
        <v>2</v>
      </c>
      <c r="J267" s="1">
        <v>5</v>
      </c>
    </row>
    <row r="268" spans="1:10" x14ac:dyDescent="0.2">
      <c r="A268" s="1">
        <v>2321</v>
      </c>
      <c r="B268" s="1">
        <v>0</v>
      </c>
      <c r="C268" s="1">
        <v>8</v>
      </c>
      <c r="D268" s="1">
        <v>1</v>
      </c>
      <c r="E268" s="1">
        <v>2</v>
      </c>
      <c r="F268" s="1">
        <v>10</v>
      </c>
      <c r="G268" s="1">
        <v>1</v>
      </c>
      <c r="H268" s="1">
        <v>1</v>
      </c>
      <c r="I268" s="1">
        <v>1</v>
      </c>
      <c r="J268" s="1">
        <v>5</v>
      </c>
    </row>
    <row r="269" spans="1:10" x14ac:dyDescent="0.2">
      <c r="A269" s="1">
        <v>1741</v>
      </c>
      <c r="B269" s="1">
        <v>0</v>
      </c>
      <c r="C269" s="1">
        <v>9</v>
      </c>
      <c r="D269" s="1">
        <v>1</v>
      </c>
      <c r="E269" s="1">
        <v>2</v>
      </c>
      <c r="F269" s="1">
        <v>10</v>
      </c>
      <c r="G269" s="1">
        <v>1</v>
      </c>
      <c r="H269" s="1">
        <v>0</v>
      </c>
      <c r="I269" s="1">
        <v>1</v>
      </c>
      <c r="J269" s="1">
        <v>5</v>
      </c>
    </row>
    <row r="270" spans="1:10" x14ac:dyDescent="0.2">
      <c r="A270" s="1">
        <v>787</v>
      </c>
      <c r="B270" s="1">
        <v>0</v>
      </c>
      <c r="C270" s="1">
        <v>12</v>
      </c>
      <c r="D270" s="1">
        <v>2</v>
      </c>
      <c r="E270" s="1">
        <v>2</v>
      </c>
      <c r="F270" s="1">
        <v>10</v>
      </c>
      <c r="G270" s="1">
        <v>1</v>
      </c>
      <c r="H270" s="1">
        <v>0</v>
      </c>
      <c r="I270" s="1">
        <v>3</v>
      </c>
      <c r="J270" s="1">
        <v>5</v>
      </c>
    </row>
    <row r="271" spans="1:10" x14ac:dyDescent="0.2">
      <c r="A271" s="1">
        <v>1457</v>
      </c>
      <c r="B271" s="1">
        <v>0</v>
      </c>
      <c r="C271" s="1">
        <v>5</v>
      </c>
      <c r="D271" s="1">
        <v>4</v>
      </c>
      <c r="E271" s="1">
        <v>3</v>
      </c>
      <c r="F271" s="1">
        <v>10</v>
      </c>
      <c r="G271" s="1">
        <v>1</v>
      </c>
      <c r="H271" s="1">
        <v>1</v>
      </c>
      <c r="I271" s="1">
        <v>1</v>
      </c>
      <c r="J271" s="1">
        <v>5</v>
      </c>
    </row>
    <row r="272" spans="1:10" x14ac:dyDescent="0.2">
      <c r="A272" s="1">
        <v>1851</v>
      </c>
      <c r="B272" s="1">
        <v>0</v>
      </c>
      <c r="C272" s="1">
        <v>5</v>
      </c>
      <c r="D272" s="1">
        <v>5</v>
      </c>
      <c r="E272" s="1">
        <v>3</v>
      </c>
      <c r="F272" s="1">
        <v>10</v>
      </c>
      <c r="G272" s="1">
        <v>1</v>
      </c>
      <c r="H272" s="1">
        <v>0</v>
      </c>
      <c r="I272" s="1">
        <v>0</v>
      </c>
      <c r="J272" s="1">
        <v>5</v>
      </c>
    </row>
    <row r="273" spans="1:10" x14ac:dyDescent="0.2">
      <c r="A273" s="1">
        <v>2226</v>
      </c>
      <c r="B273" s="1">
        <v>0</v>
      </c>
      <c r="C273" s="1">
        <v>5</v>
      </c>
      <c r="D273" s="1">
        <v>3</v>
      </c>
      <c r="E273" s="1">
        <v>3</v>
      </c>
      <c r="F273" s="1">
        <v>10</v>
      </c>
      <c r="G273" s="1">
        <v>1</v>
      </c>
      <c r="H273" s="1">
        <v>1</v>
      </c>
      <c r="I273" s="1">
        <v>1</v>
      </c>
      <c r="J273" s="1">
        <v>5</v>
      </c>
    </row>
    <row r="274" spans="1:10" x14ac:dyDescent="0.2">
      <c r="A274" s="1">
        <v>2134</v>
      </c>
      <c r="B274" s="1">
        <v>0</v>
      </c>
      <c r="C274" s="1">
        <v>15</v>
      </c>
      <c r="D274" s="1">
        <v>5</v>
      </c>
      <c r="E274" s="1">
        <v>3</v>
      </c>
      <c r="F274" s="1">
        <v>10</v>
      </c>
      <c r="G274" s="1">
        <v>1</v>
      </c>
      <c r="H274" s="1">
        <v>1</v>
      </c>
      <c r="I274" s="1">
        <v>3</v>
      </c>
      <c r="J274" s="1">
        <v>5</v>
      </c>
    </row>
    <row r="275" spans="1:10" x14ac:dyDescent="0.2">
      <c r="A275" s="1">
        <v>2363</v>
      </c>
      <c r="B275" s="1">
        <v>0</v>
      </c>
      <c r="C275" s="1">
        <v>14</v>
      </c>
      <c r="D275" s="1">
        <v>2</v>
      </c>
      <c r="E275" s="1">
        <v>1</v>
      </c>
      <c r="F275" s="1">
        <v>1</v>
      </c>
      <c r="G275" s="1">
        <v>2</v>
      </c>
      <c r="H275" s="1">
        <v>1</v>
      </c>
      <c r="I275" s="1">
        <v>3</v>
      </c>
      <c r="J275" s="1">
        <v>1</v>
      </c>
    </row>
    <row r="276" spans="1:10" x14ac:dyDescent="0.2">
      <c r="A276" s="1">
        <v>1022</v>
      </c>
      <c r="B276" s="1">
        <v>0</v>
      </c>
      <c r="C276" s="1">
        <v>7</v>
      </c>
      <c r="D276" s="1">
        <v>1</v>
      </c>
      <c r="E276" s="1">
        <v>2</v>
      </c>
      <c r="F276" s="1">
        <v>1</v>
      </c>
      <c r="G276" s="1">
        <v>2</v>
      </c>
      <c r="H276" s="1">
        <v>1</v>
      </c>
      <c r="I276" s="1">
        <v>0</v>
      </c>
      <c r="J276" s="1">
        <v>1</v>
      </c>
    </row>
    <row r="277" spans="1:10" x14ac:dyDescent="0.2">
      <c r="A277" s="1">
        <v>2030</v>
      </c>
      <c r="B277" s="1">
        <v>0</v>
      </c>
      <c r="C277" s="1">
        <v>18</v>
      </c>
      <c r="D277" s="1">
        <v>5</v>
      </c>
      <c r="E277" s="1">
        <v>2</v>
      </c>
      <c r="F277" s="1">
        <v>1</v>
      </c>
      <c r="G277" s="1">
        <v>2</v>
      </c>
      <c r="H277" s="1">
        <v>1</v>
      </c>
      <c r="I277" s="1">
        <v>1</v>
      </c>
      <c r="J277" s="1">
        <v>1</v>
      </c>
    </row>
    <row r="278" spans="1:10" x14ac:dyDescent="0.2">
      <c r="A278" s="1">
        <v>148</v>
      </c>
      <c r="B278" s="1">
        <v>0</v>
      </c>
      <c r="C278" s="1">
        <v>5</v>
      </c>
      <c r="D278" s="1">
        <v>1</v>
      </c>
      <c r="E278" s="1">
        <v>3</v>
      </c>
      <c r="F278" s="1">
        <v>1</v>
      </c>
      <c r="G278" s="1">
        <v>2</v>
      </c>
      <c r="H278" s="1">
        <v>0</v>
      </c>
      <c r="I278" s="1">
        <v>2</v>
      </c>
      <c r="J278" s="1">
        <v>1</v>
      </c>
    </row>
    <row r="279" spans="1:10" x14ac:dyDescent="0.2">
      <c r="A279" s="1">
        <v>653</v>
      </c>
      <c r="B279" s="1">
        <v>0</v>
      </c>
      <c r="C279" s="1">
        <v>11</v>
      </c>
      <c r="D279" s="1">
        <v>5</v>
      </c>
      <c r="E279" s="1">
        <v>3</v>
      </c>
      <c r="F279" s="1">
        <v>1</v>
      </c>
      <c r="G279" s="1">
        <v>2</v>
      </c>
      <c r="H279" s="1">
        <v>0</v>
      </c>
      <c r="I279" s="1">
        <v>3</v>
      </c>
      <c r="J279" s="1">
        <v>1</v>
      </c>
    </row>
    <row r="280" spans="1:10" x14ac:dyDescent="0.2">
      <c r="A280" s="1">
        <v>1160</v>
      </c>
      <c r="B280" s="1">
        <v>0</v>
      </c>
      <c r="C280" s="1">
        <v>13</v>
      </c>
      <c r="D280" s="1">
        <v>2</v>
      </c>
      <c r="E280" s="1">
        <v>3</v>
      </c>
      <c r="F280" s="1">
        <v>1</v>
      </c>
      <c r="G280" s="1">
        <v>2</v>
      </c>
      <c r="H280" s="1">
        <v>0</v>
      </c>
      <c r="I280" s="1">
        <v>3</v>
      </c>
      <c r="J280" s="1">
        <v>1</v>
      </c>
    </row>
    <row r="281" spans="1:10" x14ac:dyDescent="0.2">
      <c r="A281" s="1">
        <v>2087</v>
      </c>
      <c r="B281" s="1">
        <v>0</v>
      </c>
      <c r="C281" s="1">
        <v>7</v>
      </c>
      <c r="D281" s="1">
        <v>1</v>
      </c>
      <c r="E281" s="1">
        <v>1</v>
      </c>
      <c r="F281" s="1">
        <v>2</v>
      </c>
      <c r="G281" s="1">
        <v>2</v>
      </c>
      <c r="H281" s="1">
        <v>1</v>
      </c>
      <c r="I281" s="1">
        <v>2</v>
      </c>
      <c r="J281" s="1">
        <v>1</v>
      </c>
    </row>
    <row r="282" spans="1:10" x14ac:dyDescent="0.2">
      <c r="A282" s="1">
        <v>445</v>
      </c>
      <c r="B282" s="1">
        <v>0</v>
      </c>
      <c r="C282" s="1">
        <v>13</v>
      </c>
      <c r="D282" s="1">
        <v>5</v>
      </c>
      <c r="E282" s="1">
        <v>1</v>
      </c>
      <c r="F282" s="1">
        <v>2</v>
      </c>
      <c r="G282" s="1">
        <v>2</v>
      </c>
      <c r="H282" s="1">
        <v>1</v>
      </c>
      <c r="I282" s="1">
        <v>3</v>
      </c>
      <c r="J282" s="1">
        <v>1</v>
      </c>
    </row>
    <row r="283" spans="1:10" x14ac:dyDescent="0.2">
      <c r="A283" s="1">
        <v>2367</v>
      </c>
      <c r="B283" s="1">
        <v>0</v>
      </c>
      <c r="C283" s="1">
        <v>17</v>
      </c>
      <c r="D283" s="1">
        <v>4</v>
      </c>
      <c r="E283" s="1">
        <v>2</v>
      </c>
      <c r="F283" s="1">
        <v>2</v>
      </c>
      <c r="G283" s="1">
        <v>2</v>
      </c>
      <c r="H283" s="1">
        <v>0</v>
      </c>
      <c r="I283" s="1">
        <v>2</v>
      </c>
      <c r="J283" s="1">
        <v>1</v>
      </c>
    </row>
    <row r="284" spans="1:10" x14ac:dyDescent="0.2">
      <c r="A284" s="1">
        <v>1071</v>
      </c>
      <c r="B284" s="1">
        <v>0</v>
      </c>
      <c r="C284" s="1">
        <v>8</v>
      </c>
      <c r="D284" s="1">
        <v>1</v>
      </c>
      <c r="E284" s="1">
        <v>3</v>
      </c>
      <c r="F284" s="1">
        <v>2</v>
      </c>
      <c r="G284" s="1">
        <v>2</v>
      </c>
      <c r="H284" s="1">
        <v>0</v>
      </c>
      <c r="I284" s="1">
        <v>2</v>
      </c>
      <c r="J284" s="1">
        <v>1</v>
      </c>
    </row>
    <row r="285" spans="1:10" x14ac:dyDescent="0.2">
      <c r="A285" s="1">
        <v>147</v>
      </c>
      <c r="B285" s="1">
        <v>0</v>
      </c>
      <c r="C285" s="1">
        <v>11</v>
      </c>
      <c r="D285" s="1">
        <v>5</v>
      </c>
      <c r="E285" s="1">
        <v>3</v>
      </c>
      <c r="F285" s="1">
        <v>2</v>
      </c>
      <c r="G285" s="1">
        <v>2</v>
      </c>
      <c r="H285" s="1">
        <v>0</v>
      </c>
      <c r="I285" s="1">
        <v>0</v>
      </c>
      <c r="J285" s="1">
        <v>1</v>
      </c>
    </row>
    <row r="286" spans="1:10" x14ac:dyDescent="0.2">
      <c r="A286" s="1">
        <v>2229</v>
      </c>
      <c r="B286" s="1">
        <v>0</v>
      </c>
      <c r="C286" s="1">
        <v>7</v>
      </c>
      <c r="D286" s="1">
        <v>3</v>
      </c>
      <c r="E286" s="1">
        <v>1</v>
      </c>
      <c r="F286" s="1">
        <v>3</v>
      </c>
      <c r="G286" s="1">
        <v>2</v>
      </c>
      <c r="H286" s="1">
        <v>0</v>
      </c>
      <c r="I286" s="1">
        <v>2</v>
      </c>
      <c r="J286" s="1">
        <v>1</v>
      </c>
    </row>
    <row r="287" spans="1:10" x14ac:dyDescent="0.2">
      <c r="A287" s="1">
        <v>699</v>
      </c>
      <c r="B287" s="1">
        <v>0</v>
      </c>
      <c r="C287" s="1">
        <v>18</v>
      </c>
      <c r="D287" s="1">
        <v>3</v>
      </c>
      <c r="E287" s="1">
        <v>3</v>
      </c>
      <c r="F287" s="1">
        <v>3</v>
      </c>
      <c r="G287" s="1">
        <v>2</v>
      </c>
      <c r="H287" s="1">
        <v>0</v>
      </c>
      <c r="I287" s="1">
        <v>3</v>
      </c>
      <c r="J287" s="1">
        <v>1</v>
      </c>
    </row>
    <row r="288" spans="1:10" x14ac:dyDescent="0.2">
      <c r="A288" s="1">
        <v>2420</v>
      </c>
      <c r="B288" s="1">
        <v>0</v>
      </c>
      <c r="C288" s="1">
        <v>15</v>
      </c>
      <c r="D288" s="1">
        <v>1</v>
      </c>
      <c r="E288" s="1">
        <v>1</v>
      </c>
      <c r="F288" s="1">
        <v>4</v>
      </c>
      <c r="G288" s="1">
        <v>2</v>
      </c>
      <c r="H288" s="1">
        <v>1</v>
      </c>
      <c r="I288" s="1">
        <v>1</v>
      </c>
      <c r="J288" s="1">
        <v>1</v>
      </c>
    </row>
    <row r="289" spans="1:10" x14ac:dyDescent="0.2">
      <c r="A289" s="1">
        <v>1729</v>
      </c>
      <c r="B289" s="1">
        <v>0</v>
      </c>
      <c r="C289" s="1">
        <v>13</v>
      </c>
      <c r="D289" s="1">
        <v>1</v>
      </c>
      <c r="E289" s="1">
        <v>2</v>
      </c>
      <c r="F289" s="1">
        <v>4</v>
      </c>
      <c r="G289" s="1">
        <v>2</v>
      </c>
      <c r="H289" s="1">
        <v>1</v>
      </c>
      <c r="I289" s="1">
        <v>1</v>
      </c>
      <c r="J289" s="1">
        <v>1</v>
      </c>
    </row>
    <row r="290" spans="1:10" x14ac:dyDescent="0.2">
      <c r="A290" s="1">
        <v>2164</v>
      </c>
      <c r="B290" s="1">
        <v>0</v>
      </c>
      <c r="C290" s="1">
        <v>9</v>
      </c>
      <c r="D290" s="1">
        <v>4</v>
      </c>
      <c r="E290" s="1">
        <v>3</v>
      </c>
      <c r="F290" s="1">
        <v>4</v>
      </c>
      <c r="G290" s="1">
        <v>2</v>
      </c>
      <c r="H290" s="1">
        <v>1</v>
      </c>
      <c r="I290" s="1">
        <v>3</v>
      </c>
      <c r="J290" s="1">
        <v>1</v>
      </c>
    </row>
    <row r="291" spans="1:10" x14ac:dyDescent="0.2">
      <c r="A291" s="1">
        <v>1492</v>
      </c>
      <c r="B291" s="1">
        <v>0</v>
      </c>
      <c r="C291" s="1">
        <v>19</v>
      </c>
      <c r="D291" s="1">
        <v>2</v>
      </c>
      <c r="E291" s="1">
        <v>3</v>
      </c>
      <c r="F291" s="1">
        <v>4</v>
      </c>
      <c r="G291" s="1">
        <v>2</v>
      </c>
      <c r="H291" s="1">
        <v>1</v>
      </c>
      <c r="I291" s="1">
        <v>2</v>
      </c>
      <c r="J291" s="1">
        <v>1</v>
      </c>
    </row>
    <row r="292" spans="1:10" x14ac:dyDescent="0.2">
      <c r="A292" s="1">
        <v>1815</v>
      </c>
      <c r="B292" s="1">
        <v>0</v>
      </c>
      <c r="C292" s="1">
        <v>20</v>
      </c>
      <c r="D292" s="1">
        <v>4</v>
      </c>
      <c r="E292" s="1">
        <v>3</v>
      </c>
      <c r="F292" s="1">
        <v>4</v>
      </c>
      <c r="G292" s="1">
        <v>2</v>
      </c>
      <c r="H292" s="1">
        <v>1</v>
      </c>
      <c r="I292" s="1">
        <v>0</v>
      </c>
      <c r="J292" s="1">
        <v>1</v>
      </c>
    </row>
    <row r="293" spans="1:10" x14ac:dyDescent="0.2">
      <c r="A293" s="1">
        <v>670</v>
      </c>
      <c r="B293" s="1">
        <v>0</v>
      </c>
      <c r="C293" s="1">
        <v>12</v>
      </c>
      <c r="D293" s="1">
        <v>2</v>
      </c>
      <c r="E293" s="1">
        <v>1</v>
      </c>
      <c r="F293" s="1">
        <v>5</v>
      </c>
      <c r="G293" s="1">
        <v>2</v>
      </c>
      <c r="H293" s="1">
        <v>1</v>
      </c>
      <c r="I293" s="1">
        <v>2</v>
      </c>
      <c r="J293" s="1">
        <v>1</v>
      </c>
    </row>
    <row r="294" spans="1:10" x14ac:dyDescent="0.2">
      <c r="A294" s="1">
        <v>711</v>
      </c>
      <c r="B294" s="1">
        <v>0</v>
      </c>
      <c r="C294" s="1">
        <v>6</v>
      </c>
      <c r="D294" s="1">
        <v>3</v>
      </c>
      <c r="E294" s="1">
        <v>3</v>
      </c>
      <c r="F294" s="1">
        <v>6</v>
      </c>
      <c r="G294" s="1">
        <v>2</v>
      </c>
      <c r="H294" s="1">
        <v>0</v>
      </c>
      <c r="I294" s="1">
        <v>3</v>
      </c>
      <c r="J294" s="1">
        <v>1</v>
      </c>
    </row>
    <row r="295" spans="1:10" x14ac:dyDescent="0.2">
      <c r="A295" s="1">
        <v>789</v>
      </c>
      <c r="B295" s="1">
        <v>0</v>
      </c>
      <c r="C295" s="1">
        <v>16</v>
      </c>
      <c r="D295" s="1">
        <v>3</v>
      </c>
      <c r="E295" s="1">
        <v>1</v>
      </c>
      <c r="F295" s="1">
        <v>7</v>
      </c>
      <c r="G295" s="1">
        <v>2</v>
      </c>
      <c r="H295" s="1">
        <v>0</v>
      </c>
      <c r="I295" s="1">
        <v>0</v>
      </c>
      <c r="J295" s="1">
        <v>1</v>
      </c>
    </row>
    <row r="296" spans="1:10" x14ac:dyDescent="0.2">
      <c r="A296" s="1">
        <v>2174</v>
      </c>
      <c r="B296" s="1">
        <v>0</v>
      </c>
      <c r="C296" s="1">
        <v>16</v>
      </c>
      <c r="D296" s="1">
        <v>5</v>
      </c>
      <c r="E296" s="1">
        <v>1</v>
      </c>
      <c r="F296" s="1">
        <v>7</v>
      </c>
      <c r="G296" s="1">
        <v>2</v>
      </c>
      <c r="H296" s="1">
        <v>0</v>
      </c>
      <c r="I296" s="1">
        <v>0</v>
      </c>
      <c r="J296" s="1">
        <v>1</v>
      </c>
    </row>
    <row r="297" spans="1:10" x14ac:dyDescent="0.2">
      <c r="A297" s="1">
        <v>1491</v>
      </c>
      <c r="B297" s="1">
        <v>0</v>
      </c>
      <c r="C297" s="1">
        <v>7</v>
      </c>
      <c r="D297" s="1">
        <v>3</v>
      </c>
      <c r="E297" s="1">
        <v>2</v>
      </c>
      <c r="F297" s="1">
        <v>7</v>
      </c>
      <c r="G297" s="1">
        <v>2</v>
      </c>
      <c r="H297" s="1">
        <v>1</v>
      </c>
      <c r="I297" s="1">
        <v>2</v>
      </c>
      <c r="J297" s="1">
        <v>1</v>
      </c>
    </row>
    <row r="298" spans="1:10" x14ac:dyDescent="0.2">
      <c r="A298" s="1">
        <v>2422</v>
      </c>
      <c r="B298" s="1">
        <v>0</v>
      </c>
      <c r="C298" s="1">
        <v>19</v>
      </c>
      <c r="D298" s="1">
        <v>3</v>
      </c>
      <c r="E298" s="1">
        <v>2</v>
      </c>
      <c r="F298" s="1">
        <v>7</v>
      </c>
      <c r="G298" s="1">
        <v>2</v>
      </c>
      <c r="H298" s="1">
        <v>1</v>
      </c>
      <c r="I298" s="1">
        <v>1</v>
      </c>
      <c r="J298" s="1">
        <v>1</v>
      </c>
    </row>
    <row r="299" spans="1:10" x14ac:dyDescent="0.2">
      <c r="A299" s="1">
        <v>737</v>
      </c>
      <c r="B299" s="1">
        <v>0</v>
      </c>
      <c r="C299" s="1">
        <v>8</v>
      </c>
      <c r="D299" s="1">
        <v>1</v>
      </c>
      <c r="E299" s="1">
        <v>3</v>
      </c>
      <c r="F299" s="1">
        <v>7</v>
      </c>
      <c r="G299" s="1">
        <v>2</v>
      </c>
      <c r="H299" s="1">
        <v>1</v>
      </c>
      <c r="I299" s="1">
        <v>0</v>
      </c>
      <c r="J299" s="1">
        <v>1</v>
      </c>
    </row>
    <row r="300" spans="1:10" x14ac:dyDescent="0.2">
      <c r="A300" s="1">
        <v>843</v>
      </c>
      <c r="B300" s="1">
        <v>0</v>
      </c>
      <c r="C300" s="1">
        <v>5</v>
      </c>
      <c r="D300" s="1">
        <v>2</v>
      </c>
      <c r="E300" s="1">
        <v>2</v>
      </c>
      <c r="F300" s="1">
        <v>8</v>
      </c>
      <c r="G300" s="1">
        <v>2</v>
      </c>
      <c r="H300" s="1">
        <v>1</v>
      </c>
      <c r="I300" s="1">
        <v>0</v>
      </c>
      <c r="J300" s="1">
        <v>1</v>
      </c>
    </row>
    <row r="301" spans="1:10" x14ac:dyDescent="0.2">
      <c r="A301" s="1">
        <v>358</v>
      </c>
      <c r="B301" s="1">
        <v>0</v>
      </c>
      <c r="C301" s="1">
        <v>13</v>
      </c>
      <c r="D301" s="1">
        <v>3</v>
      </c>
      <c r="E301" s="1">
        <v>2</v>
      </c>
      <c r="F301" s="1">
        <v>8</v>
      </c>
      <c r="G301" s="1">
        <v>2</v>
      </c>
      <c r="H301" s="1">
        <v>0</v>
      </c>
      <c r="I301" s="1">
        <v>3</v>
      </c>
      <c r="J301" s="1">
        <v>1</v>
      </c>
    </row>
    <row r="302" spans="1:10" x14ac:dyDescent="0.2">
      <c r="A302" s="1">
        <v>1317</v>
      </c>
      <c r="B302" s="1">
        <v>0</v>
      </c>
      <c r="C302" s="1">
        <v>5</v>
      </c>
      <c r="D302" s="1">
        <v>3</v>
      </c>
      <c r="E302" s="1">
        <v>3</v>
      </c>
      <c r="F302" s="1">
        <v>8</v>
      </c>
      <c r="G302" s="1">
        <v>2</v>
      </c>
      <c r="H302" s="1">
        <v>1</v>
      </c>
      <c r="I302" s="1">
        <v>2</v>
      </c>
      <c r="J302" s="1">
        <v>1</v>
      </c>
    </row>
    <row r="303" spans="1:10" x14ac:dyDescent="0.2">
      <c r="A303" s="1">
        <v>1083</v>
      </c>
      <c r="B303" s="1">
        <v>0</v>
      </c>
      <c r="C303" s="1">
        <v>18</v>
      </c>
      <c r="D303" s="1">
        <v>2</v>
      </c>
      <c r="E303" s="1">
        <v>3</v>
      </c>
      <c r="F303" s="1">
        <v>8</v>
      </c>
      <c r="G303" s="1">
        <v>2</v>
      </c>
      <c r="H303" s="1">
        <v>0</v>
      </c>
      <c r="I303" s="1">
        <v>3</v>
      </c>
      <c r="J303" s="1">
        <v>1</v>
      </c>
    </row>
    <row r="304" spans="1:10" x14ac:dyDescent="0.2">
      <c r="A304" s="1">
        <v>1383</v>
      </c>
      <c r="B304" s="1">
        <v>0</v>
      </c>
      <c r="C304" s="1">
        <v>10</v>
      </c>
      <c r="D304" s="1">
        <v>4</v>
      </c>
      <c r="E304" s="1">
        <v>1</v>
      </c>
      <c r="F304" s="1">
        <v>9</v>
      </c>
      <c r="G304" s="1">
        <v>2</v>
      </c>
      <c r="H304" s="1">
        <v>1</v>
      </c>
      <c r="I304" s="1">
        <v>2</v>
      </c>
      <c r="J304" s="1">
        <v>1</v>
      </c>
    </row>
    <row r="305" spans="1:10" x14ac:dyDescent="0.2">
      <c r="A305" s="1">
        <v>2024</v>
      </c>
      <c r="B305" s="1">
        <v>0</v>
      </c>
      <c r="C305" s="1">
        <v>18</v>
      </c>
      <c r="D305" s="1">
        <v>1</v>
      </c>
      <c r="E305" s="1">
        <v>1</v>
      </c>
      <c r="F305" s="1">
        <v>9</v>
      </c>
      <c r="G305" s="1">
        <v>2</v>
      </c>
      <c r="H305" s="1">
        <v>0</v>
      </c>
      <c r="I305" s="1">
        <v>2</v>
      </c>
      <c r="J305" s="1">
        <v>1</v>
      </c>
    </row>
    <row r="306" spans="1:10" x14ac:dyDescent="0.2">
      <c r="A306" s="1">
        <v>835</v>
      </c>
      <c r="B306" s="1">
        <v>0</v>
      </c>
      <c r="C306" s="1">
        <v>12</v>
      </c>
      <c r="D306" s="1">
        <v>1</v>
      </c>
      <c r="E306" s="1">
        <v>2</v>
      </c>
      <c r="F306" s="1">
        <v>9</v>
      </c>
      <c r="G306" s="1">
        <v>2</v>
      </c>
      <c r="H306" s="1">
        <v>1</v>
      </c>
      <c r="I306" s="1">
        <v>2</v>
      </c>
      <c r="J306" s="1">
        <v>1</v>
      </c>
    </row>
    <row r="307" spans="1:10" x14ac:dyDescent="0.2">
      <c r="A307" s="1">
        <v>318</v>
      </c>
      <c r="B307" s="1">
        <v>0</v>
      </c>
      <c r="C307" s="1">
        <v>13</v>
      </c>
      <c r="D307" s="1">
        <v>1</v>
      </c>
      <c r="E307" s="1">
        <v>1</v>
      </c>
      <c r="F307" s="1">
        <v>10</v>
      </c>
      <c r="G307" s="1">
        <v>2</v>
      </c>
      <c r="H307" s="1">
        <v>0</v>
      </c>
      <c r="I307" s="1">
        <v>0</v>
      </c>
      <c r="J307" s="1">
        <v>1</v>
      </c>
    </row>
    <row r="308" spans="1:10" x14ac:dyDescent="0.2">
      <c r="A308" s="1">
        <v>2299</v>
      </c>
      <c r="B308" s="1">
        <v>0</v>
      </c>
      <c r="C308" s="1">
        <v>13</v>
      </c>
      <c r="D308" s="1">
        <v>2</v>
      </c>
      <c r="E308" s="1">
        <v>1</v>
      </c>
      <c r="F308" s="1">
        <v>10</v>
      </c>
      <c r="G308" s="1">
        <v>2</v>
      </c>
      <c r="H308" s="1">
        <v>0</v>
      </c>
      <c r="I308" s="1">
        <v>1</v>
      </c>
      <c r="J308" s="1">
        <v>1</v>
      </c>
    </row>
    <row r="309" spans="1:10" x14ac:dyDescent="0.2">
      <c r="A309" s="1">
        <v>926</v>
      </c>
      <c r="B309" s="1">
        <v>0</v>
      </c>
      <c r="C309" s="1">
        <v>15</v>
      </c>
      <c r="D309" s="1">
        <v>3</v>
      </c>
      <c r="E309" s="1">
        <v>1</v>
      </c>
      <c r="F309" s="1">
        <v>10</v>
      </c>
      <c r="G309" s="1">
        <v>2</v>
      </c>
      <c r="H309" s="1">
        <v>0</v>
      </c>
      <c r="I309" s="1">
        <v>2</v>
      </c>
      <c r="J309" s="1">
        <v>1</v>
      </c>
    </row>
    <row r="310" spans="1:10" x14ac:dyDescent="0.2">
      <c r="A310" s="1">
        <v>1673</v>
      </c>
      <c r="B310" s="1">
        <v>0</v>
      </c>
      <c r="C310" s="1">
        <v>17</v>
      </c>
      <c r="D310" s="1">
        <v>5</v>
      </c>
      <c r="E310" s="1">
        <v>1</v>
      </c>
      <c r="F310" s="1">
        <v>10</v>
      </c>
      <c r="G310" s="1">
        <v>2</v>
      </c>
      <c r="H310" s="1">
        <v>0</v>
      </c>
      <c r="I310" s="1">
        <v>1</v>
      </c>
      <c r="J310" s="1">
        <v>1</v>
      </c>
    </row>
    <row r="311" spans="1:10" x14ac:dyDescent="0.2">
      <c r="A311" s="1">
        <v>2378</v>
      </c>
      <c r="B311" s="1">
        <v>0</v>
      </c>
      <c r="C311" s="1">
        <v>19</v>
      </c>
      <c r="D311" s="1">
        <v>2</v>
      </c>
      <c r="E311" s="1">
        <v>1</v>
      </c>
      <c r="F311" s="1">
        <v>10</v>
      </c>
      <c r="G311" s="1">
        <v>2</v>
      </c>
      <c r="H311" s="1">
        <v>1</v>
      </c>
      <c r="I311" s="1">
        <v>1</v>
      </c>
      <c r="J311" s="1">
        <v>1</v>
      </c>
    </row>
    <row r="312" spans="1:10" x14ac:dyDescent="0.2">
      <c r="A312" s="1">
        <v>2</v>
      </c>
      <c r="B312" s="1">
        <v>0</v>
      </c>
      <c r="C312" s="1">
        <v>13</v>
      </c>
      <c r="D312" s="1">
        <v>2</v>
      </c>
      <c r="E312" s="1">
        <v>3</v>
      </c>
      <c r="F312" s="1">
        <v>10</v>
      </c>
      <c r="G312" s="1">
        <v>2</v>
      </c>
      <c r="H312" s="1">
        <v>1</v>
      </c>
      <c r="I312" s="1">
        <v>2</v>
      </c>
      <c r="J312" s="1">
        <v>1</v>
      </c>
    </row>
    <row r="313" spans="1:10" x14ac:dyDescent="0.2">
      <c r="A313" s="1">
        <v>712</v>
      </c>
      <c r="B313" s="1">
        <v>0</v>
      </c>
      <c r="C313" s="1">
        <v>7</v>
      </c>
      <c r="D313" s="1">
        <v>2</v>
      </c>
      <c r="E313" s="1">
        <v>1</v>
      </c>
      <c r="F313" s="1">
        <v>1</v>
      </c>
      <c r="G313" s="1">
        <v>2</v>
      </c>
      <c r="H313" s="1">
        <v>1</v>
      </c>
      <c r="I313" s="1">
        <v>2</v>
      </c>
      <c r="J313" s="1">
        <v>2</v>
      </c>
    </row>
    <row r="314" spans="1:10" x14ac:dyDescent="0.2">
      <c r="A314" s="1">
        <v>2115</v>
      </c>
      <c r="B314" s="1">
        <v>0</v>
      </c>
      <c r="C314" s="1">
        <v>7</v>
      </c>
      <c r="D314" s="1">
        <v>2</v>
      </c>
      <c r="E314" s="1">
        <v>1</v>
      </c>
      <c r="F314" s="1">
        <v>1</v>
      </c>
      <c r="G314" s="1">
        <v>2</v>
      </c>
      <c r="H314" s="1">
        <v>1</v>
      </c>
      <c r="I314" s="1">
        <v>3</v>
      </c>
      <c r="J314" s="1">
        <v>2</v>
      </c>
    </row>
    <row r="315" spans="1:10" x14ac:dyDescent="0.2">
      <c r="A315" s="1">
        <v>900</v>
      </c>
      <c r="B315" s="1">
        <v>0</v>
      </c>
      <c r="C315" s="1">
        <v>9</v>
      </c>
      <c r="D315" s="1">
        <v>1</v>
      </c>
      <c r="E315" s="1">
        <v>1</v>
      </c>
      <c r="F315" s="1">
        <v>1</v>
      </c>
      <c r="G315" s="1">
        <v>2</v>
      </c>
      <c r="H315" s="1">
        <v>1</v>
      </c>
      <c r="I315" s="1">
        <v>0</v>
      </c>
      <c r="J315" s="1">
        <v>2</v>
      </c>
    </row>
    <row r="316" spans="1:10" x14ac:dyDescent="0.2">
      <c r="A316" s="1">
        <v>1721</v>
      </c>
      <c r="B316" s="1">
        <v>0</v>
      </c>
      <c r="C316" s="1">
        <v>9</v>
      </c>
      <c r="D316" s="1">
        <v>2</v>
      </c>
      <c r="E316" s="1">
        <v>1</v>
      </c>
      <c r="F316" s="1">
        <v>1</v>
      </c>
      <c r="G316" s="1">
        <v>2</v>
      </c>
      <c r="H316" s="1">
        <v>1</v>
      </c>
      <c r="I316" s="1">
        <v>0</v>
      </c>
      <c r="J316" s="1">
        <v>2</v>
      </c>
    </row>
    <row r="317" spans="1:10" x14ac:dyDescent="0.2">
      <c r="A317" s="1">
        <v>2016</v>
      </c>
      <c r="B317" s="1">
        <v>0</v>
      </c>
      <c r="C317" s="1">
        <v>13</v>
      </c>
      <c r="D317" s="1">
        <v>4</v>
      </c>
      <c r="E317" s="1">
        <v>3</v>
      </c>
      <c r="F317" s="1">
        <v>1</v>
      </c>
      <c r="G317" s="1">
        <v>2</v>
      </c>
      <c r="H317" s="1">
        <v>0</v>
      </c>
      <c r="I317" s="1">
        <v>0</v>
      </c>
      <c r="J317" s="1">
        <v>2</v>
      </c>
    </row>
    <row r="318" spans="1:10" x14ac:dyDescent="0.2">
      <c r="A318" s="1">
        <v>1803</v>
      </c>
      <c r="B318" s="1">
        <v>0</v>
      </c>
      <c r="C318" s="1">
        <v>15</v>
      </c>
      <c r="D318" s="1">
        <v>2</v>
      </c>
      <c r="E318" s="1">
        <v>3</v>
      </c>
      <c r="F318" s="1">
        <v>1</v>
      </c>
      <c r="G318" s="1">
        <v>2</v>
      </c>
      <c r="H318" s="1">
        <v>1</v>
      </c>
      <c r="I318" s="1">
        <v>1</v>
      </c>
      <c r="J318" s="1">
        <v>2</v>
      </c>
    </row>
    <row r="319" spans="1:10" x14ac:dyDescent="0.2">
      <c r="A319" s="1">
        <v>185</v>
      </c>
      <c r="B319" s="1">
        <v>0</v>
      </c>
      <c r="C319" s="1">
        <v>16</v>
      </c>
      <c r="D319" s="1">
        <v>3</v>
      </c>
      <c r="E319" s="1">
        <v>1</v>
      </c>
      <c r="F319" s="1">
        <v>2</v>
      </c>
      <c r="G319" s="1">
        <v>2</v>
      </c>
      <c r="H319" s="1">
        <v>1</v>
      </c>
      <c r="I319" s="1">
        <v>0</v>
      </c>
      <c r="J319" s="1">
        <v>2</v>
      </c>
    </row>
    <row r="320" spans="1:10" x14ac:dyDescent="0.2">
      <c r="A320" s="1">
        <v>70</v>
      </c>
      <c r="B320" s="1">
        <v>0</v>
      </c>
      <c r="C320" s="1">
        <v>5</v>
      </c>
      <c r="D320" s="1">
        <v>4</v>
      </c>
      <c r="E320" s="1">
        <v>2</v>
      </c>
      <c r="F320" s="1">
        <v>2</v>
      </c>
      <c r="G320" s="1">
        <v>2</v>
      </c>
      <c r="H320" s="1">
        <v>1</v>
      </c>
      <c r="I320" s="1">
        <v>2</v>
      </c>
      <c r="J320" s="1">
        <v>2</v>
      </c>
    </row>
    <row r="321" spans="1:10" x14ac:dyDescent="0.2">
      <c r="A321" s="1">
        <v>306</v>
      </c>
      <c r="B321" s="1">
        <v>0</v>
      </c>
      <c r="C321" s="1">
        <v>12</v>
      </c>
      <c r="D321" s="1">
        <v>5</v>
      </c>
      <c r="E321" s="1">
        <v>2</v>
      </c>
      <c r="F321" s="1">
        <v>2</v>
      </c>
      <c r="G321" s="1">
        <v>2</v>
      </c>
      <c r="H321" s="1">
        <v>1</v>
      </c>
      <c r="I321" s="1">
        <v>3</v>
      </c>
      <c r="J321" s="1">
        <v>2</v>
      </c>
    </row>
    <row r="322" spans="1:10" x14ac:dyDescent="0.2">
      <c r="A322" s="1">
        <v>952</v>
      </c>
      <c r="B322" s="1">
        <v>0</v>
      </c>
      <c r="C322" s="1">
        <v>12</v>
      </c>
      <c r="D322" s="1">
        <v>3</v>
      </c>
      <c r="E322" s="1">
        <v>2</v>
      </c>
      <c r="F322" s="1">
        <v>2</v>
      </c>
      <c r="G322" s="1">
        <v>2</v>
      </c>
      <c r="H322" s="1">
        <v>1</v>
      </c>
      <c r="I322" s="1">
        <v>1</v>
      </c>
      <c r="J322" s="1">
        <v>2</v>
      </c>
    </row>
    <row r="323" spans="1:10" x14ac:dyDescent="0.2">
      <c r="A323" s="1">
        <v>418</v>
      </c>
      <c r="B323" s="1">
        <v>0</v>
      </c>
      <c r="C323" s="1">
        <v>8</v>
      </c>
      <c r="D323" s="1">
        <v>1</v>
      </c>
      <c r="E323" s="1">
        <v>3</v>
      </c>
      <c r="F323" s="1">
        <v>2</v>
      </c>
      <c r="G323" s="1">
        <v>2</v>
      </c>
      <c r="H323" s="1">
        <v>0</v>
      </c>
      <c r="I323" s="1">
        <v>1</v>
      </c>
      <c r="J323" s="1">
        <v>2</v>
      </c>
    </row>
    <row r="324" spans="1:10" x14ac:dyDescent="0.2">
      <c r="A324" s="1">
        <v>2351</v>
      </c>
      <c r="B324" s="1">
        <v>0</v>
      </c>
      <c r="C324" s="1">
        <v>17</v>
      </c>
      <c r="D324" s="1">
        <v>5</v>
      </c>
      <c r="E324" s="1">
        <v>3</v>
      </c>
      <c r="F324" s="1">
        <v>2</v>
      </c>
      <c r="G324" s="1">
        <v>2</v>
      </c>
      <c r="H324" s="1">
        <v>1</v>
      </c>
      <c r="I324" s="1">
        <v>2</v>
      </c>
      <c r="J324" s="1">
        <v>2</v>
      </c>
    </row>
    <row r="325" spans="1:10" x14ac:dyDescent="0.2">
      <c r="A325" s="1">
        <v>2060</v>
      </c>
      <c r="B325" s="1">
        <v>0</v>
      </c>
      <c r="C325" s="1">
        <v>10</v>
      </c>
      <c r="D325" s="1">
        <v>1</v>
      </c>
      <c r="E325" s="1">
        <v>1</v>
      </c>
      <c r="F325" s="1">
        <v>3</v>
      </c>
      <c r="G325" s="1">
        <v>2</v>
      </c>
      <c r="H325" s="1">
        <v>1</v>
      </c>
      <c r="I325" s="1">
        <v>1</v>
      </c>
      <c r="J325" s="1">
        <v>2</v>
      </c>
    </row>
    <row r="326" spans="1:10" x14ac:dyDescent="0.2">
      <c r="A326" s="1">
        <v>1819</v>
      </c>
      <c r="B326" s="1">
        <v>0</v>
      </c>
      <c r="C326" s="1">
        <v>18</v>
      </c>
      <c r="D326" s="1">
        <v>1</v>
      </c>
      <c r="E326" s="1">
        <v>2</v>
      </c>
      <c r="F326" s="1">
        <v>3</v>
      </c>
      <c r="G326" s="1">
        <v>2</v>
      </c>
      <c r="H326" s="1">
        <v>1</v>
      </c>
      <c r="I326" s="1">
        <v>2</v>
      </c>
      <c r="J326" s="1">
        <v>2</v>
      </c>
    </row>
    <row r="327" spans="1:10" x14ac:dyDescent="0.2">
      <c r="A327" s="1">
        <v>2231</v>
      </c>
      <c r="B327" s="1">
        <v>0</v>
      </c>
      <c r="C327" s="1">
        <v>8</v>
      </c>
      <c r="D327" s="1">
        <v>1</v>
      </c>
      <c r="E327" s="1">
        <v>3</v>
      </c>
      <c r="F327" s="1">
        <v>3</v>
      </c>
      <c r="G327" s="1">
        <v>2</v>
      </c>
      <c r="H327" s="1">
        <v>1</v>
      </c>
      <c r="I327" s="1">
        <v>3</v>
      </c>
      <c r="J327" s="1">
        <v>2</v>
      </c>
    </row>
    <row r="328" spans="1:10" x14ac:dyDescent="0.2">
      <c r="A328" s="1">
        <v>1324</v>
      </c>
      <c r="B328" s="1">
        <v>0</v>
      </c>
      <c r="C328" s="1">
        <v>20</v>
      </c>
      <c r="D328" s="1">
        <v>5</v>
      </c>
      <c r="E328" s="1">
        <v>3</v>
      </c>
      <c r="F328" s="1">
        <v>3</v>
      </c>
      <c r="G328" s="1">
        <v>2</v>
      </c>
      <c r="H328" s="1">
        <v>0</v>
      </c>
      <c r="I328" s="1">
        <v>2</v>
      </c>
      <c r="J328" s="1">
        <v>2</v>
      </c>
    </row>
    <row r="329" spans="1:10" x14ac:dyDescent="0.2">
      <c r="A329" s="1">
        <v>172</v>
      </c>
      <c r="B329" s="1">
        <v>0</v>
      </c>
      <c r="C329" s="1">
        <v>6</v>
      </c>
      <c r="D329" s="1">
        <v>1</v>
      </c>
      <c r="E329" s="1">
        <v>1</v>
      </c>
      <c r="F329" s="1">
        <v>4</v>
      </c>
      <c r="G329" s="1">
        <v>2</v>
      </c>
      <c r="H329" s="1">
        <v>0</v>
      </c>
      <c r="I329" s="1">
        <v>0</v>
      </c>
      <c r="J329" s="1">
        <v>2</v>
      </c>
    </row>
    <row r="330" spans="1:10" x14ac:dyDescent="0.2">
      <c r="A330" s="1">
        <v>1068</v>
      </c>
      <c r="B330" s="1">
        <v>0</v>
      </c>
      <c r="C330" s="1">
        <v>13</v>
      </c>
      <c r="D330" s="1">
        <v>5</v>
      </c>
      <c r="E330" s="1">
        <v>1</v>
      </c>
      <c r="F330" s="1">
        <v>4</v>
      </c>
      <c r="G330" s="1">
        <v>2</v>
      </c>
      <c r="H330" s="1">
        <v>0</v>
      </c>
      <c r="I330" s="1">
        <v>0</v>
      </c>
      <c r="J330" s="1">
        <v>2</v>
      </c>
    </row>
    <row r="331" spans="1:10" x14ac:dyDescent="0.2">
      <c r="A331" s="1">
        <v>1158</v>
      </c>
      <c r="B331" s="1">
        <v>0</v>
      </c>
      <c r="C331" s="1">
        <v>19</v>
      </c>
      <c r="D331" s="1">
        <v>2</v>
      </c>
      <c r="E331" s="1">
        <v>1</v>
      </c>
      <c r="F331" s="1">
        <v>4</v>
      </c>
      <c r="G331" s="1">
        <v>2</v>
      </c>
      <c r="H331" s="1">
        <v>1</v>
      </c>
      <c r="I331" s="1">
        <v>0</v>
      </c>
      <c r="J331" s="1">
        <v>2</v>
      </c>
    </row>
    <row r="332" spans="1:10" x14ac:dyDescent="0.2">
      <c r="A332" s="1">
        <v>1441</v>
      </c>
      <c r="B332" s="1">
        <v>0</v>
      </c>
      <c r="C332" s="1">
        <v>12</v>
      </c>
      <c r="D332" s="1">
        <v>3</v>
      </c>
      <c r="E332" s="1">
        <v>2</v>
      </c>
      <c r="F332" s="1">
        <v>4</v>
      </c>
      <c r="G332" s="1">
        <v>2</v>
      </c>
      <c r="H332" s="1">
        <v>1</v>
      </c>
      <c r="I332" s="1">
        <v>3</v>
      </c>
      <c r="J332" s="1">
        <v>2</v>
      </c>
    </row>
    <row r="333" spans="1:10" x14ac:dyDescent="0.2">
      <c r="A333" s="1">
        <v>1097</v>
      </c>
      <c r="B333" s="1">
        <v>0</v>
      </c>
      <c r="C333" s="1">
        <v>14</v>
      </c>
      <c r="D333" s="1">
        <v>4</v>
      </c>
      <c r="E333" s="1">
        <v>2</v>
      </c>
      <c r="F333" s="1">
        <v>4</v>
      </c>
      <c r="G333" s="1">
        <v>2</v>
      </c>
      <c r="H333" s="1">
        <v>1</v>
      </c>
      <c r="I333" s="1">
        <v>3</v>
      </c>
      <c r="J333" s="1">
        <v>2</v>
      </c>
    </row>
    <row r="334" spans="1:10" x14ac:dyDescent="0.2">
      <c r="A334" s="1">
        <v>2491</v>
      </c>
      <c r="B334" s="1">
        <v>0</v>
      </c>
      <c r="C334" s="1">
        <v>14</v>
      </c>
      <c r="D334" s="1">
        <v>4</v>
      </c>
      <c r="E334" s="1">
        <v>2</v>
      </c>
      <c r="F334" s="1">
        <v>4</v>
      </c>
      <c r="G334" s="1">
        <v>2</v>
      </c>
      <c r="H334" s="1">
        <v>1</v>
      </c>
      <c r="I334" s="1">
        <v>3</v>
      </c>
      <c r="J334" s="1">
        <v>2</v>
      </c>
    </row>
    <row r="335" spans="1:10" x14ac:dyDescent="0.2">
      <c r="A335" s="1">
        <v>235</v>
      </c>
      <c r="B335" s="1">
        <v>0</v>
      </c>
      <c r="C335" s="1">
        <v>15</v>
      </c>
      <c r="D335" s="1">
        <v>3</v>
      </c>
      <c r="E335" s="1">
        <v>2</v>
      </c>
      <c r="F335" s="1">
        <v>4</v>
      </c>
      <c r="G335" s="1">
        <v>2</v>
      </c>
      <c r="H335" s="1">
        <v>1</v>
      </c>
      <c r="I335" s="1">
        <v>0</v>
      </c>
      <c r="J335" s="1">
        <v>2</v>
      </c>
    </row>
    <row r="336" spans="1:10" x14ac:dyDescent="0.2">
      <c r="A336" s="1">
        <v>713</v>
      </c>
      <c r="B336" s="1">
        <v>0</v>
      </c>
      <c r="C336" s="1">
        <v>15</v>
      </c>
      <c r="D336" s="1">
        <v>2</v>
      </c>
      <c r="E336" s="1">
        <v>2</v>
      </c>
      <c r="F336" s="1">
        <v>4</v>
      </c>
      <c r="G336" s="1">
        <v>2</v>
      </c>
      <c r="H336" s="1">
        <v>1</v>
      </c>
      <c r="I336" s="1">
        <v>2</v>
      </c>
      <c r="J336" s="1">
        <v>2</v>
      </c>
    </row>
    <row r="337" spans="1:10" x14ac:dyDescent="0.2">
      <c r="A337" s="1">
        <v>247</v>
      </c>
      <c r="B337" s="1">
        <v>0</v>
      </c>
      <c r="C337" s="1">
        <v>17</v>
      </c>
      <c r="D337" s="1">
        <v>1</v>
      </c>
      <c r="E337" s="1">
        <v>2</v>
      </c>
      <c r="F337" s="1">
        <v>4</v>
      </c>
      <c r="G337" s="1">
        <v>2</v>
      </c>
      <c r="H337" s="1">
        <v>0</v>
      </c>
      <c r="I337" s="1">
        <v>1</v>
      </c>
      <c r="J337" s="1">
        <v>2</v>
      </c>
    </row>
    <row r="338" spans="1:10" x14ac:dyDescent="0.2">
      <c r="A338" s="1">
        <v>1136</v>
      </c>
      <c r="B338" s="1">
        <v>0</v>
      </c>
      <c r="C338" s="1">
        <v>20</v>
      </c>
      <c r="D338" s="1">
        <v>1</v>
      </c>
      <c r="E338" s="1">
        <v>2</v>
      </c>
      <c r="F338" s="1">
        <v>4</v>
      </c>
      <c r="G338" s="1">
        <v>2</v>
      </c>
      <c r="H338" s="1">
        <v>0</v>
      </c>
      <c r="I338" s="1">
        <v>3</v>
      </c>
      <c r="J338" s="1">
        <v>2</v>
      </c>
    </row>
    <row r="339" spans="1:10" x14ac:dyDescent="0.2">
      <c r="A339" s="1">
        <v>2069</v>
      </c>
      <c r="B339" s="1">
        <v>0</v>
      </c>
      <c r="C339" s="1">
        <v>15</v>
      </c>
      <c r="D339" s="1">
        <v>3</v>
      </c>
      <c r="E339" s="1">
        <v>3</v>
      </c>
      <c r="F339" s="1">
        <v>4</v>
      </c>
      <c r="G339" s="1">
        <v>2</v>
      </c>
      <c r="H339" s="1">
        <v>1</v>
      </c>
      <c r="I339" s="1">
        <v>0</v>
      </c>
      <c r="J339" s="1">
        <v>2</v>
      </c>
    </row>
    <row r="340" spans="1:10" x14ac:dyDescent="0.2">
      <c r="A340" s="1">
        <v>990</v>
      </c>
      <c r="B340" s="1">
        <v>0</v>
      </c>
      <c r="C340" s="1">
        <v>6</v>
      </c>
      <c r="D340" s="1">
        <v>2</v>
      </c>
      <c r="E340" s="1">
        <v>2</v>
      </c>
      <c r="F340" s="1">
        <v>5</v>
      </c>
      <c r="G340" s="1">
        <v>2</v>
      </c>
      <c r="H340" s="1">
        <v>0</v>
      </c>
      <c r="I340" s="1">
        <v>3</v>
      </c>
      <c r="J340" s="1">
        <v>2</v>
      </c>
    </row>
    <row r="341" spans="1:10" x14ac:dyDescent="0.2">
      <c r="A341" s="1">
        <v>1719</v>
      </c>
      <c r="B341" s="1">
        <v>0</v>
      </c>
      <c r="C341" s="1">
        <v>7</v>
      </c>
      <c r="D341" s="1">
        <v>5</v>
      </c>
      <c r="E341" s="1">
        <v>2</v>
      </c>
      <c r="F341" s="1">
        <v>5</v>
      </c>
      <c r="G341" s="1">
        <v>2</v>
      </c>
      <c r="H341" s="1">
        <v>1</v>
      </c>
      <c r="I341" s="1">
        <v>2</v>
      </c>
      <c r="J341" s="1">
        <v>2</v>
      </c>
    </row>
    <row r="342" spans="1:10" x14ac:dyDescent="0.2">
      <c r="A342" s="1">
        <v>2112</v>
      </c>
      <c r="B342" s="1">
        <v>0</v>
      </c>
      <c r="C342" s="1">
        <v>14</v>
      </c>
      <c r="D342" s="1">
        <v>1</v>
      </c>
      <c r="E342" s="1">
        <v>2</v>
      </c>
      <c r="F342" s="1">
        <v>5</v>
      </c>
      <c r="G342" s="1">
        <v>2</v>
      </c>
      <c r="H342" s="1">
        <v>1</v>
      </c>
      <c r="I342" s="1">
        <v>0</v>
      </c>
      <c r="J342" s="1">
        <v>2</v>
      </c>
    </row>
    <row r="343" spans="1:10" x14ac:dyDescent="0.2">
      <c r="A343" s="1">
        <v>456</v>
      </c>
      <c r="B343" s="1">
        <v>0</v>
      </c>
      <c r="C343" s="1">
        <v>10</v>
      </c>
      <c r="D343" s="1">
        <v>4</v>
      </c>
      <c r="E343" s="1">
        <v>3</v>
      </c>
      <c r="F343" s="1">
        <v>5</v>
      </c>
      <c r="G343" s="1">
        <v>2</v>
      </c>
      <c r="H343" s="1">
        <v>1</v>
      </c>
      <c r="I343" s="1">
        <v>3</v>
      </c>
      <c r="J343" s="1">
        <v>2</v>
      </c>
    </row>
    <row r="344" spans="1:10" x14ac:dyDescent="0.2">
      <c r="A344" s="1">
        <v>1754</v>
      </c>
      <c r="B344" s="1">
        <v>0</v>
      </c>
      <c r="C344" s="1">
        <v>8</v>
      </c>
      <c r="D344" s="1">
        <v>3</v>
      </c>
      <c r="E344" s="1">
        <v>1</v>
      </c>
      <c r="F344" s="1">
        <v>6</v>
      </c>
      <c r="G344" s="1">
        <v>2</v>
      </c>
      <c r="H344" s="1">
        <v>0</v>
      </c>
      <c r="I344" s="1">
        <v>1</v>
      </c>
      <c r="J344" s="1">
        <v>2</v>
      </c>
    </row>
    <row r="345" spans="1:10" x14ac:dyDescent="0.2">
      <c r="A345" s="1">
        <v>2180</v>
      </c>
      <c r="B345" s="1">
        <v>0</v>
      </c>
      <c r="C345" s="1">
        <v>14</v>
      </c>
      <c r="D345" s="1">
        <v>5</v>
      </c>
      <c r="E345" s="1">
        <v>2</v>
      </c>
      <c r="F345" s="1">
        <v>6</v>
      </c>
      <c r="G345" s="1">
        <v>2</v>
      </c>
      <c r="H345" s="1">
        <v>1</v>
      </c>
      <c r="I345" s="1">
        <v>1</v>
      </c>
      <c r="J345" s="1">
        <v>2</v>
      </c>
    </row>
    <row r="346" spans="1:10" x14ac:dyDescent="0.2">
      <c r="A346" s="1">
        <v>338</v>
      </c>
      <c r="B346" s="1">
        <v>0</v>
      </c>
      <c r="C346" s="1">
        <v>10</v>
      </c>
      <c r="D346" s="1">
        <v>5</v>
      </c>
      <c r="E346" s="1">
        <v>3</v>
      </c>
      <c r="F346" s="1">
        <v>6</v>
      </c>
      <c r="G346" s="1">
        <v>2</v>
      </c>
      <c r="H346" s="1">
        <v>1</v>
      </c>
      <c r="I346" s="1">
        <v>2</v>
      </c>
      <c r="J346" s="1">
        <v>2</v>
      </c>
    </row>
    <row r="347" spans="1:10" x14ac:dyDescent="0.2">
      <c r="A347" s="1">
        <v>1886</v>
      </c>
      <c r="B347" s="1">
        <v>0</v>
      </c>
      <c r="C347" s="1">
        <v>18</v>
      </c>
      <c r="D347" s="1">
        <v>4</v>
      </c>
      <c r="E347" s="1">
        <v>3</v>
      </c>
      <c r="F347" s="1">
        <v>6</v>
      </c>
      <c r="G347" s="1">
        <v>2</v>
      </c>
      <c r="H347" s="1">
        <v>0</v>
      </c>
      <c r="I347" s="1">
        <v>1</v>
      </c>
      <c r="J347" s="1">
        <v>2</v>
      </c>
    </row>
    <row r="348" spans="1:10" x14ac:dyDescent="0.2">
      <c r="A348" s="1">
        <v>466</v>
      </c>
      <c r="B348" s="1">
        <v>0</v>
      </c>
      <c r="C348" s="1">
        <v>9</v>
      </c>
      <c r="D348" s="1">
        <v>4</v>
      </c>
      <c r="E348" s="1">
        <v>2</v>
      </c>
      <c r="F348" s="1">
        <v>7</v>
      </c>
      <c r="G348" s="1">
        <v>2</v>
      </c>
      <c r="H348" s="1">
        <v>1</v>
      </c>
      <c r="I348" s="1">
        <v>1</v>
      </c>
      <c r="J348" s="1">
        <v>2</v>
      </c>
    </row>
    <row r="349" spans="1:10" x14ac:dyDescent="0.2">
      <c r="A349" s="1">
        <v>1897</v>
      </c>
      <c r="B349" s="1">
        <v>0</v>
      </c>
      <c r="C349" s="1">
        <v>16</v>
      </c>
      <c r="D349" s="1">
        <v>2</v>
      </c>
      <c r="E349" s="1">
        <v>2</v>
      </c>
      <c r="F349" s="1">
        <v>7</v>
      </c>
      <c r="G349" s="1">
        <v>2</v>
      </c>
      <c r="H349" s="1">
        <v>1</v>
      </c>
      <c r="I349" s="1">
        <v>0</v>
      </c>
      <c r="J349" s="1">
        <v>2</v>
      </c>
    </row>
    <row r="350" spans="1:10" x14ac:dyDescent="0.2">
      <c r="A350" s="1">
        <v>1193</v>
      </c>
      <c r="B350" s="1">
        <v>0</v>
      </c>
      <c r="C350" s="1">
        <v>11</v>
      </c>
      <c r="D350" s="1">
        <v>3</v>
      </c>
      <c r="E350" s="1">
        <v>3</v>
      </c>
      <c r="F350" s="1">
        <v>7</v>
      </c>
      <c r="G350" s="1">
        <v>2</v>
      </c>
      <c r="H350" s="1">
        <v>0</v>
      </c>
      <c r="I350" s="1">
        <v>1</v>
      </c>
      <c r="J350" s="1">
        <v>2</v>
      </c>
    </row>
    <row r="351" spans="1:10" x14ac:dyDescent="0.2">
      <c r="A351" s="1">
        <v>2256</v>
      </c>
      <c r="B351" s="1">
        <v>0</v>
      </c>
      <c r="C351" s="1">
        <v>19</v>
      </c>
      <c r="D351" s="1">
        <v>1</v>
      </c>
      <c r="E351" s="1">
        <v>3</v>
      </c>
      <c r="F351" s="1">
        <v>7</v>
      </c>
      <c r="G351" s="1">
        <v>2</v>
      </c>
      <c r="H351" s="1">
        <v>1</v>
      </c>
      <c r="I351" s="1">
        <v>0</v>
      </c>
      <c r="J351" s="1">
        <v>2</v>
      </c>
    </row>
    <row r="352" spans="1:10" x14ac:dyDescent="0.2">
      <c r="A352" s="1">
        <v>310</v>
      </c>
      <c r="B352" s="1">
        <v>0</v>
      </c>
      <c r="C352" s="1">
        <v>11</v>
      </c>
      <c r="D352" s="1">
        <v>2</v>
      </c>
      <c r="E352" s="1">
        <v>1</v>
      </c>
      <c r="F352" s="1">
        <v>8</v>
      </c>
      <c r="G352" s="1">
        <v>2</v>
      </c>
      <c r="H352" s="1">
        <v>1</v>
      </c>
      <c r="I352" s="1">
        <v>1</v>
      </c>
      <c r="J352" s="1">
        <v>2</v>
      </c>
    </row>
    <row r="353" spans="1:10" x14ac:dyDescent="0.2">
      <c r="A353" s="1">
        <v>183</v>
      </c>
      <c r="B353" s="1">
        <v>0</v>
      </c>
      <c r="C353" s="1">
        <v>17</v>
      </c>
      <c r="D353" s="1">
        <v>2</v>
      </c>
      <c r="E353" s="1">
        <v>1</v>
      </c>
      <c r="F353" s="1">
        <v>8</v>
      </c>
      <c r="G353" s="1">
        <v>2</v>
      </c>
      <c r="H353" s="1">
        <v>1</v>
      </c>
      <c r="I353" s="1">
        <v>0</v>
      </c>
      <c r="J353" s="1">
        <v>2</v>
      </c>
    </row>
    <row r="354" spans="1:10" x14ac:dyDescent="0.2">
      <c r="A354" s="1">
        <v>2336</v>
      </c>
      <c r="B354" s="1">
        <v>0</v>
      </c>
      <c r="C354" s="1">
        <v>19</v>
      </c>
      <c r="D354" s="1">
        <v>4</v>
      </c>
      <c r="E354" s="1">
        <v>1</v>
      </c>
      <c r="F354" s="1">
        <v>8</v>
      </c>
      <c r="G354" s="1">
        <v>2</v>
      </c>
      <c r="H354" s="1">
        <v>1</v>
      </c>
      <c r="I354" s="1">
        <v>2</v>
      </c>
      <c r="J354" s="1">
        <v>2</v>
      </c>
    </row>
    <row r="355" spans="1:10" x14ac:dyDescent="0.2">
      <c r="A355" s="1">
        <v>2242</v>
      </c>
      <c r="B355" s="1">
        <v>0</v>
      </c>
      <c r="C355" s="1">
        <v>11</v>
      </c>
      <c r="D355" s="1">
        <v>5</v>
      </c>
      <c r="E355" s="1">
        <v>2</v>
      </c>
      <c r="F355" s="1">
        <v>8</v>
      </c>
      <c r="G355" s="1">
        <v>2</v>
      </c>
      <c r="H355" s="1">
        <v>0</v>
      </c>
      <c r="I355" s="1">
        <v>1</v>
      </c>
      <c r="J355" s="1">
        <v>2</v>
      </c>
    </row>
    <row r="356" spans="1:10" x14ac:dyDescent="0.2">
      <c r="A356" s="1">
        <v>2013</v>
      </c>
      <c r="B356" s="1">
        <v>0</v>
      </c>
      <c r="C356" s="1">
        <v>12</v>
      </c>
      <c r="D356" s="1">
        <v>4</v>
      </c>
      <c r="E356" s="1">
        <v>3</v>
      </c>
      <c r="F356" s="1">
        <v>8</v>
      </c>
      <c r="G356" s="1">
        <v>2</v>
      </c>
      <c r="H356" s="1">
        <v>0</v>
      </c>
      <c r="I356" s="1">
        <v>2</v>
      </c>
      <c r="J356" s="1">
        <v>2</v>
      </c>
    </row>
    <row r="357" spans="1:10" x14ac:dyDescent="0.2">
      <c r="A357" s="1">
        <v>1654</v>
      </c>
      <c r="B357" s="1">
        <v>0</v>
      </c>
      <c r="C357" s="1">
        <v>13</v>
      </c>
      <c r="D357" s="1">
        <v>4</v>
      </c>
      <c r="E357" s="1">
        <v>3</v>
      </c>
      <c r="F357" s="1">
        <v>8</v>
      </c>
      <c r="G357" s="1">
        <v>2</v>
      </c>
      <c r="H357" s="1">
        <v>0</v>
      </c>
      <c r="I357" s="1">
        <v>2</v>
      </c>
      <c r="J357" s="1">
        <v>2</v>
      </c>
    </row>
    <row r="358" spans="1:10" x14ac:dyDescent="0.2">
      <c r="A358" s="1">
        <v>788</v>
      </c>
      <c r="B358" s="1">
        <v>0</v>
      </c>
      <c r="C358" s="1">
        <v>17</v>
      </c>
      <c r="D358" s="1">
        <v>2</v>
      </c>
      <c r="E358" s="1">
        <v>1</v>
      </c>
      <c r="F358" s="1">
        <v>9</v>
      </c>
      <c r="G358" s="1">
        <v>2</v>
      </c>
      <c r="H358" s="1">
        <v>1</v>
      </c>
      <c r="I358" s="1">
        <v>1</v>
      </c>
      <c r="J358" s="1">
        <v>2</v>
      </c>
    </row>
    <row r="359" spans="1:10" x14ac:dyDescent="0.2">
      <c r="A359" s="1">
        <v>1159</v>
      </c>
      <c r="B359" s="1">
        <v>0</v>
      </c>
      <c r="C359" s="1">
        <v>20</v>
      </c>
      <c r="D359" s="1">
        <v>1</v>
      </c>
      <c r="E359" s="1">
        <v>1</v>
      </c>
      <c r="F359" s="1">
        <v>9</v>
      </c>
      <c r="G359" s="1">
        <v>2</v>
      </c>
      <c r="H359" s="1">
        <v>0</v>
      </c>
      <c r="I359" s="1">
        <v>0</v>
      </c>
      <c r="J359" s="1">
        <v>2</v>
      </c>
    </row>
    <row r="360" spans="1:10" x14ac:dyDescent="0.2">
      <c r="A360" s="1">
        <v>908</v>
      </c>
      <c r="B360" s="1">
        <v>0</v>
      </c>
      <c r="C360" s="1">
        <v>5</v>
      </c>
      <c r="D360" s="1">
        <v>1</v>
      </c>
      <c r="E360" s="1">
        <v>2</v>
      </c>
      <c r="F360" s="1">
        <v>9</v>
      </c>
      <c r="G360" s="1">
        <v>2</v>
      </c>
      <c r="H360" s="1">
        <v>1</v>
      </c>
      <c r="I360" s="1">
        <v>3</v>
      </c>
      <c r="J360" s="1">
        <v>2</v>
      </c>
    </row>
    <row r="361" spans="1:10" x14ac:dyDescent="0.2">
      <c r="A361" s="1">
        <v>1805</v>
      </c>
      <c r="B361" s="1">
        <v>0</v>
      </c>
      <c r="C361" s="1">
        <v>12</v>
      </c>
      <c r="D361" s="1">
        <v>2</v>
      </c>
      <c r="E361" s="1">
        <v>3</v>
      </c>
      <c r="F361" s="1">
        <v>9</v>
      </c>
      <c r="G361" s="1">
        <v>2</v>
      </c>
      <c r="H361" s="1">
        <v>1</v>
      </c>
      <c r="I361" s="1">
        <v>0</v>
      </c>
      <c r="J361" s="1">
        <v>2</v>
      </c>
    </row>
    <row r="362" spans="1:10" x14ac:dyDescent="0.2">
      <c r="A362" s="1">
        <v>1261</v>
      </c>
      <c r="B362" s="1">
        <v>0</v>
      </c>
      <c r="C362" s="1">
        <v>13</v>
      </c>
      <c r="D362" s="1">
        <v>2</v>
      </c>
      <c r="E362" s="1">
        <v>3</v>
      </c>
      <c r="F362" s="1">
        <v>9</v>
      </c>
      <c r="G362" s="1">
        <v>2</v>
      </c>
      <c r="H362" s="1">
        <v>0</v>
      </c>
      <c r="I362" s="1">
        <v>2</v>
      </c>
      <c r="J362" s="1">
        <v>2</v>
      </c>
    </row>
    <row r="363" spans="1:10" x14ac:dyDescent="0.2">
      <c r="A363" s="1">
        <v>1321</v>
      </c>
      <c r="B363" s="1">
        <v>0</v>
      </c>
      <c r="C363" s="1">
        <v>13</v>
      </c>
      <c r="D363" s="1">
        <v>2</v>
      </c>
      <c r="E363" s="1">
        <v>3</v>
      </c>
      <c r="F363" s="1">
        <v>9</v>
      </c>
      <c r="G363" s="1">
        <v>2</v>
      </c>
      <c r="H363" s="1">
        <v>1</v>
      </c>
      <c r="I363" s="1">
        <v>3</v>
      </c>
      <c r="J363" s="1">
        <v>2</v>
      </c>
    </row>
    <row r="364" spans="1:10" x14ac:dyDescent="0.2">
      <c r="A364" s="1">
        <v>1474</v>
      </c>
      <c r="B364" s="1">
        <v>0</v>
      </c>
      <c r="C364" s="1">
        <v>11</v>
      </c>
      <c r="D364" s="1">
        <v>1</v>
      </c>
      <c r="E364" s="1">
        <v>1</v>
      </c>
      <c r="F364" s="1">
        <v>10</v>
      </c>
      <c r="G364" s="1">
        <v>2</v>
      </c>
      <c r="H364" s="1">
        <v>0</v>
      </c>
      <c r="I364" s="1">
        <v>2</v>
      </c>
      <c r="J364" s="1">
        <v>2</v>
      </c>
    </row>
    <row r="365" spans="1:10" x14ac:dyDescent="0.2">
      <c r="A365" s="1">
        <v>1471</v>
      </c>
      <c r="B365" s="1">
        <v>0</v>
      </c>
      <c r="C365" s="1">
        <v>19</v>
      </c>
      <c r="D365" s="1">
        <v>4</v>
      </c>
      <c r="E365" s="1">
        <v>1</v>
      </c>
      <c r="F365" s="1">
        <v>10</v>
      </c>
      <c r="G365" s="1">
        <v>2</v>
      </c>
      <c r="H365" s="1">
        <v>1</v>
      </c>
      <c r="I365" s="1">
        <v>3</v>
      </c>
      <c r="J365" s="1">
        <v>2</v>
      </c>
    </row>
    <row r="366" spans="1:10" x14ac:dyDescent="0.2">
      <c r="A366" s="1">
        <v>2387</v>
      </c>
      <c r="B366" s="1">
        <v>0</v>
      </c>
      <c r="C366" s="1">
        <v>11</v>
      </c>
      <c r="D366" s="1">
        <v>2</v>
      </c>
      <c r="E366" s="1">
        <v>2</v>
      </c>
      <c r="F366" s="1">
        <v>10</v>
      </c>
      <c r="G366" s="1">
        <v>2</v>
      </c>
      <c r="H366" s="1">
        <v>1</v>
      </c>
      <c r="I366" s="1">
        <v>2</v>
      </c>
      <c r="J366" s="1">
        <v>2</v>
      </c>
    </row>
    <row r="367" spans="1:10" x14ac:dyDescent="0.2">
      <c r="A367" s="1">
        <v>1898</v>
      </c>
      <c r="B367" s="1">
        <v>0</v>
      </c>
      <c r="C367" s="1">
        <v>10</v>
      </c>
      <c r="D367" s="1">
        <v>4</v>
      </c>
      <c r="E367" s="1">
        <v>3</v>
      </c>
      <c r="F367" s="1">
        <v>10</v>
      </c>
      <c r="G367" s="1">
        <v>2</v>
      </c>
      <c r="H367" s="1">
        <v>0</v>
      </c>
      <c r="I367" s="1">
        <v>2</v>
      </c>
      <c r="J367" s="1">
        <v>2</v>
      </c>
    </row>
    <row r="368" spans="1:10" x14ac:dyDescent="0.2">
      <c r="A368" s="1">
        <v>398</v>
      </c>
      <c r="B368" s="1">
        <v>0</v>
      </c>
      <c r="C368" s="1">
        <v>17</v>
      </c>
      <c r="D368" s="1">
        <v>1</v>
      </c>
      <c r="E368" s="1">
        <v>3</v>
      </c>
      <c r="F368" s="1">
        <v>10</v>
      </c>
      <c r="G368" s="1">
        <v>2</v>
      </c>
      <c r="H368" s="1">
        <v>1</v>
      </c>
      <c r="I368" s="1">
        <v>2</v>
      </c>
      <c r="J368" s="1">
        <v>2</v>
      </c>
    </row>
    <row r="369" spans="1:10" x14ac:dyDescent="0.2">
      <c r="A369" s="1">
        <v>1304</v>
      </c>
      <c r="B369" s="1">
        <v>0</v>
      </c>
      <c r="C369" s="1">
        <v>17</v>
      </c>
      <c r="D369" s="1">
        <v>2</v>
      </c>
      <c r="E369" s="1">
        <v>3</v>
      </c>
      <c r="F369" s="1">
        <v>10</v>
      </c>
      <c r="G369" s="1">
        <v>2</v>
      </c>
      <c r="H369" s="1">
        <v>0</v>
      </c>
      <c r="I369" s="1">
        <v>0</v>
      </c>
      <c r="J369" s="1">
        <v>2</v>
      </c>
    </row>
    <row r="370" spans="1:10" x14ac:dyDescent="0.2">
      <c r="A370" s="1">
        <v>1503</v>
      </c>
      <c r="B370" s="1">
        <v>0</v>
      </c>
      <c r="C370" s="1">
        <v>19</v>
      </c>
      <c r="D370" s="1">
        <v>4</v>
      </c>
      <c r="E370" s="1">
        <v>3</v>
      </c>
      <c r="F370" s="1">
        <v>10</v>
      </c>
      <c r="G370" s="1">
        <v>2</v>
      </c>
      <c r="H370" s="1">
        <v>1</v>
      </c>
      <c r="I370" s="1">
        <v>3</v>
      </c>
      <c r="J370" s="1">
        <v>2</v>
      </c>
    </row>
    <row r="371" spans="1:10" x14ac:dyDescent="0.2">
      <c r="A371" s="1">
        <v>2462</v>
      </c>
      <c r="B371" s="1">
        <v>0</v>
      </c>
      <c r="C371" s="1">
        <v>6</v>
      </c>
      <c r="D371" s="1">
        <v>2</v>
      </c>
      <c r="E371" s="1">
        <v>1</v>
      </c>
      <c r="F371" s="1">
        <v>1</v>
      </c>
      <c r="G371" s="1">
        <v>2</v>
      </c>
      <c r="H371" s="1">
        <v>0</v>
      </c>
      <c r="I371" s="1">
        <v>3</v>
      </c>
      <c r="J371" s="1">
        <v>3</v>
      </c>
    </row>
    <row r="372" spans="1:10" x14ac:dyDescent="0.2">
      <c r="A372" s="1">
        <v>805</v>
      </c>
      <c r="B372" s="1">
        <v>0</v>
      </c>
      <c r="C372" s="1">
        <v>6</v>
      </c>
      <c r="D372" s="1">
        <v>1</v>
      </c>
      <c r="E372" s="1">
        <v>2</v>
      </c>
      <c r="F372" s="1">
        <v>1</v>
      </c>
      <c r="G372" s="1">
        <v>2</v>
      </c>
      <c r="H372" s="1">
        <v>0</v>
      </c>
      <c r="I372" s="1">
        <v>0</v>
      </c>
      <c r="J372" s="1">
        <v>3</v>
      </c>
    </row>
    <row r="373" spans="1:10" x14ac:dyDescent="0.2">
      <c r="A373" s="1">
        <v>748</v>
      </c>
      <c r="B373" s="1">
        <v>0</v>
      </c>
      <c r="C373" s="1">
        <v>18</v>
      </c>
      <c r="D373" s="1">
        <v>4</v>
      </c>
      <c r="E373" s="1">
        <v>2</v>
      </c>
      <c r="F373" s="1">
        <v>1</v>
      </c>
      <c r="G373" s="1">
        <v>2</v>
      </c>
      <c r="H373" s="1">
        <v>1</v>
      </c>
      <c r="I373" s="1">
        <v>2</v>
      </c>
      <c r="J373" s="1">
        <v>3</v>
      </c>
    </row>
    <row r="374" spans="1:10" x14ac:dyDescent="0.2">
      <c r="A374" s="1">
        <v>81</v>
      </c>
      <c r="B374" s="1">
        <v>0</v>
      </c>
      <c r="C374" s="1">
        <v>13</v>
      </c>
      <c r="D374" s="1">
        <v>4</v>
      </c>
      <c r="E374" s="1">
        <v>3</v>
      </c>
      <c r="F374" s="1">
        <v>1</v>
      </c>
      <c r="G374" s="1">
        <v>2</v>
      </c>
      <c r="H374" s="1">
        <v>0</v>
      </c>
      <c r="I374" s="1">
        <v>0</v>
      </c>
      <c r="J374" s="1">
        <v>3</v>
      </c>
    </row>
    <row r="375" spans="1:10" x14ac:dyDescent="0.2">
      <c r="A375" s="1">
        <v>1410</v>
      </c>
      <c r="B375" s="1">
        <v>0</v>
      </c>
      <c r="C375" s="1">
        <v>14</v>
      </c>
      <c r="D375" s="1">
        <v>3</v>
      </c>
      <c r="E375" s="1">
        <v>3</v>
      </c>
      <c r="F375" s="1">
        <v>1</v>
      </c>
      <c r="G375" s="1">
        <v>2</v>
      </c>
      <c r="H375" s="1">
        <v>1</v>
      </c>
      <c r="I375" s="1">
        <v>3</v>
      </c>
      <c r="J375" s="1">
        <v>3</v>
      </c>
    </row>
    <row r="376" spans="1:10" x14ac:dyDescent="0.2">
      <c r="A376" s="1">
        <v>938</v>
      </c>
      <c r="B376" s="1">
        <v>0</v>
      </c>
      <c r="C376" s="1">
        <v>7</v>
      </c>
      <c r="D376" s="1">
        <v>3</v>
      </c>
      <c r="E376" s="1">
        <v>2</v>
      </c>
      <c r="F376" s="1">
        <v>2</v>
      </c>
      <c r="G376" s="1">
        <v>2</v>
      </c>
      <c r="H376" s="1">
        <v>0</v>
      </c>
      <c r="I376" s="1">
        <v>1</v>
      </c>
      <c r="J376" s="1">
        <v>3</v>
      </c>
    </row>
    <row r="377" spans="1:10" x14ac:dyDescent="0.2">
      <c r="A377" s="1">
        <v>1618</v>
      </c>
      <c r="B377" s="1">
        <v>0</v>
      </c>
      <c r="C377" s="1">
        <v>8</v>
      </c>
      <c r="D377" s="1">
        <v>5</v>
      </c>
      <c r="E377" s="1">
        <v>2</v>
      </c>
      <c r="F377" s="1">
        <v>2</v>
      </c>
      <c r="G377" s="1">
        <v>2</v>
      </c>
      <c r="H377" s="1">
        <v>0</v>
      </c>
      <c r="I377" s="1">
        <v>1</v>
      </c>
      <c r="J377" s="1">
        <v>3</v>
      </c>
    </row>
    <row r="378" spans="1:10" x14ac:dyDescent="0.2">
      <c r="A378" s="1">
        <v>2304</v>
      </c>
      <c r="B378" s="1">
        <v>0</v>
      </c>
      <c r="C378" s="1">
        <v>12</v>
      </c>
      <c r="D378" s="1">
        <v>4</v>
      </c>
      <c r="E378" s="1">
        <v>2</v>
      </c>
      <c r="F378" s="1">
        <v>2</v>
      </c>
      <c r="G378" s="1">
        <v>2</v>
      </c>
      <c r="H378" s="1">
        <v>1</v>
      </c>
      <c r="I378" s="1">
        <v>3</v>
      </c>
      <c r="J378" s="1">
        <v>3</v>
      </c>
    </row>
    <row r="379" spans="1:10" x14ac:dyDescent="0.2">
      <c r="A379" s="1">
        <v>143</v>
      </c>
      <c r="B379" s="1">
        <v>0</v>
      </c>
      <c r="C379" s="1">
        <v>17</v>
      </c>
      <c r="D379" s="1">
        <v>2</v>
      </c>
      <c r="E379" s="1">
        <v>2</v>
      </c>
      <c r="F379" s="1">
        <v>2</v>
      </c>
      <c r="G379" s="1">
        <v>2</v>
      </c>
      <c r="H379" s="1">
        <v>1</v>
      </c>
      <c r="I379" s="1">
        <v>2</v>
      </c>
      <c r="J379" s="1">
        <v>3</v>
      </c>
    </row>
    <row r="380" spans="1:10" x14ac:dyDescent="0.2">
      <c r="A380" s="1">
        <v>1826</v>
      </c>
      <c r="B380" s="1">
        <v>0</v>
      </c>
      <c r="C380" s="1">
        <v>9</v>
      </c>
      <c r="D380" s="1">
        <v>3</v>
      </c>
      <c r="E380" s="1">
        <v>3</v>
      </c>
      <c r="F380" s="1">
        <v>2</v>
      </c>
      <c r="G380" s="1">
        <v>2</v>
      </c>
      <c r="H380" s="1">
        <v>0</v>
      </c>
      <c r="I380" s="1">
        <v>1</v>
      </c>
      <c r="J380" s="1">
        <v>3</v>
      </c>
    </row>
    <row r="381" spans="1:10" x14ac:dyDescent="0.2">
      <c r="A381" s="1">
        <v>2289</v>
      </c>
      <c r="B381" s="1">
        <v>0</v>
      </c>
      <c r="C381" s="1">
        <v>18</v>
      </c>
      <c r="D381" s="1">
        <v>4</v>
      </c>
      <c r="E381" s="1">
        <v>1</v>
      </c>
      <c r="F381" s="1">
        <v>3</v>
      </c>
      <c r="G381" s="1">
        <v>2</v>
      </c>
      <c r="H381" s="1">
        <v>0</v>
      </c>
      <c r="I381" s="1">
        <v>1</v>
      </c>
      <c r="J381" s="1">
        <v>3</v>
      </c>
    </row>
    <row r="382" spans="1:10" x14ac:dyDescent="0.2">
      <c r="A382" s="1">
        <v>1052</v>
      </c>
      <c r="B382" s="1">
        <v>0</v>
      </c>
      <c r="C382" s="1">
        <v>18</v>
      </c>
      <c r="D382" s="1">
        <v>2</v>
      </c>
      <c r="E382" s="1">
        <v>2</v>
      </c>
      <c r="F382" s="1">
        <v>3</v>
      </c>
      <c r="G382" s="1">
        <v>2</v>
      </c>
      <c r="H382" s="1">
        <v>1</v>
      </c>
      <c r="I382" s="1">
        <v>0</v>
      </c>
      <c r="J382" s="1">
        <v>3</v>
      </c>
    </row>
    <row r="383" spans="1:10" x14ac:dyDescent="0.2">
      <c r="A383" s="1">
        <v>396</v>
      </c>
      <c r="B383" s="1">
        <v>0</v>
      </c>
      <c r="C383" s="1">
        <v>7</v>
      </c>
      <c r="D383" s="1">
        <v>5</v>
      </c>
      <c r="E383" s="1">
        <v>3</v>
      </c>
      <c r="F383" s="1">
        <v>3</v>
      </c>
      <c r="G383" s="1">
        <v>2</v>
      </c>
      <c r="H383" s="1">
        <v>1</v>
      </c>
      <c r="I383" s="1">
        <v>3</v>
      </c>
      <c r="J383" s="1">
        <v>3</v>
      </c>
    </row>
    <row r="384" spans="1:10" x14ac:dyDescent="0.2">
      <c r="A384" s="1">
        <v>1157</v>
      </c>
      <c r="B384" s="1">
        <v>0</v>
      </c>
      <c r="C384" s="1">
        <v>7</v>
      </c>
      <c r="D384" s="1">
        <v>1</v>
      </c>
      <c r="E384" s="1">
        <v>1</v>
      </c>
      <c r="F384" s="1">
        <v>4</v>
      </c>
      <c r="G384" s="1">
        <v>2</v>
      </c>
      <c r="H384" s="1">
        <v>0</v>
      </c>
      <c r="I384" s="1">
        <v>3</v>
      </c>
      <c r="J384" s="1">
        <v>3</v>
      </c>
    </row>
    <row r="385" spans="1:10" x14ac:dyDescent="0.2">
      <c r="A385" s="1">
        <v>1114</v>
      </c>
      <c r="B385" s="1">
        <v>0</v>
      </c>
      <c r="C385" s="1">
        <v>13</v>
      </c>
      <c r="D385" s="1">
        <v>3</v>
      </c>
      <c r="E385" s="1">
        <v>1</v>
      </c>
      <c r="F385" s="1">
        <v>4</v>
      </c>
      <c r="G385" s="1">
        <v>2</v>
      </c>
      <c r="H385" s="1">
        <v>1</v>
      </c>
      <c r="I385" s="1">
        <v>2</v>
      </c>
      <c r="J385" s="1">
        <v>3</v>
      </c>
    </row>
    <row r="386" spans="1:10" x14ac:dyDescent="0.2">
      <c r="A386" s="1">
        <v>353</v>
      </c>
      <c r="B386" s="1">
        <v>0</v>
      </c>
      <c r="C386" s="1">
        <v>7</v>
      </c>
      <c r="D386" s="1">
        <v>5</v>
      </c>
      <c r="E386" s="1">
        <v>2</v>
      </c>
      <c r="F386" s="1">
        <v>4</v>
      </c>
      <c r="G386" s="1">
        <v>2</v>
      </c>
      <c r="H386" s="1">
        <v>1</v>
      </c>
      <c r="I386" s="1">
        <v>0</v>
      </c>
      <c r="J386" s="1">
        <v>3</v>
      </c>
    </row>
    <row r="387" spans="1:10" x14ac:dyDescent="0.2">
      <c r="A387" s="1">
        <v>896</v>
      </c>
      <c r="B387" s="1">
        <v>0</v>
      </c>
      <c r="C387" s="1">
        <v>10</v>
      </c>
      <c r="D387" s="1">
        <v>3</v>
      </c>
      <c r="E387" s="1">
        <v>2</v>
      </c>
      <c r="F387" s="1">
        <v>4</v>
      </c>
      <c r="G387" s="1">
        <v>2</v>
      </c>
      <c r="H387" s="1">
        <v>0</v>
      </c>
      <c r="I387" s="1">
        <v>0</v>
      </c>
      <c r="J387" s="1">
        <v>3</v>
      </c>
    </row>
    <row r="388" spans="1:10" x14ac:dyDescent="0.2">
      <c r="A388" s="1">
        <v>112</v>
      </c>
      <c r="B388" s="1">
        <v>0</v>
      </c>
      <c r="C388" s="1">
        <v>9</v>
      </c>
      <c r="D388" s="1">
        <v>5</v>
      </c>
      <c r="E388" s="1">
        <v>1</v>
      </c>
      <c r="F388" s="1">
        <v>5</v>
      </c>
      <c r="G388" s="1">
        <v>2</v>
      </c>
      <c r="H388" s="1">
        <v>0</v>
      </c>
      <c r="I388" s="1">
        <v>0</v>
      </c>
      <c r="J388" s="1">
        <v>3</v>
      </c>
    </row>
    <row r="389" spans="1:10" x14ac:dyDescent="0.2">
      <c r="A389" s="1">
        <v>329</v>
      </c>
      <c r="B389" s="1">
        <v>0</v>
      </c>
      <c r="C389" s="1">
        <v>17</v>
      </c>
      <c r="D389" s="1">
        <v>3</v>
      </c>
      <c r="E389" s="1">
        <v>1</v>
      </c>
      <c r="F389" s="1">
        <v>5</v>
      </c>
      <c r="G389" s="1">
        <v>2</v>
      </c>
      <c r="H389" s="1">
        <v>1</v>
      </c>
      <c r="I389" s="1">
        <v>2</v>
      </c>
      <c r="J389" s="1">
        <v>3</v>
      </c>
    </row>
    <row r="390" spans="1:10" x14ac:dyDescent="0.2">
      <c r="A390" s="1">
        <v>12</v>
      </c>
      <c r="B390" s="1">
        <v>0</v>
      </c>
      <c r="C390" s="1">
        <v>18</v>
      </c>
      <c r="D390" s="1">
        <v>3</v>
      </c>
      <c r="E390" s="1">
        <v>1</v>
      </c>
      <c r="F390" s="1">
        <v>5</v>
      </c>
      <c r="G390" s="1">
        <v>2</v>
      </c>
      <c r="H390" s="1">
        <v>1</v>
      </c>
      <c r="I390" s="1">
        <v>2</v>
      </c>
      <c r="J390" s="1">
        <v>3</v>
      </c>
    </row>
    <row r="391" spans="1:10" x14ac:dyDescent="0.2">
      <c r="A391" s="1">
        <v>2498</v>
      </c>
      <c r="B391" s="1">
        <v>0</v>
      </c>
      <c r="C391" s="1">
        <v>19</v>
      </c>
      <c r="D391" s="1">
        <v>4</v>
      </c>
      <c r="E391" s="1">
        <v>2</v>
      </c>
      <c r="F391" s="1">
        <v>5</v>
      </c>
      <c r="G391" s="1">
        <v>2</v>
      </c>
      <c r="H391" s="1">
        <v>0</v>
      </c>
      <c r="I391" s="1">
        <v>1</v>
      </c>
      <c r="J391" s="1">
        <v>3</v>
      </c>
    </row>
    <row r="392" spans="1:10" x14ac:dyDescent="0.2">
      <c r="A392" s="1">
        <v>1879</v>
      </c>
      <c r="B392" s="1">
        <v>0</v>
      </c>
      <c r="C392" s="1">
        <v>20</v>
      </c>
      <c r="D392" s="1">
        <v>1</v>
      </c>
      <c r="E392" s="1">
        <v>2</v>
      </c>
      <c r="F392" s="1">
        <v>5</v>
      </c>
      <c r="G392" s="1">
        <v>2</v>
      </c>
      <c r="H392" s="1">
        <v>0</v>
      </c>
      <c r="I392" s="1">
        <v>3</v>
      </c>
      <c r="J392" s="1">
        <v>3</v>
      </c>
    </row>
    <row r="393" spans="1:10" x14ac:dyDescent="0.2">
      <c r="A393" s="1">
        <v>1218</v>
      </c>
      <c r="B393" s="1">
        <v>0</v>
      </c>
      <c r="C393" s="1">
        <v>12</v>
      </c>
      <c r="D393" s="1">
        <v>3</v>
      </c>
      <c r="E393" s="1">
        <v>1</v>
      </c>
      <c r="F393" s="1">
        <v>6</v>
      </c>
      <c r="G393" s="1">
        <v>2</v>
      </c>
      <c r="H393" s="1">
        <v>1</v>
      </c>
      <c r="I393" s="1">
        <v>1</v>
      </c>
      <c r="J393" s="1">
        <v>3</v>
      </c>
    </row>
    <row r="394" spans="1:10" x14ac:dyDescent="0.2">
      <c r="A394" s="1">
        <v>394</v>
      </c>
      <c r="B394" s="1">
        <v>0</v>
      </c>
      <c r="C394" s="1">
        <v>15</v>
      </c>
      <c r="D394" s="1">
        <v>2</v>
      </c>
      <c r="E394" s="1">
        <v>1</v>
      </c>
      <c r="F394" s="1">
        <v>6</v>
      </c>
      <c r="G394" s="1">
        <v>2</v>
      </c>
      <c r="H394" s="1">
        <v>1</v>
      </c>
      <c r="I394" s="1">
        <v>0</v>
      </c>
      <c r="J394" s="1">
        <v>3</v>
      </c>
    </row>
    <row r="395" spans="1:10" x14ac:dyDescent="0.2">
      <c r="A395" s="1">
        <v>647</v>
      </c>
      <c r="B395" s="1">
        <v>0</v>
      </c>
      <c r="C395" s="1">
        <v>15</v>
      </c>
      <c r="D395" s="1">
        <v>2</v>
      </c>
      <c r="E395" s="1">
        <v>1</v>
      </c>
      <c r="F395" s="1">
        <v>6</v>
      </c>
      <c r="G395" s="1">
        <v>2</v>
      </c>
      <c r="H395" s="1">
        <v>0</v>
      </c>
      <c r="I395" s="1">
        <v>0</v>
      </c>
      <c r="J395" s="1">
        <v>3</v>
      </c>
    </row>
    <row r="396" spans="1:10" x14ac:dyDescent="0.2">
      <c r="A396" s="1">
        <v>1682</v>
      </c>
      <c r="B396" s="1">
        <v>0</v>
      </c>
      <c r="C396" s="1">
        <v>18</v>
      </c>
      <c r="D396" s="1">
        <v>2</v>
      </c>
      <c r="E396" s="1">
        <v>1</v>
      </c>
      <c r="F396" s="1">
        <v>6</v>
      </c>
      <c r="G396" s="1">
        <v>2</v>
      </c>
      <c r="H396" s="1">
        <v>1</v>
      </c>
      <c r="I396" s="1">
        <v>0</v>
      </c>
      <c r="J396" s="1">
        <v>3</v>
      </c>
    </row>
    <row r="397" spans="1:10" x14ac:dyDescent="0.2">
      <c r="A397" s="1">
        <v>1840</v>
      </c>
      <c r="B397" s="1">
        <v>0</v>
      </c>
      <c r="C397" s="1">
        <v>20</v>
      </c>
      <c r="D397" s="1">
        <v>4</v>
      </c>
      <c r="E397" s="1">
        <v>1</v>
      </c>
      <c r="F397" s="1">
        <v>6</v>
      </c>
      <c r="G397" s="1">
        <v>2</v>
      </c>
      <c r="H397" s="1">
        <v>0</v>
      </c>
      <c r="I397" s="1">
        <v>2</v>
      </c>
      <c r="J397" s="1">
        <v>3</v>
      </c>
    </row>
    <row r="398" spans="1:10" x14ac:dyDescent="0.2">
      <c r="A398" s="1">
        <v>1510</v>
      </c>
      <c r="B398" s="1">
        <v>0</v>
      </c>
      <c r="C398" s="1">
        <v>13</v>
      </c>
      <c r="D398" s="1">
        <v>4</v>
      </c>
      <c r="E398" s="1">
        <v>2</v>
      </c>
      <c r="F398" s="1">
        <v>6</v>
      </c>
      <c r="G398" s="1">
        <v>2</v>
      </c>
      <c r="H398" s="1">
        <v>0</v>
      </c>
      <c r="I398" s="1">
        <v>2</v>
      </c>
      <c r="J398" s="1">
        <v>3</v>
      </c>
    </row>
    <row r="399" spans="1:10" x14ac:dyDescent="0.2">
      <c r="A399" s="1">
        <v>1598</v>
      </c>
      <c r="B399" s="1">
        <v>0</v>
      </c>
      <c r="C399" s="1">
        <v>11</v>
      </c>
      <c r="D399" s="1">
        <v>1</v>
      </c>
      <c r="E399" s="1">
        <v>3</v>
      </c>
      <c r="F399" s="1">
        <v>6</v>
      </c>
      <c r="G399" s="1">
        <v>2</v>
      </c>
      <c r="H399" s="1">
        <v>0</v>
      </c>
      <c r="I399" s="1">
        <v>0</v>
      </c>
      <c r="J399" s="1">
        <v>3</v>
      </c>
    </row>
    <row r="400" spans="1:10" x14ac:dyDescent="0.2">
      <c r="A400" s="1">
        <v>534</v>
      </c>
      <c r="B400" s="1">
        <v>0</v>
      </c>
      <c r="C400" s="1">
        <v>13</v>
      </c>
      <c r="D400" s="1">
        <v>2</v>
      </c>
      <c r="E400" s="1">
        <v>3</v>
      </c>
      <c r="F400" s="1">
        <v>6</v>
      </c>
      <c r="G400" s="1">
        <v>2</v>
      </c>
      <c r="H400" s="1">
        <v>1</v>
      </c>
      <c r="I400" s="1">
        <v>2</v>
      </c>
      <c r="J400" s="1">
        <v>3</v>
      </c>
    </row>
    <row r="401" spans="1:10" x14ac:dyDescent="0.2">
      <c r="A401" s="1">
        <v>558</v>
      </c>
      <c r="B401" s="1">
        <v>0</v>
      </c>
      <c r="C401" s="1">
        <v>13</v>
      </c>
      <c r="D401" s="1">
        <v>5</v>
      </c>
      <c r="E401" s="1">
        <v>3</v>
      </c>
      <c r="F401" s="1">
        <v>6</v>
      </c>
      <c r="G401" s="1">
        <v>2</v>
      </c>
      <c r="H401" s="1">
        <v>0</v>
      </c>
      <c r="I401" s="1">
        <v>1</v>
      </c>
      <c r="J401" s="1">
        <v>3</v>
      </c>
    </row>
    <row r="402" spans="1:10" x14ac:dyDescent="0.2">
      <c r="A402" s="1">
        <v>1979</v>
      </c>
      <c r="B402" s="1">
        <v>0</v>
      </c>
      <c r="C402" s="1">
        <v>19</v>
      </c>
      <c r="D402" s="1">
        <v>2</v>
      </c>
      <c r="E402" s="1">
        <v>3</v>
      </c>
      <c r="F402" s="1">
        <v>6</v>
      </c>
      <c r="G402" s="1">
        <v>2</v>
      </c>
      <c r="H402" s="1">
        <v>1</v>
      </c>
      <c r="I402" s="1">
        <v>1</v>
      </c>
      <c r="J402" s="1">
        <v>3</v>
      </c>
    </row>
    <row r="403" spans="1:10" x14ac:dyDescent="0.2">
      <c r="A403" s="1">
        <v>2209</v>
      </c>
      <c r="B403" s="1">
        <v>0</v>
      </c>
      <c r="C403" s="1">
        <v>6</v>
      </c>
      <c r="D403" s="1">
        <v>1</v>
      </c>
      <c r="E403" s="1">
        <v>1</v>
      </c>
      <c r="F403" s="1">
        <v>7</v>
      </c>
      <c r="G403" s="1">
        <v>2</v>
      </c>
      <c r="H403" s="1">
        <v>0</v>
      </c>
      <c r="I403" s="1">
        <v>3</v>
      </c>
      <c r="J403" s="1">
        <v>3</v>
      </c>
    </row>
    <row r="404" spans="1:10" x14ac:dyDescent="0.2">
      <c r="A404" s="1">
        <v>169</v>
      </c>
      <c r="B404" s="1">
        <v>0</v>
      </c>
      <c r="C404" s="1">
        <v>7</v>
      </c>
      <c r="D404" s="1">
        <v>4</v>
      </c>
      <c r="E404" s="1">
        <v>1</v>
      </c>
      <c r="F404" s="1">
        <v>7</v>
      </c>
      <c r="G404" s="1">
        <v>2</v>
      </c>
      <c r="H404" s="1">
        <v>1</v>
      </c>
      <c r="I404" s="1">
        <v>1</v>
      </c>
      <c r="J404" s="1">
        <v>3</v>
      </c>
    </row>
    <row r="405" spans="1:10" x14ac:dyDescent="0.2">
      <c r="A405" s="1">
        <v>223</v>
      </c>
      <c r="B405" s="1">
        <v>0</v>
      </c>
      <c r="C405" s="1">
        <v>12</v>
      </c>
      <c r="D405" s="1">
        <v>4</v>
      </c>
      <c r="E405" s="1">
        <v>1</v>
      </c>
      <c r="F405" s="1">
        <v>7</v>
      </c>
      <c r="G405" s="1">
        <v>2</v>
      </c>
      <c r="H405" s="1">
        <v>0</v>
      </c>
      <c r="I405" s="1">
        <v>3</v>
      </c>
      <c r="J405" s="1">
        <v>3</v>
      </c>
    </row>
    <row r="406" spans="1:10" x14ac:dyDescent="0.2">
      <c r="A406" s="1">
        <v>1780</v>
      </c>
      <c r="B406" s="1">
        <v>0</v>
      </c>
      <c r="C406" s="1">
        <v>15</v>
      </c>
      <c r="D406" s="1">
        <v>2</v>
      </c>
      <c r="E406" s="1">
        <v>1</v>
      </c>
      <c r="F406" s="1">
        <v>8</v>
      </c>
      <c r="G406" s="1">
        <v>2</v>
      </c>
      <c r="H406" s="1">
        <v>1</v>
      </c>
      <c r="I406" s="1">
        <v>1</v>
      </c>
      <c r="J406" s="1">
        <v>3</v>
      </c>
    </row>
    <row r="407" spans="1:10" x14ac:dyDescent="0.2">
      <c r="A407" s="1">
        <v>1165</v>
      </c>
      <c r="B407" s="1">
        <v>0</v>
      </c>
      <c r="C407" s="1">
        <v>19</v>
      </c>
      <c r="D407" s="1">
        <v>2</v>
      </c>
      <c r="E407" s="1">
        <v>2</v>
      </c>
      <c r="F407" s="1">
        <v>8</v>
      </c>
      <c r="G407" s="1">
        <v>2</v>
      </c>
      <c r="H407" s="1">
        <v>0</v>
      </c>
      <c r="I407" s="1">
        <v>1</v>
      </c>
      <c r="J407" s="1">
        <v>3</v>
      </c>
    </row>
    <row r="408" spans="1:10" x14ac:dyDescent="0.2">
      <c r="A408" s="1">
        <v>1837</v>
      </c>
      <c r="B408" s="1">
        <v>0</v>
      </c>
      <c r="C408" s="1">
        <v>5</v>
      </c>
      <c r="D408" s="1">
        <v>3</v>
      </c>
      <c r="E408" s="1">
        <v>1</v>
      </c>
      <c r="F408" s="1">
        <v>9</v>
      </c>
      <c r="G408" s="1">
        <v>2</v>
      </c>
      <c r="H408" s="1">
        <v>0</v>
      </c>
      <c r="I408" s="1">
        <v>0</v>
      </c>
      <c r="J408" s="1">
        <v>3</v>
      </c>
    </row>
    <row r="409" spans="1:10" x14ac:dyDescent="0.2">
      <c r="A409" s="1">
        <v>1029</v>
      </c>
      <c r="B409" s="1">
        <v>0</v>
      </c>
      <c r="C409" s="1">
        <v>11</v>
      </c>
      <c r="D409" s="1">
        <v>5</v>
      </c>
      <c r="E409" s="1">
        <v>1</v>
      </c>
      <c r="F409" s="1">
        <v>9</v>
      </c>
      <c r="G409" s="1">
        <v>2</v>
      </c>
      <c r="H409" s="1">
        <v>0</v>
      </c>
      <c r="I409" s="1">
        <v>3</v>
      </c>
      <c r="J409" s="1">
        <v>3</v>
      </c>
    </row>
    <row r="410" spans="1:10" x14ac:dyDescent="0.2">
      <c r="A410" s="1">
        <v>265</v>
      </c>
      <c r="B410" s="1">
        <v>0</v>
      </c>
      <c r="C410" s="1">
        <v>14</v>
      </c>
      <c r="D410" s="1">
        <v>2</v>
      </c>
      <c r="E410" s="1">
        <v>2</v>
      </c>
      <c r="F410" s="1">
        <v>9</v>
      </c>
      <c r="G410" s="1">
        <v>2</v>
      </c>
      <c r="H410" s="1">
        <v>0</v>
      </c>
      <c r="I410" s="1">
        <v>1</v>
      </c>
      <c r="J410" s="1">
        <v>3</v>
      </c>
    </row>
    <row r="411" spans="1:10" x14ac:dyDescent="0.2">
      <c r="A411" s="1">
        <v>412</v>
      </c>
      <c r="B411" s="1">
        <v>0</v>
      </c>
      <c r="C411" s="1">
        <v>12</v>
      </c>
      <c r="D411" s="1">
        <v>1</v>
      </c>
      <c r="E411" s="1">
        <v>3</v>
      </c>
      <c r="F411" s="1">
        <v>9</v>
      </c>
      <c r="G411" s="1">
        <v>2</v>
      </c>
      <c r="H411" s="1">
        <v>1</v>
      </c>
      <c r="I411" s="1">
        <v>0</v>
      </c>
      <c r="J411" s="1">
        <v>3</v>
      </c>
    </row>
    <row r="412" spans="1:10" x14ac:dyDescent="0.2">
      <c r="A412" s="1">
        <v>2274</v>
      </c>
      <c r="B412" s="1">
        <v>0</v>
      </c>
      <c r="C412" s="1">
        <v>20</v>
      </c>
      <c r="D412" s="1">
        <v>4</v>
      </c>
      <c r="E412" s="1">
        <v>3</v>
      </c>
      <c r="F412" s="1">
        <v>9</v>
      </c>
      <c r="G412" s="1">
        <v>2</v>
      </c>
      <c r="H412" s="1">
        <v>0</v>
      </c>
      <c r="I412" s="1">
        <v>3</v>
      </c>
      <c r="J412" s="1">
        <v>3</v>
      </c>
    </row>
    <row r="413" spans="1:10" x14ac:dyDescent="0.2">
      <c r="A413" s="1">
        <v>2448</v>
      </c>
      <c r="B413" s="1">
        <v>0</v>
      </c>
      <c r="C413" s="1">
        <v>16</v>
      </c>
      <c r="D413" s="1">
        <v>4</v>
      </c>
      <c r="E413" s="1">
        <v>1</v>
      </c>
      <c r="F413" s="1">
        <v>10</v>
      </c>
      <c r="G413" s="1">
        <v>2</v>
      </c>
      <c r="H413" s="1">
        <v>1</v>
      </c>
      <c r="I413" s="1">
        <v>2</v>
      </c>
      <c r="J413" s="1">
        <v>3</v>
      </c>
    </row>
    <row r="414" spans="1:10" x14ac:dyDescent="0.2">
      <c r="A414" s="1">
        <v>201</v>
      </c>
      <c r="B414" s="1">
        <v>0</v>
      </c>
      <c r="C414" s="1">
        <v>16</v>
      </c>
      <c r="D414" s="1">
        <v>5</v>
      </c>
      <c r="E414" s="1">
        <v>2</v>
      </c>
      <c r="F414" s="1">
        <v>10</v>
      </c>
      <c r="G414" s="1">
        <v>2</v>
      </c>
      <c r="H414" s="1">
        <v>1</v>
      </c>
      <c r="I414" s="1">
        <v>2</v>
      </c>
      <c r="J414" s="1">
        <v>3</v>
      </c>
    </row>
    <row r="415" spans="1:10" x14ac:dyDescent="0.2">
      <c r="A415" s="1">
        <v>362</v>
      </c>
      <c r="B415" s="1">
        <v>0</v>
      </c>
      <c r="C415" s="1">
        <v>7</v>
      </c>
      <c r="D415" s="1">
        <v>4</v>
      </c>
      <c r="E415" s="1">
        <v>3</v>
      </c>
      <c r="F415" s="1">
        <v>10</v>
      </c>
      <c r="G415" s="1">
        <v>2</v>
      </c>
      <c r="H415" s="1">
        <v>0</v>
      </c>
      <c r="I415" s="1">
        <v>0</v>
      </c>
      <c r="J415" s="1">
        <v>3</v>
      </c>
    </row>
    <row r="416" spans="1:10" x14ac:dyDescent="0.2">
      <c r="A416" s="1">
        <v>666</v>
      </c>
      <c r="B416" s="1">
        <v>0</v>
      </c>
      <c r="C416" s="1">
        <v>13</v>
      </c>
      <c r="D416" s="1">
        <v>5</v>
      </c>
      <c r="E416" s="1">
        <v>3</v>
      </c>
      <c r="F416" s="1">
        <v>10</v>
      </c>
      <c r="G416" s="1">
        <v>2</v>
      </c>
      <c r="H416" s="1">
        <v>1</v>
      </c>
      <c r="I416" s="1">
        <v>1</v>
      </c>
      <c r="J416" s="1">
        <v>3</v>
      </c>
    </row>
    <row r="417" spans="1:10" x14ac:dyDescent="0.2">
      <c r="A417" s="1">
        <v>234</v>
      </c>
      <c r="B417" s="1">
        <v>0</v>
      </c>
      <c r="C417" s="1">
        <v>14</v>
      </c>
      <c r="D417" s="1">
        <v>5</v>
      </c>
      <c r="E417" s="1">
        <v>1</v>
      </c>
      <c r="F417" s="1">
        <v>1</v>
      </c>
      <c r="G417" s="1">
        <v>2</v>
      </c>
      <c r="H417" s="1">
        <v>0</v>
      </c>
      <c r="I417" s="1">
        <v>1</v>
      </c>
      <c r="J417" s="1">
        <v>4</v>
      </c>
    </row>
    <row r="418" spans="1:10" x14ac:dyDescent="0.2">
      <c r="A418" s="1">
        <v>508</v>
      </c>
      <c r="B418" s="1">
        <v>0</v>
      </c>
      <c r="C418" s="1">
        <v>20</v>
      </c>
      <c r="D418" s="1">
        <v>2</v>
      </c>
      <c r="E418" s="1">
        <v>2</v>
      </c>
      <c r="F418" s="1">
        <v>1</v>
      </c>
      <c r="G418" s="1">
        <v>2</v>
      </c>
      <c r="H418" s="1">
        <v>0</v>
      </c>
      <c r="I418" s="1">
        <v>2</v>
      </c>
      <c r="J418" s="1">
        <v>4</v>
      </c>
    </row>
    <row r="419" spans="1:10" x14ac:dyDescent="0.2">
      <c r="A419" s="1">
        <v>2206</v>
      </c>
      <c r="B419" s="1">
        <v>0</v>
      </c>
      <c r="C419" s="1">
        <v>20</v>
      </c>
      <c r="D419" s="1">
        <v>5</v>
      </c>
      <c r="E419" s="1">
        <v>2</v>
      </c>
      <c r="F419" s="1">
        <v>1</v>
      </c>
      <c r="G419" s="1">
        <v>2</v>
      </c>
      <c r="H419" s="1">
        <v>1</v>
      </c>
      <c r="I419" s="1">
        <v>0</v>
      </c>
      <c r="J419" s="1">
        <v>4</v>
      </c>
    </row>
    <row r="420" spans="1:10" x14ac:dyDescent="0.2">
      <c r="A420" s="1">
        <v>1659</v>
      </c>
      <c r="B420" s="1">
        <v>0</v>
      </c>
      <c r="C420" s="1">
        <v>20</v>
      </c>
      <c r="D420" s="1">
        <v>5</v>
      </c>
      <c r="E420" s="1">
        <v>3</v>
      </c>
      <c r="F420" s="1">
        <v>1</v>
      </c>
      <c r="G420" s="1">
        <v>2</v>
      </c>
      <c r="H420" s="1">
        <v>1</v>
      </c>
      <c r="I420" s="1">
        <v>3</v>
      </c>
      <c r="J420" s="1">
        <v>4</v>
      </c>
    </row>
    <row r="421" spans="1:10" x14ac:dyDescent="0.2">
      <c r="A421" s="1">
        <v>880</v>
      </c>
      <c r="B421" s="1">
        <v>0</v>
      </c>
      <c r="C421" s="1">
        <v>8</v>
      </c>
      <c r="D421" s="1">
        <v>3</v>
      </c>
      <c r="E421" s="1">
        <v>1</v>
      </c>
      <c r="F421" s="1">
        <v>2</v>
      </c>
      <c r="G421" s="1">
        <v>2</v>
      </c>
      <c r="H421" s="1">
        <v>1</v>
      </c>
      <c r="I421" s="1">
        <v>1</v>
      </c>
      <c r="J421" s="1">
        <v>4</v>
      </c>
    </row>
    <row r="422" spans="1:10" x14ac:dyDescent="0.2">
      <c r="A422" s="1">
        <v>1268</v>
      </c>
      <c r="B422" s="1">
        <v>0</v>
      </c>
      <c r="C422" s="1">
        <v>10</v>
      </c>
      <c r="D422" s="1">
        <v>1</v>
      </c>
      <c r="E422" s="1">
        <v>1</v>
      </c>
      <c r="F422" s="1">
        <v>2</v>
      </c>
      <c r="G422" s="1">
        <v>2</v>
      </c>
      <c r="H422" s="1">
        <v>0</v>
      </c>
      <c r="I422" s="1">
        <v>0</v>
      </c>
      <c r="J422" s="1">
        <v>4</v>
      </c>
    </row>
    <row r="423" spans="1:10" x14ac:dyDescent="0.2">
      <c r="A423" s="1">
        <v>116</v>
      </c>
      <c r="B423" s="1">
        <v>0</v>
      </c>
      <c r="C423" s="1">
        <v>12</v>
      </c>
      <c r="D423" s="1">
        <v>4</v>
      </c>
      <c r="E423" s="1">
        <v>1</v>
      </c>
      <c r="F423" s="1">
        <v>2</v>
      </c>
      <c r="G423" s="1">
        <v>2</v>
      </c>
      <c r="H423" s="1">
        <v>1</v>
      </c>
      <c r="I423" s="1">
        <v>0</v>
      </c>
      <c r="J423" s="1">
        <v>4</v>
      </c>
    </row>
    <row r="424" spans="1:10" x14ac:dyDescent="0.2">
      <c r="A424" s="1">
        <v>1977</v>
      </c>
      <c r="B424" s="1">
        <v>0</v>
      </c>
      <c r="C424" s="1">
        <v>11</v>
      </c>
      <c r="D424" s="1">
        <v>4</v>
      </c>
      <c r="E424" s="1">
        <v>2</v>
      </c>
      <c r="F424" s="1">
        <v>2</v>
      </c>
      <c r="G424" s="1">
        <v>2</v>
      </c>
      <c r="H424" s="1">
        <v>1</v>
      </c>
      <c r="I424" s="1">
        <v>1</v>
      </c>
      <c r="J424" s="1">
        <v>4</v>
      </c>
    </row>
    <row r="425" spans="1:10" x14ac:dyDescent="0.2">
      <c r="A425" s="1">
        <v>591</v>
      </c>
      <c r="B425" s="1">
        <v>0</v>
      </c>
      <c r="C425" s="1">
        <v>16</v>
      </c>
      <c r="D425" s="1">
        <v>1</v>
      </c>
      <c r="E425" s="1">
        <v>2</v>
      </c>
      <c r="F425" s="1">
        <v>2</v>
      </c>
      <c r="G425" s="1">
        <v>2</v>
      </c>
      <c r="H425" s="1">
        <v>1</v>
      </c>
      <c r="I425" s="1">
        <v>0</v>
      </c>
      <c r="J425" s="1">
        <v>4</v>
      </c>
    </row>
    <row r="426" spans="1:10" x14ac:dyDescent="0.2">
      <c r="A426" s="1">
        <v>1678</v>
      </c>
      <c r="B426" s="1">
        <v>0</v>
      </c>
      <c r="C426" s="1">
        <v>7</v>
      </c>
      <c r="D426" s="1">
        <v>3</v>
      </c>
      <c r="E426" s="1">
        <v>3</v>
      </c>
      <c r="F426" s="1">
        <v>2</v>
      </c>
      <c r="G426" s="1">
        <v>2</v>
      </c>
      <c r="H426" s="1">
        <v>0</v>
      </c>
      <c r="I426" s="1">
        <v>1</v>
      </c>
      <c r="J426" s="1">
        <v>4</v>
      </c>
    </row>
    <row r="427" spans="1:10" x14ac:dyDescent="0.2">
      <c r="A427" s="1">
        <v>692</v>
      </c>
      <c r="B427" s="1">
        <v>0</v>
      </c>
      <c r="C427" s="1">
        <v>7</v>
      </c>
      <c r="D427" s="1">
        <v>4</v>
      </c>
      <c r="E427" s="1">
        <v>1</v>
      </c>
      <c r="F427" s="1">
        <v>3</v>
      </c>
      <c r="G427" s="1">
        <v>2</v>
      </c>
      <c r="H427" s="1">
        <v>1</v>
      </c>
      <c r="I427" s="1">
        <v>1</v>
      </c>
      <c r="J427" s="1">
        <v>4</v>
      </c>
    </row>
    <row r="428" spans="1:10" x14ac:dyDescent="0.2">
      <c r="A428" s="1">
        <v>2468</v>
      </c>
      <c r="B428" s="1">
        <v>0</v>
      </c>
      <c r="C428" s="1">
        <v>13</v>
      </c>
      <c r="D428" s="1">
        <v>5</v>
      </c>
      <c r="E428" s="1">
        <v>3</v>
      </c>
      <c r="F428" s="1">
        <v>3</v>
      </c>
      <c r="G428" s="1">
        <v>2</v>
      </c>
      <c r="H428" s="1">
        <v>1</v>
      </c>
      <c r="I428" s="1">
        <v>0</v>
      </c>
      <c r="J428" s="1">
        <v>4</v>
      </c>
    </row>
    <row r="429" spans="1:10" x14ac:dyDescent="0.2">
      <c r="A429" s="1">
        <v>759</v>
      </c>
      <c r="B429" s="1">
        <v>0</v>
      </c>
      <c r="C429" s="1">
        <v>8</v>
      </c>
      <c r="D429" s="1">
        <v>5</v>
      </c>
      <c r="E429" s="1">
        <v>3</v>
      </c>
      <c r="F429" s="1">
        <v>4</v>
      </c>
      <c r="G429" s="1">
        <v>2</v>
      </c>
      <c r="H429" s="1">
        <v>0</v>
      </c>
      <c r="I429" s="1">
        <v>1</v>
      </c>
      <c r="J429" s="1">
        <v>4</v>
      </c>
    </row>
    <row r="430" spans="1:10" x14ac:dyDescent="0.2">
      <c r="A430" s="1">
        <v>2424</v>
      </c>
      <c r="B430" s="1">
        <v>0</v>
      </c>
      <c r="C430" s="1">
        <v>9</v>
      </c>
      <c r="D430" s="1">
        <v>5</v>
      </c>
      <c r="E430" s="1">
        <v>3</v>
      </c>
      <c r="F430" s="1">
        <v>4</v>
      </c>
      <c r="G430" s="1">
        <v>2</v>
      </c>
      <c r="H430" s="1">
        <v>1</v>
      </c>
      <c r="I430" s="1">
        <v>0</v>
      </c>
      <c r="J430" s="1">
        <v>4</v>
      </c>
    </row>
    <row r="431" spans="1:10" x14ac:dyDescent="0.2">
      <c r="A431" s="1">
        <v>2086</v>
      </c>
      <c r="B431" s="1">
        <v>0</v>
      </c>
      <c r="C431" s="1">
        <v>12</v>
      </c>
      <c r="D431" s="1">
        <v>1</v>
      </c>
      <c r="E431" s="1">
        <v>3</v>
      </c>
      <c r="F431" s="1">
        <v>4</v>
      </c>
      <c r="G431" s="1">
        <v>2</v>
      </c>
      <c r="H431" s="1">
        <v>0</v>
      </c>
      <c r="I431" s="1">
        <v>2</v>
      </c>
      <c r="J431" s="1">
        <v>4</v>
      </c>
    </row>
    <row r="432" spans="1:10" x14ac:dyDescent="0.2">
      <c r="A432" s="1">
        <v>761</v>
      </c>
      <c r="B432" s="1">
        <v>0</v>
      </c>
      <c r="C432" s="1">
        <v>20</v>
      </c>
      <c r="D432" s="1">
        <v>3</v>
      </c>
      <c r="E432" s="1">
        <v>3</v>
      </c>
      <c r="F432" s="1">
        <v>4</v>
      </c>
      <c r="G432" s="1">
        <v>2</v>
      </c>
      <c r="H432" s="1">
        <v>1</v>
      </c>
      <c r="I432" s="1">
        <v>1</v>
      </c>
      <c r="J432" s="1">
        <v>4</v>
      </c>
    </row>
    <row r="433" spans="1:10" x14ac:dyDescent="0.2">
      <c r="A433" s="1">
        <v>1131</v>
      </c>
      <c r="B433" s="1">
        <v>0</v>
      </c>
      <c r="C433" s="1">
        <v>6</v>
      </c>
      <c r="D433" s="1">
        <v>3</v>
      </c>
      <c r="E433" s="1">
        <v>2</v>
      </c>
      <c r="F433" s="1">
        <v>5</v>
      </c>
      <c r="G433" s="1">
        <v>2</v>
      </c>
      <c r="H433" s="1">
        <v>0</v>
      </c>
      <c r="I433" s="1">
        <v>3</v>
      </c>
      <c r="J433" s="1">
        <v>4</v>
      </c>
    </row>
    <row r="434" spans="1:10" x14ac:dyDescent="0.2">
      <c r="A434" s="1">
        <v>199</v>
      </c>
      <c r="B434" s="1">
        <v>0</v>
      </c>
      <c r="C434" s="1">
        <v>16</v>
      </c>
      <c r="D434" s="1">
        <v>5</v>
      </c>
      <c r="E434" s="1">
        <v>3</v>
      </c>
      <c r="F434" s="1">
        <v>5</v>
      </c>
      <c r="G434" s="1">
        <v>2</v>
      </c>
      <c r="H434" s="1">
        <v>1</v>
      </c>
      <c r="I434" s="1">
        <v>0</v>
      </c>
      <c r="J434" s="1">
        <v>4</v>
      </c>
    </row>
    <row r="435" spans="1:10" x14ac:dyDescent="0.2">
      <c r="A435" s="1">
        <v>1740</v>
      </c>
      <c r="B435" s="1">
        <v>0</v>
      </c>
      <c r="C435" s="1">
        <v>18</v>
      </c>
      <c r="D435" s="1">
        <v>4</v>
      </c>
      <c r="E435" s="1">
        <v>3</v>
      </c>
      <c r="F435" s="1">
        <v>5</v>
      </c>
      <c r="G435" s="1">
        <v>2</v>
      </c>
      <c r="H435" s="1">
        <v>0</v>
      </c>
      <c r="I435" s="1">
        <v>1</v>
      </c>
      <c r="J435" s="1">
        <v>4</v>
      </c>
    </row>
    <row r="436" spans="1:10" x14ac:dyDescent="0.2">
      <c r="A436" s="1">
        <v>881</v>
      </c>
      <c r="B436" s="1">
        <v>0</v>
      </c>
      <c r="C436" s="1">
        <v>8</v>
      </c>
      <c r="D436" s="1">
        <v>1</v>
      </c>
      <c r="E436" s="1">
        <v>1</v>
      </c>
      <c r="F436" s="1">
        <v>6</v>
      </c>
      <c r="G436" s="1">
        <v>2</v>
      </c>
      <c r="H436" s="1">
        <v>1</v>
      </c>
      <c r="I436" s="1">
        <v>0</v>
      </c>
      <c r="J436" s="1">
        <v>4</v>
      </c>
    </row>
    <row r="437" spans="1:10" x14ac:dyDescent="0.2">
      <c r="A437" s="1">
        <v>1059</v>
      </c>
      <c r="B437" s="1">
        <v>0</v>
      </c>
      <c r="C437" s="1">
        <v>9</v>
      </c>
      <c r="D437" s="1">
        <v>5</v>
      </c>
      <c r="E437" s="1">
        <v>3</v>
      </c>
      <c r="F437" s="1">
        <v>6</v>
      </c>
      <c r="G437" s="1">
        <v>2</v>
      </c>
      <c r="H437" s="1">
        <v>0</v>
      </c>
      <c r="I437" s="1">
        <v>3</v>
      </c>
      <c r="J437" s="1">
        <v>4</v>
      </c>
    </row>
    <row r="438" spans="1:10" x14ac:dyDescent="0.2">
      <c r="A438" s="1">
        <v>327</v>
      </c>
      <c r="B438" s="1">
        <v>0</v>
      </c>
      <c r="C438" s="1">
        <v>11</v>
      </c>
      <c r="D438" s="1">
        <v>5</v>
      </c>
      <c r="E438" s="1">
        <v>1</v>
      </c>
      <c r="F438" s="1">
        <v>7</v>
      </c>
      <c r="G438" s="1">
        <v>2</v>
      </c>
      <c r="H438" s="1">
        <v>1</v>
      </c>
      <c r="I438" s="1">
        <v>2</v>
      </c>
      <c r="J438" s="1">
        <v>4</v>
      </c>
    </row>
    <row r="439" spans="1:10" x14ac:dyDescent="0.2">
      <c r="A439" s="1">
        <v>132</v>
      </c>
      <c r="B439" s="1">
        <v>0</v>
      </c>
      <c r="C439" s="1">
        <v>18</v>
      </c>
      <c r="D439" s="1">
        <v>5</v>
      </c>
      <c r="E439" s="1">
        <v>1</v>
      </c>
      <c r="F439" s="1">
        <v>7</v>
      </c>
      <c r="G439" s="1">
        <v>2</v>
      </c>
      <c r="H439" s="1">
        <v>1</v>
      </c>
      <c r="I439" s="1">
        <v>0</v>
      </c>
      <c r="J439" s="1">
        <v>4</v>
      </c>
    </row>
    <row r="440" spans="1:10" x14ac:dyDescent="0.2">
      <c r="A440" s="1">
        <v>1152</v>
      </c>
      <c r="B440" s="1">
        <v>0</v>
      </c>
      <c r="C440" s="1">
        <v>18</v>
      </c>
      <c r="D440" s="1">
        <v>5</v>
      </c>
      <c r="E440" s="1">
        <v>1</v>
      </c>
      <c r="F440" s="1">
        <v>7</v>
      </c>
      <c r="G440" s="1">
        <v>2</v>
      </c>
      <c r="H440" s="1">
        <v>1</v>
      </c>
      <c r="I440" s="1">
        <v>0</v>
      </c>
      <c r="J440" s="1">
        <v>4</v>
      </c>
    </row>
    <row r="441" spans="1:10" x14ac:dyDescent="0.2">
      <c r="A441" s="1">
        <v>2326</v>
      </c>
      <c r="B441" s="1">
        <v>0</v>
      </c>
      <c r="C441" s="1">
        <v>18</v>
      </c>
      <c r="D441" s="1">
        <v>2</v>
      </c>
      <c r="E441" s="1">
        <v>1</v>
      </c>
      <c r="F441" s="1">
        <v>7</v>
      </c>
      <c r="G441" s="1">
        <v>2</v>
      </c>
      <c r="H441" s="1">
        <v>0</v>
      </c>
      <c r="I441" s="1">
        <v>3</v>
      </c>
      <c r="J441" s="1">
        <v>4</v>
      </c>
    </row>
    <row r="442" spans="1:10" x14ac:dyDescent="0.2">
      <c r="A442" s="1">
        <v>159</v>
      </c>
      <c r="B442" s="1">
        <v>0</v>
      </c>
      <c r="C442" s="1">
        <v>6</v>
      </c>
      <c r="D442" s="1">
        <v>1</v>
      </c>
      <c r="E442" s="1">
        <v>2</v>
      </c>
      <c r="F442" s="1">
        <v>7</v>
      </c>
      <c r="G442" s="1">
        <v>2</v>
      </c>
      <c r="H442" s="1">
        <v>0</v>
      </c>
      <c r="I442" s="1">
        <v>3</v>
      </c>
      <c r="J442" s="1">
        <v>4</v>
      </c>
    </row>
    <row r="443" spans="1:10" x14ac:dyDescent="0.2">
      <c r="A443" s="1">
        <v>1718</v>
      </c>
      <c r="B443" s="1">
        <v>0</v>
      </c>
      <c r="C443" s="1">
        <v>9</v>
      </c>
      <c r="D443" s="1">
        <v>2</v>
      </c>
      <c r="E443" s="1">
        <v>2</v>
      </c>
      <c r="F443" s="1">
        <v>7</v>
      </c>
      <c r="G443" s="1">
        <v>2</v>
      </c>
      <c r="H443" s="1">
        <v>0</v>
      </c>
      <c r="I443" s="1">
        <v>3</v>
      </c>
      <c r="J443" s="1">
        <v>4</v>
      </c>
    </row>
    <row r="444" spans="1:10" x14ac:dyDescent="0.2">
      <c r="A444" s="1">
        <v>2090</v>
      </c>
      <c r="B444" s="1">
        <v>0</v>
      </c>
      <c r="C444" s="1">
        <v>17</v>
      </c>
      <c r="D444" s="1">
        <v>2</v>
      </c>
      <c r="E444" s="1">
        <v>3</v>
      </c>
      <c r="F444" s="1">
        <v>7</v>
      </c>
      <c r="G444" s="1">
        <v>2</v>
      </c>
      <c r="H444" s="1">
        <v>0</v>
      </c>
      <c r="I444" s="1">
        <v>3</v>
      </c>
      <c r="J444" s="1">
        <v>4</v>
      </c>
    </row>
    <row r="445" spans="1:10" x14ac:dyDescent="0.2">
      <c r="A445" s="1">
        <v>218</v>
      </c>
      <c r="B445" s="1">
        <v>0</v>
      </c>
      <c r="C445" s="1">
        <v>18</v>
      </c>
      <c r="D445" s="1">
        <v>3</v>
      </c>
      <c r="E445" s="1">
        <v>3</v>
      </c>
      <c r="F445" s="1">
        <v>7</v>
      </c>
      <c r="G445" s="1">
        <v>2</v>
      </c>
      <c r="H445" s="1">
        <v>0</v>
      </c>
      <c r="I445" s="1">
        <v>3</v>
      </c>
      <c r="J445" s="1">
        <v>4</v>
      </c>
    </row>
    <row r="446" spans="1:10" x14ac:dyDescent="0.2">
      <c r="A446" s="1">
        <v>1313</v>
      </c>
      <c r="B446" s="1">
        <v>0</v>
      </c>
      <c r="C446" s="1">
        <v>10</v>
      </c>
      <c r="D446" s="1">
        <v>3</v>
      </c>
      <c r="E446" s="1">
        <v>1</v>
      </c>
      <c r="F446" s="1">
        <v>8</v>
      </c>
      <c r="G446" s="1">
        <v>2</v>
      </c>
      <c r="H446" s="1">
        <v>0</v>
      </c>
      <c r="I446" s="1">
        <v>3</v>
      </c>
      <c r="J446" s="1">
        <v>4</v>
      </c>
    </row>
    <row r="447" spans="1:10" x14ac:dyDescent="0.2">
      <c r="A447" s="1">
        <v>1727</v>
      </c>
      <c r="B447" s="1">
        <v>0</v>
      </c>
      <c r="C447" s="1">
        <v>16</v>
      </c>
      <c r="D447" s="1">
        <v>4</v>
      </c>
      <c r="E447" s="1">
        <v>1</v>
      </c>
      <c r="F447" s="1">
        <v>8</v>
      </c>
      <c r="G447" s="1">
        <v>2</v>
      </c>
      <c r="H447" s="1">
        <v>1</v>
      </c>
      <c r="I447" s="1">
        <v>1</v>
      </c>
      <c r="J447" s="1">
        <v>4</v>
      </c>
    </row>
    <row r="448" spans="1:10" x14ac:dyDescent="0.2">
      <c r="A448" s="1">
        <v>267</v>
      </c>
      <c r="B448" s="1">
        <v>0</v>
      </c>
      <c r="C448" s="1">
        <v>6</v>
      </c>
      <c r="D448" s="1">
        <v>1</v>
      </c>
      <c r="E448" s="1">
        <v>2</v>
      </c>
      <c r="F448" s="1">
        <v>8</v>
      </c>
      <c r="G448" s="1">
        <v>2</v>
      </c>
      <c r="H448" s="1">
        <v>1</v>
      </c>
      <c r="I448" s="1">
        <v>3</v>
      </c>
      <c r="J448" s="1">
        <v>4</v>
      </c>
    </row>
    <row r="449" spans="1:10" x14ac:dyDescent="0.2">
      <c r="A449" s="1">
        <v>1540</v>
      </c>
      <c r="B449" s="1">
        <v>0</v>
      </c>
      <c r="C449" s="1">
        <v>11</v>
      </c>
      <c r="D449" s="1">
        <v>4</v>
      </c>
      <c r="E449" s="1">
        <v>3</v>
      </c>
      <c r="F449" s="1">
        <v>8</v>
      </c>
      <c r="G449" s="1">
        <v>2</v>
      </c>
      <c r="H449" s="1">
        <v>1</v>
      </c>
      <c r="I449" s="1">
        <v>1</v>
      </c>
      <c r="J449" s="1">
        <v>4</v>
      </c>
    </row>
    <row r="450" spans="1:10" x14ac:dyDescent="0.2">
      <c r="A450" s="1">
        <v>2453</v>
      </c>
      <c r="B450" s="1">
        <v>0</v>
      </c>
      <c r="C450" s="1">
        <v>5</v>
      </c>
      <c r="D450" s="1">
        <v>2</v>
      </c>
      <c r="E450" s="1">
        <v>1</v>
      </c>
      <c r="F450" s="1">
        <v>9</v>
      </c>
      <c r="G450" s="1">
        <v>2</v>
      </c>
      <c r="H450" s="1">
        <v>1</v>
      </c>
      <c r="I450" s="1">
        <v>1</v>
      </c>
      <c r="J450" s="1">
        <v>4</v>
      </c>
    </row>
    <row r="451" spans="1:10" x14ac:dyDescent="0.2">
      <c r="A451" s="1">
        <v>1919</v>
      </c>
      <c r="B451" s="1">
        <v>0</v>
      </c>
      <c r="C451" s="1">
        <v>5</v>
      </c>
      <c r="D451" s="1">
        <v>4</v>
      </c>
      <c r="E451" s="1">
        <v>2</v>
      </c>
      <c r="F451" s="1">
        <v>9</v>
      </c>
      <c r="G451" s="1">
        <v>2</v>
      </c>
      <c r="H451" s="1">
        <v>0</v>
      </c>
      <c r="I451" s="1">
        <v>2</v>
      </c>
      <c r="J451" s="1">
        <v>4</v>
      </c>
    </row>
    <row r="452" spans="1:10" x14ac:dyDescent="0.2">
      <c r="A452" s="1">
        <v>1445</v>
      </c>
      <c r="B452" s="1">
        <v>0</v>
      </c>
      <c r="C452" s="1">
        <v>7</v>
      </c>
      <c r="D452" s="1">
        <v>5</v>
      </c>
      <c r="E452" s="1">
        <v>2</v>
      </c>
      <c r="F452" s="1">
        <v>9</v>
      </c>
      <c r="G452" s="1">
        <v>2</v>
      </c>
      <c r="H452" s="1">
        <v>0</v>
      </c>
      <c r="I452" s="1">
        <v>3</v>
      </c>
      <c r="J452" s="1">
        <v>4</v>
      </c>
    </row>
    <row r="453" spans="1:10" x14ac:dyDescent="0.2">
      <c r="A453" s="1">
        <v>1311</v>
      </c>
      <c r="B453" s="1">
        <v>0</v>
      </c>
      <c r="C453" s="1">
        <v>6</v>
      </c>
      <c r="D453" s="1">
        <v>2</v>
      </c>
      <c r="E453" s="1">
        <v>3</v>
      </c>
      <c r="F453" s="1">
        <v>9</v>
      </c>
      <c r="G453" s="1">
        <v>2</v>
      </c>
      <c r="H453" s="1">
        <v>1</v>
      </c>
      <c r="I453" s="1">
        <v>2</v>
      </c>
      <c r="J453" s="1">
        <v>4</v>
      </c>
    </row>
    <row r="454" spans="1:10" x14ac:dyDescent="0.2">
      <c r="A454" s="1">
        <v>1174</v>
      </c>
      <c r="B454" s="1">
        <v>0</v>
      </c>
      <c r="C454" s="1">
        <v>7</v>
      </c>
      <c r="D454" s="1">
        <v>3</v>
      </c>
      <c r="E454" s="1">
        <v>3</v>
      </c>
      <c r="F454" s="1">
        <v>9</v>
      </c>
      <c r="G454" s="1">
        <v>2</v>
      </c>
      <c r="H454" s="1">
        <v>0</v>
      </c>
      <c r="I454" s="1">
        <v>2</v>
      </c>
      <c r="J454" s="1">
        <v>4</v>
      </c>
    </row>
    <row r="455" spans="1:10" x14ac:dyDescent="0.2">
      <c r="A455" s="1">
        <v>2370</v>
      </c>
      <c r="B455" s="1">
        <v>0</v>
      </c>
      <c r="C455" s="1">
        <v>8</v>
      </c>
      <c r="D455" s="1">
        <v>1</v>
      </c>
      <c r="E455" s="1">
        <v>2</v>
      </c>
      <c r="F455" s="1">
        <v>10</v>
      </c>
      <c r="G455" s="1">
        <v>2</v>
      </c>
      <c r="H455" s="1">
        <v>1</v>
      </c>
      <c r="I455" s="1">
        <v>2</v>
      </c>
      <c r="J455" s="1">
        <v>4</v>
      </c>
    </row>
    <row r="456" spans="1:10" x14ac:dyDescent="0.2">
      <c r="A456" s="1">
        <v>349</v>
      </c>
      <c r="B456" s="1">
        <v>0</v>
      </c>
      <c r="C456" s="1">
        <v>6</v>
      </c>
      <c r="D456" s="1">
        <v>3</v>
      </c>
      <c r="E456" s="1">
        <v>1</v>
      </c>
      <c r="F456" s="1">
        <v>1</v>
      </c>
      <c r="G456" s="1">
        <v>2</v>
      </c>
      <c r="H456" s="1">
        <v>0</v>
      </c>
      <c r="I456" s="1">
        <v>1</v>
      </c>
      <c r="J456" s="1">
        <v>5</v>
      </c>
    </row>
    <row r="457" spans="1:10" x14ac:dyDescent="0.2">
      <c r="A457" s="1">
        <v>1642</v>
      </c>
      <c r="B457" s="1">
        <v>0</v>
      </c>
      <c r="C457" s="1">
        <v>6</v>
      </c>
      <c r="D457" s="1">
        <v>4</v>
      </c>
      <c r="E457" s="1">
        <v>1</v>
      </c>
      <c r="F457" s="1">
        <v>1</v>
      </c>
      <c r="G457" s="1">
        <v>2</v>
      </c>
      <c r="H457" s="1">
        <v>1</v>
      </c>
      <c r="I457" s="1">
        <v>1</v>
      </c>
      <c r="J457" s="1">
        <v>5</v>
      </c>
    </row>
    <row r="458" spans="1:10" x14ac:dyDescent="0.2">
      <c r="A458" s="1">
        <v>636</v>
      </c>
      <c r="B458" s="1">
        <v>0</v>
      </c>
      <c r="C458" s="1">
        <v>11</v>
      </c>
      <c r="D458" s="1">
        <v>1</v>
      </c>
      <c r="E458" s="1">
        <v>1</v>
      </c>
      <c r="F458" s="1">
        <v>1</v>
      </c>
      <c r="G458" s="1">
        <v>2</v>
      </c>
      <c r="H458" s="1">
        <v>1</v>
      </c>
      <c r="I458" s="1">
        <v>2</v>
      </c>
      <c r="J458" s="1">
        <v>5</v>
      </c>
    </row>
    <row r="459" spans="1:10" x14ac:dyDescent="0.2">
      <c r="A459" s="1">
        <v>1501</v>
      </c>
      <c r="B459" s="1">
        <v>0</v>
      </c>
      <c r="C459" s="1">
        <v>14</v>
      </c>
      <c r="D459" s="1">
        <v>3</v>
      </c>
      <c r="E459" s="1">
        <v>1</v>
      </c>
      <c r="F459" s="1">
        <v>1</v>
      </c>
      <c r="G459" s="1">
        <v>2</v>
      </c>
      <c r="H459" s="1">
        <v>0</v>
      </c>
      <c r="I459" s="1">
        <v>1</v>
      </c>
      <c r="J459" s="1">
        <v>5</v>
      </c>
    </row>
    <row r="460" spans="1:10" x14ac:dyDescent="0.2">
      <c r="A460" s="1">
        <v>1588</v>
      </c>
      <c r="B460" s="1">
        <v>0</v>
      </c>
      <c r="C460" s="1">
        <v>15</v>
      </c>
      <c r="D460" s="1">
        <v>5</v>
      </c>
      <c r="E460" s="1">
        <v>1</v>
      </c>
      <c r="F460" s="1">
        <v>1</v>
      </c>
      <c r="G460" s="1">
        <v>2</v>
      </c>
      <c r="H460" s="1">
        <v>0</v>
      </c>
      <c r="I460" s="1">
        <v>3</v>
      </c>
      <c r="J460" s="1">
        <v>5</v>
      </c>
    </row>
    <row r="461" spans="1:10" x14ac:dyDescent="0.2">
      <c r="A461" s="1">
        <v>1258</v>
      </c>
      <c r="B461" s="1">
        <v>0</v>
      </c>
      <c r="C461" s="1">
        <v>15</v>
      </c>
      <c r="D461" s="1">
        <v>3</v>
      </c>
      <c r="E461" s="1">
        <v>2</v>
      </c>
      <c r="F461" s="1">
        <v>1</v>
      </c>
      <c r="G461" s="1">
        <v>2</v>
      </c>
      <c r="H461" s="1">
        <v>0</v>
      </c>
      <c r="I461" s="1">
        <v>3</v>
      </c>
      <c r="J461" s="1">
        <v>5</v>
      </c>
    </row>
    <row r="462" spans="1:10" x14ac:dyDescent="0.2">
      <c r="A462" s="1">
        <v>1433</v>
      </c>
      <c r="B462" s="1">
        <v>0</v>
      </c>
      <c r="C462" s="1">
        <v>15</v>
      </c>
      <c r="D462" s="1">
        <v>1</v>
      </c>
      <c r="E462" s="1">
        <v>2</v>
      </c>
      <c r="F462" s="1">
        <v>1</v>
      </c>
      <c r="G462" s="1">
        <v>2</v>
      </c>
      <c r="H462" s="1">
        <v>0</v>
      </c>
      <c r="I462" s="1">
        <v>2</v>
      </c>
      <c r="J462" s="1">
        <v>5</v>
      </c>
    </row>
    <row r="463" spans="1:10" x14ac:dyDescent="0.2">
      <c r="A463" s="1">
        <v>1554</v>
      </c>
      <c r="B463" s="1">
        <v>0</v>
      </c>
      <c r="C463" s="1">
        <v>8</v>
      </c>
      <c r="D463" s="1">
        <v>2</v>
      </c>
      <c r="E463" s="1">
        <v>3</v>
      </c>
      <c r="F463" s="1">
        <v>1</v>
      </c>
      <c r="G463" s="1">
        <v>2</v>
      </c>
      <c r="H463" s="1">
        <v>0</v>
      </c>
      <c r="I463" s="1">
        <v>1</v>
      </c>
      <c r="J463" s="1">
        <v>5</v>
      </c>
    </row>
    <row r="464" spans="1:10" x14ac:dyDescent="0.2">
      <c r="A464" s="1">
        <v>937</v>
      </c>
      <c r="B464" s="1">
        <v>0</v>
      </c>
      <c r="C464" s="1">
        <v>11</v>
      </c>
      <c r="D464" s="1">
        <v>2</v>
      </c>
      <c r="E464" s="1">
        <v>3</v>
      </c>
      <c r="F464" s="1">
        <v>1</v>
      </c>
      <c r="G464" s="1">
        <v>2</v>
      </c>
      <c r="H464" s="1">
        <v>1</v>
      </c>
      <c r="I464" s="1">
        <v>2</v>
      </c>
      <c r="J464" s="1">
        <v>5</v>
      </c>
    </row>
    <row r="465" spans="1:10" x14ac:dyDescent="0.2">
      <c r="A465" s="1">
        <v>230</v>
      </c>
      <c r="B465" s="1">
        <v>0</v>
      </c>
      <c r="C465" s="1">
        <v>17</v>
      </c>
      <c r="D465" s="1">
        <v>3</v>
      </c>
      <c r="E465" s="1">
        <v>3</v>
      </c>
      <c r="F465" s="1">
        <v>1</v>
      </c>
      <c r="G465" s="1">
        <v>2</v>
      </c>
      <c r="H465" s="1">
        <v>1</v>
      </c>
      <c r="I465" s="1">
        <v>1</v>
      </c>
      <c r="J465" s="1">
        <v>5</v>
      </c>
    </row>
    <row r="466" spans="1:10" x14ac:dyDescent="0.2">
      <c r="A466" s="1">
        <v>1315</v>
      </c>
      <c r="B466" s="1">
        <v>0</v>
      </c>
      <c r="C466" s="1">
        <v>5</v>
      </c>
      <c r="D466" s="1">
        <v>3</v>
      </c>
      <c r="E466" s="1">
        <v>1</v>
      </c>
      <c r="F466" s="1">
        <v>2</v>
      </c>
      <c r="G466" s="1">
        <v>2</v>
      </c>
      <c r="H466" s="1">
        <v>1</v>
      </c>
      <c r="I466" s="1">
        <v>3</v>
      </c>
      <c r="J466" s="1">
        <v>5</v>
      </c>
    </row>
    <row r="467" spans="1:10" x14ac:dyDescent="0.2">
      <c r="A467" s="1">
        <v>181</v>
      </c>
      <c r="B467" s="1">
        <v>0</v>
      </c>
      <c r="C467" s="1">
        <v>17</v>
      </c>
      <c r="D467" s="1">
        <v>3</v>
      </c>
      <c r="E467" s="1">
        <v>2</v>
      </c>
      <c r="F467" s="1">
        <v>2</v>
      </c>
      <c r="G467" s="1">
        <v>2</v>
      </c>
      <c r="H467" s="1">
        <v>0</v>
      </c>
      <c r="I467" s="1">
        <v>2</v>
      </c>
      <c r="J467" s="1">
        <v>5</v>
      </c>
    </row>
    <row r="468" spans="1:10" x14ac:dyDescent="0.2">
      <c r="A468" s="1">
        <v>1866</v>
      </c>
      <c r="B468" s="1">
        <v>0</v>
      </c>
      <c r="C468" s="1">
        <v>19</v>
      </c>
      <c r="D468" s="1">
        <v>5</v>
      </c>
      <c r="E468" s="1">
        <v>2</v>
      </c>
      <c r="F468" s="1">
        <v>2</v>
      </c>
      <c r="G468" s="1">
        <v>2</v>
      </c>
      <c r="H468" s="1">
        <v>1</v>
      </c>
      <c r="I468" s="1">
        <v>3</v>
      </c>
      <c r="J468" s="1">
        <v>5</v>
      </c>
    </row>
    <row r="469" spans="1:10" x14ac:dyDescent="0.2">
      <c r="A469" s="1">
        <v>918</v>
      </c>
      <c r="B469" s="1">
        <v>0</v>
      </c>
      <c r="C469" s="1">
        <v>6</v>
      </c>
      <c r="D469" s="1">
        <v>1</v>
      </c>
      <c r="E469" s="1">
        <v>3</v>
      </c>
      <c r="F469" s="1">
        <v>2</v>
      </c>
      <c r="G469" s="1">
        <v>2</v>
      </c>
      <c r="H469" s="1">
        <v>0</v>
      </c>
      <c r="I469" s="1">
        <v>2</v>
      </c>
      <c r="J469" s="1">
        <v>5</v>
      </c>
    </row>
    <row r="470" spans="1:10" x14ac:dyDescent="0.2">
      <c r="A470" s="1">
        <v>1944</v>
      </c>
      <c r="B470" s="1">
        <v>0</v>
      </c>
      <c r="C470" s="1">
        <v>14</v>
      </c>
      <c r="D470" s="1">
        <v>3</v>
      </c>
      <c r="E470" s="1">
        <v>3</v>
      </c>
      <c r="F470" s="1">
        <v>2</v>
      </c>
      <c r="G470" s="1">
        <v>2</v>
      </c>
      <c r="H470" s="1">
        <v>1</v>
      </c>
      <c r="I470" s="1">
        <v>1</v>
      </c>
      <c r="J470" s="1">
        <v>5</v>
      </c>
    </row>
    <row r="471" spans="1:10" x14ac:dyDescent="0.2">
      <c r="A471" s="1">
        <v>1139</v>
      </c>
      <c r="B471" s="1">
        <v>0</v>
      </c>
      <c r="C471" s="1">
        <v>20</v>
      </c>
      <c r="D471" s="1">
        <v>5</v>
      </c>
      <c r="E471" s="1">
        <v>3</v>
      </c>
      <c r="F471" s="1">
        <v>2</v>
      </c>
      <c r="G471" s="1">
        <v>2</v>
      </c>
      <c r="H471" s="1">
        <v>0</v>
      </c>
      <c r="I471" s="1">
        <v>1</v>
      </c>
      <c r="J471" s="1">
        <v>5</v>
      </c>
    </row>
    <row r="472" spans="1:10" x14ac:dyDescent="0.2">
      <c r="A472" s="1">
        <v>1413</v>
      </c>
      <c r="B472" s="1">
        <v>0</v>
      </c>
      <c r="C472" s="1">
        <v>20</v>
      </c>
      <c r="D472" s="1">
        <v>5</v>
      </c>
      <c r="E472" s="1">
        <v>3</v>
      </c>
      <c r="F472" s="1">
        <v>2</v>
      </c>
      <c r="G472" s="1">
        <v>2</v>
      </c>
      <c r="H472" s="1">
        <v>1</v>
      </c>
      <c r="I472" s="1">
        <v>0</v>
      </c>
      <c r="J472" s="1">
        <v>5</v>
      </c>
    </row>
    <row r="473" spans="1:10" x14ac:dyDescent="0.2">
      <c r="A473" s="1">
        <v>1651</v>
      </c>
      <c r="B473" s="1">
        <v>0</v>
      </c>
      <c r="C473" s="1">
        <v>9</v>
      </c>
      <c r="D473" s="1">
        <v>3</v>
      </c>
      <c r="E473" s="1">
        <v>1</v>
      </c>
      <c r="F473" s="1">
        <v>3</v>
      </c>
      <c r="G473" s="1">
        <v>2</v>
      </c>
      <c r="H473" s="1">
        <v>1</v>
      </c>
      <c r="I473" s="1">
        <v>1</v>
      </c>
      <c r="J473" s="1">
        <v>5</v>
      </c>
    </row>
    <row r="474" spans="1:10" x14ac:dyDescent="0.2">
      <c r="A474" s="1">
        <v>1082</v>
      </c>
      <c r="B474" s="1">
        <v>0</v>
      </c>
      <c r="C474" s="1">
        <v>11</v>
      </c>
      <c r="D474" s="1">
        <v>2</v>
      </c>
      <c r="E474" s="1">
        <v>2</v>
      </c>
      <c r="F474" s="1">
        <v>3</v>
      </c>
      <c r="G474" s="1">
        <v>2</v>
      </c>
      <c r="H474" s="1">
        <v>1</v>
      </c>
      <c r="I474" s="1">
        <v>0</v>
      </c>
      <c r="J474" s="1">
        <v>5</v>
      </c>
    </row>
    <row r="475" spans="1:10" x14ac:dyDescent="0.2">
      <c r="A475" s="1">
        <v>819</v>
      </c>
      <c r="B475" s="1">
        <v>0</v>
      </c>
      <c r="C475" s="1">
        <v>13</v>
      </c>
      <c r="D475" s="1">
        <v>3</v>
      </c>
      <c r="E475" s="1">
        <v>2</v>
      </c>
      <c r="F475" s="1">
        <v>3</v>
      </c>
      <c r="G475" s="1">
        <v>2</v>
      </c>
      <c r="H475" s="1">
        <v>0</v>
      </c>
      <c r="I475" s="1">
        <v>2</v>
      </c>
      <c r="J475" s="1">
        <v>5</v>
      </c>
    </row>
    <row r="476" spans="1:10" x14ac:dyDescent="0.2">
      <c r="A476" s="1">
        <v>1628</v>
      </c>
      <c r="B476" s="1">
        <v>0</v>
      </c>
      <c r="C476" s="1">
        <v>17</v>
      </c>
      <c r="D476" s="1">
        <v>4</v>
      </c>
      <c r="E476" s="1">
        <v>2</v>
      </c>
      <c r="F476" s="1">
        <v>3</v>
      </c>
      <c r="G476" s="1">
        <v>2</v>
      </c>
      <c r="H476" s="1">
        <v>0</v>
      </c>
      <c r="I476" s="1">
        <v>3</v>
      </c>
      <c r="J476" s="1">
        <v>5</v>
      </c>
    </row>
    <row r="477" spans="1:10" x14ac:dyDescent="0.2">
      <c r="A477" s="1">
        <v>1836</v>
      </c>
      <c r="B477" s="1">
        <v>0</v>
      </c>
      <c r="C477" s="1">
        <v>7</v>
      </c>
      <c r="D477" s="1">
        <v>1</v>
      </c>
      <c r="E477" s="1">
        <v>3</v>
      </c>
      <c r="F477" s="1">
        <v>3</v>
      </c>
      <c r="G477" s="1">
        <v>2</v>
      </c>
      <c r="H477" s="1">
        <v>1</v>
      </c>
      <c r="I477" s="1">
        <v>2</v>
      </c>
      <c r="J477" s="1">
        <v>5</v>
      </c>
    </row>
    <row r="478" spans="1:10" x14ac:dyDescent="0.2">
      <c r="A478" s="1">
        <v>907</v>
      </c>
      <c r="B478" s="1">
        <v>0</v>
      </c>
      <c r="C478" s="1">
        <v>14</v>
      </c>
      <c r="D478" s="1">
        <v>3</v>
      </c>
      <c r="E478" s="1">
        <v>1</v>
      </c>
      <c r="F478" s="1">
        <v>4</v>
      </c>
      <c r="G478" s="1">
        <v>2</v>
      </c>
      <c r="H478" s="1">
        <v>0</v>
      </c>
      <c r="I478" s="1">
        <v>1</v>
      </c>
      <c r="J478" s="1">
        <v>5</v>
      </c>
    </row>
    <row r="479" spans="1:10" x14ac:dyDescent="0.2">
      <c r="A479" s="1">
        <v>406</v>
      </c>
      <c r="B479" s="1">
        <v>0</v>
      </c>
      <c r="C479" s="1">
        <v>6</v>
      </c>
      <c r="D479" s="1">
        <v>5</v>
      </c>
      <c r="E479" s="1">
        <v>2</v>
      </c>
      <c r="F479" s="1">
        <v>4</v>
      </c>
      <c r="G479" s="1">
        <v>2</v>
      </c>
      <c r="H479" s="1">
        <v>0</v>
      </c>
      <c r="I479" s="1">
        <v>1</v>
      </c>
      <c r="J479" s="1">
        <v>5</v>
      </c>
    </row>
    <row r="480" spans="1:10" x14ac:dyDescent="0.2">
      <c r="A480" s="1">
        <v>2319</v>
      </c>
      <c r="B480" s="1">
        <v>0</v>
      </c>
      <c r="C480" s="1">
        <v>10</v>
      </c>
      <c r="D480" s="1">
        <v>5</v>
      </c>
      <c r="E480" s="1">
        <v>2</v>
      </c>
      <c r="F480" s="1">
        <v>5</v>
      </c>
      <c r="G480" s="1">
        <v>2</v>
      </c>
      <c r="H480" s="1">
        <v>1</v>
      </c>
      <c r="I480" s="1">
        <v>2</v>
      </c>
      <c r="J480" s="1">
        <v>5</v>
      </c>
    </row>
    <row r="481" spans="1:10" x14ac:dyDescent="0.2">
      <c r="A481" s="1">
        <v>1698</v>
      </c>
      <c r="B481" s="1">
        <v>0</v>
      </c>
      <c r="C481" s="1">
        <v>20</v>
      </c>
      <c r="D481" s="1">
        <v>4</v>
      </c>
      <c r="E481" s="1">
        <v>2</v>
      </c>
      <c r="F481" s="1">
        <v>5</v>
      </c>
      <c r="G481" s="1">
        <v>2</v>
      </c>
      <c r="H481" s="1">
        <v>1</v>
      </c>
      <c r="I481" s="1">
        <v>0</v>
      </c>
      <c r="J481" s="1">
        <v>5</v>
      </c>
    </row>
    <row r="482" spans="1:10" x14ac:dyDescent="0.2">
      <c r="A482" s="1">
        <v>1671</v>
      </c>
      <c r="B482" s="1">
        <v>0</v>
      </c>
      <c r="C482" s="1">
        <v>6</v>
      </c>
      <c r="D482" s="1">
        <v>4</v>
      </c>
      <c r="E482" s="1">
        <v>3</v>
      </c>
      <c r="F482" s="1">
        <v>5</v>
      </c>
      <c r="G482" s="1">
        <v>2</v>
      </c>
      <c r="H482" s="1">
        <v>0</v>
      </c>
      <c r="I482" s="1">
        <v>2</v>
      </c>
      <c r="J482" s="1">
        <v>5</v>
      </c>
    </row>
    <row r="483" spans="1:10" x14ac:dyDescent="0.2">
      <c r="A483" s="1">
        <v>1207</v>
      </c>
      <c r="B483" s="1">
        <v>0</v>
      </c>
      <c r="C483" s="1">
        <v>16</v>
      </c>
      <c r="D483" s="1">
        <v>4</v>
      </c>
      <c r="E483" s="1">
        <v>3</v>
      </c>
      <c r="F483" s="1">
        <v>5</v>
      </c>
      <c r="G483" s="1">
        <v>2</v>
      </c>
      <c r="H483" s="1">
        <v>0</v>
      </c>
      <c r="I483" s="1">
        <v>0</v>
      </c>
      <c r="J483" s="1">
        <v>5</v>
      </c>
    </row>
    <row r="484" spans="1:10" x14ac:dyDescent="0.2">
      <c r="A484" s="1">
        <v>2186</v>
      </c>
      <c r="B484" s="1">
        <v>0</v>
      </c>
      <c r="C484" s="1">
        <v>18</v>
      </c>
      <c r="D484" s="1">
        <v>4</v>
      </c>
      <c r="E484" s="1">
        <v>3</v>
      </c>
      <c r="F484" s="1">
        <v>5</v>
      </c>
      <c r="G484" s="1">
        <v>2</v>
      </c>
      <c r="H484" s="1">
        <v>0</v>
      </c>
      <c r="I484" s="1">
        <v>3</v>
      </c>
      <c r="J484" s="1">
        <v>5</v>
      </c>
    </row>
    <row r="485" spans="1:10" x14ac:dyDescent="0.2">
      <c r="A485" s="1">
        <v>2437</v>
      </c>
      <c r="B485" s="1">
        <v>0</v>
      </c>
      <c r="C485" s="1">
        <v>14</v>
      </c>
      <c r="D485" s="1">
        <v>5</v>
      </c>
      <c r="E485" s="1">
        <v>1</v>
      </c>
      <c r="F485" s="1">
        <v>6</v>
      </c>
      <c r="G485" s="1">
        <v>2</v>
      </c>
      <c r="H485" s="1">
        <v>1</v>
      </c>
      <c r="I485" s="1">
        <v>1</v>
      </c>
      <c r="J485" s="1">
        <v>5</v>
      </c>
    </row>
    <row r="486" spans="1:10" x14ac:dyDescent="0.2">
      <c r="A486" s="1">
        <v>122</v>
      </c>
      <c r="B486" s="1">
        <v>0</v>
      </c>
      <c r="C486" s="1">
        <v>13</v>
      </c>
      <c r="D486" s="1">
        <v>1</v>
      </c>
      <c r="E486" s="1">
        <v>2</v>
      </c>
      <c r="F486" s="1">
        <v>6</v>
      </c>
      <c r="G486" s="1">
        <v>2</v>
      </c>
      <c r="H486" s="1">
        <v>0</v>
      </c>
      <c r="I486" s="1">
        <v>1</v>
      </c>
      <c r="J486" s="1">
        <v>5</v>
      </c>
    </row>
    <row r="487" spans="1:10" x14ac:dyDescent="0.2">
      <c r="A487" s="1">
        <v>377</v>
      </c>
      <c r="B487" s="1">
        <v>0</v>
      </c>
      <c r="C487" s="1">
        <v>16</v>
      </c>
      <c r="D487" s="1">
        <v>5</v>
      </c>
      <c r="E487" s="1">
        <v>2</v>
      </c>
      <c r="F487" s="1">
        <v>6</v>
      </c>
      <c r="G487" s="1">
        <v>2</v>
      </c>
      <c r="H487" s="1">
        <v>1</v>
      </c>
      <c r="I487" s="1">
        <v>2</v>
      </c>
      <c r="J487" s="1">
        <v>5</v>
      </c>
    </row>
    <row r="488" spans="1:10" x14ac:dyDescent="0.2">
      <c r="A488" s="1">
        <v>226</v>
      </c>
      <c r="B488" s="1">
        <v>0</v>
      </c>
      <c r="C488" s="1">
        <v>5</v>
      </c>
      <c r="D488" s="1">
        <v>1</v>
      </c>
      <c r="E488" s="1">
        <v>3</v>
      </c>
      <c r="F488" s="1">
        <v>6</v>
      </c>
      <c r="G488" s="1">
        <v>2</v>
      </c>
      <c r="H488" s="1">
        <v>1</v>
      </c>
      <c r="I488" s="1">
        <v>2</v>
      </c>
      <c r="J488" s="1">
        <v>5</v>
      </c>
    </row>
    <row r="489" spans="1:10" x14ac:dyDescent="0.2">
      <c r="A489" s="1">
        <v>2396</v>
      </c>
      <c r="B489" s="1">
        <v>0</v>
      </c>
      <c r="C489" s="1">
        <v>16</v>
      </c>
      <c r="D489" s="1">
        <v>1</v>
      </c>
      <c r="E489" s="1">
        <v>3</v>
      </c>
      <c r="F489" s="1">
        <v>6</v>
      </c>
      <c r="G489" s="1">
        <v>2</v>
      </c>
      <c r="H489" s="1">
        <v>0</v>
      </c>
      <c r="I489" s="1">
        <v>3</v>
      </c>
      <c r="J489" s="1">
        <v>5</v>
      </c>
    </row>
    <row r="490" spans="1:10" x14ac:dyDescent="0.2">
      <c r="A490" s="1">
        <v>1187</v>
      </c>
      <c r="B490" s="1">
        <v>0</v>
      </c>
      <c r="C490" s="1">
        <v>18</v>
      </c>
      <c r="D490" s="1">
        <v>2</v>
      </c>
      <c r="E490" s="1">
        <v>3</v>
      </c>
      <c r="F490" s="1">
        <v>6</v>
      </c>
      <c r="G490" s="1">
        <v>2</v>
      </c>
      <c r="H490" s="1">
        <v>0</v>
      </c>
      <c r="I490" s="1">
        <v>2</v>
      </c>
      <c r="J490" s="1">
        <v>5</v>
      </c>
    </row>
    <row r="491" spans="1:10" x14ac:dyDescent="0.2">
      <c r="A491" s="1">
        <v>62</v>
      </c>
      <c r="B491" s="1">
        <v>0</v>
      </c>
      <c r="C491" s="1">
        <v>9</v>
      </c>
      <c r="D491" s="1">
        <v>1</v>
      </c>
      <c r="E491" s="1">
        <v>2</v>
      </c>
      <c r="F491" s="1">
        <v>7</v>
      </c>
      <c r="G491" s="1">
        <v>2</v>
      </c>
      <c r="H491" s="1">
        <v>0</v>
      </c>
      <c r="I491" s="1">
        <v>1</v>
      </c>
      <c r="J491" s="1">
        <v>5</v>
      </c>
    </row>
    <row r="492" spans="1:10" x14ac:dyDescent="0.2">
      <c r="A492" s="1">
        <v>474</v>
      </c>
      <c r="B492" s="1">
        <v>0</v>
      </c>
      <c r="C492" s="1">
        <v>9</v>
      </c>
      <c r="D492" s="1">
        <v>1</v>
      </c>
      <c r="E492" s="1">
        <v>2</v>
      </c>
      <c r="F492" s="1">
        <v>7</v>
      </c>
      <c r="G492" s="1">
        <v>2</v>
      </c>
      <c r="H492" s="1">
        <v>0</v>
      </c>
      <c r="I492" s="1">
        <v>3</v>
      </c>
      <c r="J492" s="1">
        <v>5</v>
      </c>
    </row>
    <row r="493" spans="1:10" x14ac:dyDescent="0.2">
      <c r="A493" s="1">
        <v>1444</v>
      </c>
      <c r="B493" s="1">
        <v>0</v>
      </c>
      <c r="C493" s="1">
        <v>7</v>
      </c>
      <c r="D493" s="1">
        <v>4</v>
      </c>
      <c r="E493" s="1">
        <v>3</v>
      </c>
      <c r="F493" s="1">
        <v>7</v>
      </c>
      <c r="G493" s="1">
        <v>2</v>
      </c>
      <c r="H493" s="1">
        <v>0</v>
      </c>
      <c r="I493" s="1">
        <v>1</v>
      </c>
      <c r="J493" s="1">
        <v>5</v>
      </c>
    </row>
    <row r="494" spans="1:10" x14ac:dyDescent="0.2">
      <c r="A494" s="1">
        <v>2079</v>
      </c>
      <c r="B494" s="1">
        <v>0</v>
      </c>
      <c r="C494" s="1">
        <v>17</v>
      </c>
      <c r="D494" s="1">
        <v>4</v>
      </c>
      <c r="E494" s="1">
        <v>1</v>
      </c>
      <c r="F494" s="1">
        <v>8</v>
      </c>
      <c r="G494" s="1">
        <v>2</v>
      </c>
      <c r="H494" s="1">
        <v>1</v>
      </c>
      <c r="I494" s="1">
        <v>0</v>
      </c>
      <c r="J494" s="1">
        <v>5</v>
      </c>
    </row>
    <row r="495" spans="1:10" x14ac:dyDescent="0.2">
      <c r="A495" s="1">
        <v>679</v>
      </c>
      <c r="B495" s="1">
        <v>0</v>
      </c>
      <c r="C495" s="1">
        <v>8</v>
      </c>
      <c r="D495" s="1">
        <v>3</v>
      </c>
      <c r="E495" s="1">
        <v>2</v>
      </c>
      <c r="F495" s="1">
        <v>8</v>
      </c>
      <c r="G495" s="1">
        <v>2</v>
      </c>
      <c r="H495" s="1">
        <v>1</v>
      </c>
      <c r="I495" s="1">
        <v>1</v>
      </c>
      <c r="J495" s="1">
        <v>5</v>
      </c>
    </row>
    <row r="496" spans="1:10" x14ac:dyDescent="0.2">
      <c r="A496" s="1">
        <v>448</v>
      </c>
      <c r="B496" s="1">
        <v>0</v>
      </c>
      <c r="C496" s="1">
        <v>6</v>
      </c>
      <c r="D496" s="1">
        <v>5</v>
      </c>
      <c r="E496" s="1">
        <v>1</v>
      </c>
      <c r="F496" s="1">
        <v>9</v>
      </c>
      <c r="G496" s="1">
        <v>2</v>
      </c>
      <c r="H496" s="1">
        <v>1</v>
      </c>
      <c r="I496" s="1">
        <v>0</v>
      </c>
      <c r="J496" s="1">
        <v>5</v>
      </c>
    </row>
    <row r="497" spans="1:10" x14ac:dyDescent="0.2">
      <c r="A497" s="1">
        <v>1525</v>
      </c>
      <c r="B497" s="1">
        <v>0</v>
      </c>
      <c r="C497" s="1">
        <v>14</v>
      </c>
      <c r="D497" s="1">
        <v>2</v>
      </c>
      <c r="E497" s="1">
        <v>1</v>
      </c>
      <c r="F497" s="1">
        <v>9</v>
      </c>
      <c r="G497" s="1">
        <v>2</v>
      </c>
      <c r="H497" s="1">
        <v>0</v>
      </c>
      <c r="I497" s="1">
        <v>3</v>
      </c>
      <c r="J497" s="1">
        <v>5</v>
      </c>
    </row>
    <row r="498" spans="1:10" x14ac:dyDescent="0.2">
      <c r="A498" s="1">
        <v>924</v>
      </c>
      <c r="B498" s="1">
        <v>0</v>
      </c>
      <c r="C498" s="1">
        <v>20</v>
      </c>
      <c r="D498" s="1">
        <v>1</v>
      </c>
      <c r="E498" s="1">
        <v>1</v>
      </c>
      <c r="F498" s="1">
        <v>9</v>
      </c>
      <c r="G498" s="1">
        <v>2</v>
      </c>
      <c r="H498" s="1">
        <v>0</v>
      </c>
      <c r="I498" s="1">
        <v>2</v>
      </c>
      <c r="J498" s="1">
        <v>5</v>
      </c>
    </row>
    <row r="499" spans="1:10" x14ac:dyDescent="0.2">
      <c r="A499" s="1">
        <v>2272</v>
      </c>
      <c r="B499" s="1">
        <v>0</v>
      </c>
      <c r="C499" s="1">
        <v>6</v>
      </c>
      <c r="D499" s="1">
        <v>1</v>
      </c>
      <c r="E499" s="1">
        <v>2</v>
      </c>
      <c r="F499" s="1">
        <v>9</v>
      </c>
      <c r="G499" s="1">
        <v>2</v>
      </c>
      <c r="H499" s="1">
        <v>0</v>
      </c>
      <c r="I499" s="1">
        <v>2</v>
      </c>
      <c r="J499" s="1">
        <v>5</v>
      </c>
    </row>
    <row r="500" spans="1:10" x14ac:dyDescent="0.2">
      <c r="A500" s="1">
        <v>215</v>
      </c>
      <c r="B500" s="1">
        <v>0</v>
      </c>
      <c r="C500" s="1">
        <v>9</v>
      </c>
      <c r="D500" s="1">
        <v>2</v>
      </c>
      <c r="E500" s="1">
        <v>2</v>
      </c>
      <c r="F500" s="1">
        <v>9</v>
      </c>
      <c r="G500" s="1">
        <v>2</v>
      </c>
      <c r="H500" s="1">
        <v>0</v>
      </c>
      <c r="I500" s="1">
        <v>1</v>
      </c>
      <c r="J500" s="1">
        <v>5</v>
      </c>
    </row>
    <row r="501" spans="1:10" x14ac:dyDescent="0.2">
      <c r="A501" s="1">
        <v>1777</v>
      </c>
      <c r="B501" s="1">
        <v>0</v>
      </c>
      <c r="C501" s="1">
        <v>19</v>
      </c>
      <c r="D501" s="1">
        <v>2</v>
      </c>
      <c r="E501" s="1">
        <v>3</v>
      </c>
      <c r="F501" s="1">
        <v>9</v>
      </c>
      <c r="G501" s="1">
        <v>2</v>
      </c>
      <c r="H501" s="1">
        <v>0</v>
      </c>
      <c r="I501" s="1">
        <v>1</v>
      </c>
      <c r="J501" s="1">
        <v>5</v>
      </c>
    </row>
    <row r="502" spans="1:10" x14ac:dyDescent="0.2">
      <c r="A502" s="1">
        <v>2307</v>
      </c>
      <c r="B502" s="1">
        <v>0</v>
      </c>
      <c r="C502" s="1">
        <v>10</v>
      </c>
      <c r="D502" s="1">
        <v>4</v>
      </c>
      <c r="E502" s="1">
        <v>2</v>
      </c>
      <c r="F502" s="1">
        <v>10</v>
      </c>
      <c r="G502" s="1">
        <v>2</v>
      </c>
      <c r="H502" s="1">
        <v>1</v>
      </c>
      <c r="I502" s="1">
        <v>0</v>
      </c>
      <c r="J502" s="1">
        <v>5</v>
      </c>
    </row>
    <row r="503" spans="1:10" x14ac:dyDescent="0.2">
      <c r="A503" s="1">
        <v>588</v>
      </c>
      <c r="B503" s="1">
        <v>0</v>
      </c>
      <c r="C503" s="1">
        <v>12</v>
      </c>
      <c r="D503" s="1">
        <v>5</v>
      </c>
      <c r="E503" s="1">
        <v>2</v>
      </c>
      <c r="F503" s="1">
        <v>10</v>
      </c>
      <c r="G503" s="1">
        <v>2</v>
      </c>
      <c r="H503" s="1">
        <v>1</v>
      </c>
      <c r="I503" s="1">
        <v>3</v>
      </c>
      <c r="J503" s="1">
        <v>5</v>
      </c>
    </row>
    <row r="504" spans="1:10" x14ac:dyDescent="0.2">
      <c r="A504" s="1">
        <v>2241</v>
      </c>
      <c r="B504" s="1">
        <v>0</v>
      </c>
      <c r="C504" s="1">
        <v>14</v>
      </c>
      <c r="D504" s="1">
        <v>4</v>
      </c>
      <c r="E504" s="1">
        <v>2</v>
      </c>
      <c r="F504" s="1">
        <v>10</v>
      </c>
      <c r="G504" s="1">
        <v>2</v>
      </c>
      <c r="H504" s="1">
        <v>1</v>
      </c>
      <c r="I504" s="1">
        <v>2</v>
      </c>
      <c r="J504" s="1">
        <v>5</v>
      </c>
    </row>
    <row r="505" spans="1:10" x14ac:dyDescent="0.2">
      <c r="A505" s="1">
        <v>2151</v>
      </c>
      <c r="B505" s="1">
        <v>0</v>
      </c>
      <c r="C505" s="1">
        <v>6</v>
      </c>
      <c r="D505" s="1">
        <v>2</v>
      </c>
      <c r="E505" s="1">
        <v>1</v>
      </c>
      <c r="F505" s="1">
        <v>1</v>
      </c>
      <c r="G505" s="1">
        <v>3</v>
      </c>
      <c r="H505" s="1">
        <v>1</v>
      </c>
      <c r="I505" s="1">
        <v>0</v>
      </c>
      <c r="J505" s="1">
        <v>1</v>
      </c>
    </row>
    <row r="506" spans="1:10" x14ac:dyDescent="0.2">
      <c r="A506" s="1">
        <v>2227</v>
      </c>
      <c r="B506" s="1">
        <v>0</v>
      </c>
      <c r="C506" s="1">
        <v>8</v>
      </c>
      <c r="D506" s="1">
        <v>2</v>
      </c>
      <c r="E506" s="1">
        <v>1</v>
      </c>
      <c r="F506" s="1">
        <v>1</v>
      </c>
      <c r="G506" s="1">
        <v>3</v>
      </c>
      <c r="H506" s="1">
        <v>1</v>
      </c>
      <c r="I506" s="1">
        <v>1</v>
      </c>
      <c r="J506" s="1">
        <v>1</v>
      </c>
    </row>
    <row r="507" spans="1:10" x14ac:dyDescent="0.2">
      <c r="A507" s="1">
        <v>2057</v>
      </c>
      <c r="B507" s="1">
        <v>0</v>
      </c>
      <c r="C507" s="1">
        <v>16</v>
      </c>
      <c r="D507" s="1">
        <v>2</v>
      </c>
      <c r="E507" s="1">
        <v>1</v>
      </c>
      <c r="F507" s="1">
        <v>1</v>
      </c>
      <c r="G507" s="1">
        <v>3</v>
      </c>
      <c r="H507" s="1">
        <v>1</v>
      </c>
      <c r="I507" s="1">
        <v>0</v>
      </c>
      <c r="J507" s="1">
        <v>1</v>
      </c>
    </row>
    <row r="508" spans="1:10" x14ac:dyDescent="0.2">
      <c r="A508" s="1">
        <v>1409</v>
      </c>
      <c r="B508" s="1">
        <v>0</v>
      </c>
      <c r="C508" s="1">
        <v>19</v>
      </c>
      <c r="D508" s="1">
        <v>1</v>
      </c>
      <c r="E508" s="1">
        <v>1</v>
      </c>
      <c r="F508" s="1">
        <v>1</v>
      </c>
      <c r="G508" s="1">
        <v>3</v>
      </c>
      <c r="H508" s="1">
        <v>0</v>
      </c>
      <c r="I508" s="1">
        <v>2</v>
      </c>
      <c r="J508" s="1">
        <v>1</v>
      </c>
    </row>
    <row r="509" spans="1:10" x14ac:dyDescent="0.2">
      <c r="A509" s="1">
        <v>1686</v>
      </c>
      <c r="B509" s="1">
        <v>0</v>
      </c>
      <c r="C509" s="1">
        <v>5</v>
      </c>
      <c r="D509" s="1">
        <v>3</v>
      </c>
      <c r="E509" s="1">
        <v>2</v>
      </c>
      <c r="F509" s="1">
        <v>1</v>
      </c>
      <c r="G509" s="1">
        <v>3</v>
      </c>
      <c r="H509" s="1">
        <v>1</v>
      </c>
      <c r="I509" s="1">
        <v>1</v>
      </c>
      <c r="J509" s="1">
        <v>1</v>
      </c>
    </row>
    <row r="510" spans="1:10" x14ac:dyDescent="0.2">
      <c r="A510" s="1">
        <v>1288</v>
      </c>
      <c r="B510" s="1">
        <v>0</v>
      </c>
      <c r="C510" s="1">
        <v>6</v>
      </c>
      <c r="D510" s="1">
        <v>5</v>
      </c>
      <c r="E510" s="1">
        <v>2</v>
      </c>
      <c r="F510" s="1">
        <v>1</v>
      </c>
      <c r="G510" s="1">
        <v>3</v>
      </c>
      <c r="H510" s="1">
        <v>1</v>
      </c>
      <c r="I510" s="1">
        <v>3</v>
      </c>
      <c r="J510" s="1">
        <v>1</v>
      </c>
    </row>
    <row r="511" spans="1:10" x14ac:dyDescent="0.2">
      <c r="A511" s="1">
        <v>530</v>
      </c>
      <c r="B511" s="1">
        <v>0</v>
      </c>
      <c r="C511" s="1">
        <v>7</v>
      </c>
      <c r="D511" s="1">
        <v>2</v>
      </c>
      <c r="E511" s="1">
        <v>2</v>
      </c>
      <c r="F511" s="1">
        <v>1</v>
      </c>
      <c r="G511" s="1">
        <v>3</v>
      </c>
      <c r="H511" s="1">
        <v>0</v>
      </c>
      <c r="I511" s="1">
        <v>3</v>
      </c>
      <c r="J511" s="1">
        <v>1</v>
      </c>
    </row>
    <row r="512" spans="1:10" x14ac:dyDescent="0.2">
      <c r="A512" s="1">
        <v>1393</v>
      </c>
      <c r="B512" s="1">
        <v>0</v>
      </c>
      <c r="C512" s="1">
        <v>8</v>
      </c>
      <c r="D512" s="1">
        <v>2</v>
      </c>
      <c r="E512" s="1">
        <v>2</v>
      </c>
      <c r="F512" s="1">
        <v>1</v>
      </c>
      <c r="G512" s="1">
        <v>3</v>
      </c>
      <c r="H512" s="1">
        <v>0</v>
      </c>
      <c r="I512" s="1">
        <v>2</v>
      </c>
      <c r="J512" s="1">
        <v>1</v>
      </c>
    </row>
    <row r="513" spans="1:10" x14ac:dyDescent="0.2">
      <c r="A513" s="1">
        <v>2084</v>
      </c>
      <c r="B513" s="1">
        <v>0</v>
      </c>
      <c r="C513" s="1">
        <v>19</v>
      </c>
      <c r="D513" s="1">
        <v>3</v>
      </c>
      <c r="E513" s="1">
        <v>3</v>
      </c>
      <c r="F513" s="1">
        <v>1</v>
      </c>
      <c r="G513" s="1">
        <v>3</v>
      </c>
      <c r="H513" s="1">
        <v>0</v>
      </c>
      <c r="I513" s="1">
        <v>0</v>
      </c>
      <c r="J513" s="1">
        <v>1</v>
      </c>
    </row>
    <row r="514" spans="1:10" x14ac:dyDescent="0.2">
      <c r="A514" s="1">
        <v>342</v>
      </c>
      <c r="B514" s="1">
        <v>0</v>
      </c>
      <c r="C514" s="1">
        <v>6</v>
      </c>
      <c r="D514" s="1">
        <v>3</v>
      </c>
      <c r="E514" s="1">
        <v>1</v>
      </c>
      <c r="F514" s="1">
        <v>2</v>
      </c>
      <c r="G514" s="1">
        <v>3</v>
      </c>
      <c r="H514" s="1">
        <v>0</v>
      </c>
      <c r="I514" s="1">
        <v>0</v>
      </c>
      <c r="J514" s="1">
        <v>1</v>
      </c>
    </row>
    <row r="515" spans="1:10" x14ac:dyDescent="0.2">
      <c r="A515" s="1">
        <v>565</v>
      </c>
      <c r="B515" s="1">
        <v>0</v>
      </c>
      <c r="C515" s="1">
        <v>8</v>
      </c>
      <c r="D515" s="1">
        <v>5</v>
      </c>
      <c r="E515" s="1">
        <v>1</v>
      </c>
      <c r="F515" s="1">
        <v>2</v>
      </c>
      <c r="G515" s="1">
        <v>3</v>
      </c>
      <c r="H515" s="1">
        <v>1</v>
      </c>
      <c r="I515" s="1">
        <v>1</v>
      </c>
      <c r="J515" s="1">
        <v>1</v>
      </c>
    </row>
    <row r="516" spans="1:10" x14ac:dyDescent="0.2">
      <c r="A516" s="1">
        <v>2216</v>
      </c>
      <c r="B516" s="1">
        <v>0</v>
      </c>
      <c r="C516" s="1">
        <v>8</v>
      </c>
      <c r="D516" s="1">
        <v>5</v>
      </c>
      <c r="E516" s="1">
        <v>2</v>
      </c>
      <c r="F516" s="1">
        <v>2</v>
      </c>
      <c r="G516" s="1">
        <v>3</v>
      </c>
      <c r="H516" s="1">
        <v>0</v>
      </c>
      <c r="I516" s="1">
        <v>0</v>
      </c>
      <c r="J516" s="1">
        <v>1</v>
      </c>
    </row>
    <row r="517" spans="1:10" x14ac:dyDescent="0.2">
      <c r="A517" s="1">
        <v>1978</v>
      </c>
      <c r="B517" s="1">
        <v>0</v>
      </c>
      <c r="C517" s="1">
        <v>9</v>
      </c>
      <c r="D517" s="1">
        <v>2</v>
      </c>
      <c r="E517" s="1">
        <v>2</v>
      </c>
      <c r="F517" s="1">
        <v>2</v>
      </c>
      <c r="G517" s="1">
        <v>3</v>
      </c>
      <c r="H517" s="1">
        <v>1</v>
      </c>
      <c r="I517" s="1">
        <v>2</v>
      </c>
      <c r="J517" s="1">
        <v>1</v>
      </c>
    </row>
    <row r="518" spans="1:10" x14ac:dyDescent="0.2">
      <c r="A518" s="1">
        <v>959</v>
      </c>
      <c r="B518" s="1">
        <v>0</v>
      </c>
      <c r="C518" s="1">
        <v>17</v>
      </c>
      <c r="D518" s="1">
        <v>2</v>
      </c>
      <c r="E518" s="1">
        <v>2</v>
      </c>
      <c r="F518" s="1">
        <v>2</v>
      </c>
      <c r="G518" s="1">
        <v>3</v>
      </c>
      <c r="H518" s="1">
        <v>0</v>
      </c>
      <c r="I518" s="1">
        <v>0</v>
      </c>
      <c r="J518" s="1">
        <v>1</v>
      </c>
    </row>
    <row r="519" spans="1:10" x14ac:dyDescent="0.2">
      <c r="A519" s="1">
        <v>1724</v>
      </c>
      <c r="B519" s="1">
        <v>0</v>
      </c>
      <c r="C519" s="1">
        <v>17</v>
      </c>
      <c r="D519" s="1">
        <v>5</v>
      </c>
      <c r="E519" s="1">
        <v>2</v>
      </c>
      <c r="F519" s="1">
        <v>2</v>
      </c>
      <c r="G519" s="1">
        <v>3</v>
      </c>
      <c r="H519" s="1">
        <v>1</v>
      </c>
      <c r="I519" s="1">
        <v>2</v>
      </c>
      <c r="J519" s="1">
        <v>1</v>
      </c>
    </row>
    <row r="520" spans="1:10" x14ac:dyDescent="0.2">
      <c r="A520" s="1">
        <v>2188</v>
      </c>
      <c r="B520" s="1">
        <v>0</v>
      </c>
      <c r="C520" s="1">
        <v>9</v>
      </c>
      <c r="D520" s="1">
        <v>5</v>
      </c>
      <c r="E520" s="1">
        <v>3</v>
      </c>
      <c r="F520" s="1">
        <v>2</v>
      </c>
      <c r="G520" s="1">
        <v>3</v>
      </c>
      <c r="H520" s="1">
        <v>0</v>
      </c>
      <c r="I520" s="1">
        <v>3</v>
      </c>
      <c r="J520" s="1">
        <v>1</v>
      </c>
    </row>
    <row r="521" spans="1:10" x14ac:dyDescent="0.2">
      <c r="A521" s="1">
        <v>560</v>
      </c>
      <c r="B521" s="1">
        <v>0</v>
      </c>
      <c r="C521" s="1">
        <v>12</v>
      </c>
      <c r="D521" s="1">
        <v>3</v>
      </c>
      <c r="E521" s="1">
        <v>1</v>
      </c>
      <c r="F521" s="1">
        <v>3</v>
      </c>
      <c r="G521" s="1">
        <v>3</v>
      </c>
      <c r="H521" s="1">
        <v>1</v>
      </c>
      <c r="I521" s="1">
        <v>0</v>
      </c>
      <c r="J521" s="1">
        <v>1</v>
      </c>
    </row>
    <row r="522" spans="1:10" x14ac:dyDescent="0.2">
      <c r="A522" s="1">
        <v>1903</v>
      </c>
      <c r="B522" s="1">
        <v>0</v>
      </c>
      <c r="C522" s="1">
        <v>15</v>
      </c>
      <c r="D522" s="1">
        <v>3</v>
      </c>
      <c r="E522" s="1">
        <v>2</v>
      </c>
      <c r="F522" s="1">
        <v>3</v>
      </c>
      <c r="G522" s="1">
        <v>3</v>
      </c>
      <c r="H522" s="1">
        <v>1</v>
      </c>
      <c r="I522" s="1">
        <v>2</v>
      </c>
      <c r="J522" s="1">
        <v>1</v>
      </c>
    </row>
    <row r="523" spans="1:10" x14ac:dyDescent="0.2">
      <c r="A523" s="1">
        <v>873</v>
      </c>
      <c r="B523" s="1">
        <v>0</v>
      </c>
      <c r="C523" s="1">
        <v>9</v>
      </c>
      <c r="D523" s="1">
        <v>5</v>
      </c>
      <c r="E523" s="1">
        <v>3</v>
      </c>
      <c r="F523" s="1">
        <v>3</v>
      </c>
      <c r="G523" s="1">
        <v>3</v>
      </c>
      <c r="H523" s="1">
        <v>0</v>
      </c>
      <c r="I523" s="1">
        <v>1</v>
      </c>
      <c r="J523" s="1">
        <v>1</v>
      </c>
    </row>
    <row r="524" spans="1:10" x14ac:dyDescent="0.2">
      <c r="A524" s="1">
        <v>2446</v>
      </c>
      <c r="B524" s="1">
        <v>0</v>
      </c>
      <c r="C524" s="1">
        <v>20</v>
      </c>
      <c r="D524" s="1">
        <v>3</v>
      </c>
      <c r="E524" s="1">
        <v>1</v>
      </c>
      <c r="F524" s="1">
        <v>4</v>
      </c>
      <c r="G524" s="1">
        <v>3</v>
      </c>
      <c r="H524" s="1">
        <v>0</v>
      </c>
      <c r="I524" s="1">
        <v>3</v>
      </c>
      <c r="J524" s="1">
        <v>1</v>
      </c>
    </row>
    <row r="525" spans="1:10" x14ac:dyDescent="0.2">
      <c r="A525" s="1">
        <v>557</v>
      </c>
      <c r="B525" s="1">
        <v>0</v>
      </c>
      <c r="C525" s="1">
        <v>7</v>
      </c>
      <c r="D525" s="1">
        <v>4</v>
      </c>
      <c r="E525" s="1">
        <v>2</v>
      </c>
      <c r="F525" s="1">
        <v>4</v>
      </c>
      <c r="G525" s="1">
        <v>3</v>
      </c>
      <c r="H525" s="1">
        <v>0</v>
      </c>
      <c r="I525" s="1">
        <v>0</v>
      </c>
      <c r="J525" s="1">
        <v>1</v>
      </c>
    </row>
    <row r="526" spans="1:10" x14ac:dyDescent="0.2">
      <c r="A526" s="1">
        <v>817</v>
      </c>
      <c r="B526" s="1">
        <v>0</v>
      </c>
      <c r="C526" s="1">
        <v>10</v>
      </c>
      <c r="D526" s="1">
        <v>5</v>
      </c>
      <c r="E526" s="1">
        <v>2</v>
      </c>
      <c r="F526" s="1">
        <v>4</v>
      </c>
      <c r="G526" s="1">
        <v>3</v>
      </c>
      <c r="H526" s="1">
        <v>0</v>
      </c>
      <c r="I526" s="1">
        <v>3</v>
      </c>
      <c r="J526" s="1">
        <v>1</v>
      </c>
    </row>
    <row r="527" spans="1:10" x14ac:dyDescent="0.2">
      <c r="A527" s="1">
        <v>553</v>
      </c>
      <c r="B527" s="1">
        <v>0</v>
      </c>
      <c r="C527" s="1">
        <v>17</v>
      </c>
      <c r="D527" s="1">
        <v>3</v>
      </c>
      <c r="E527" s="1">
        <v>2</v>
      </c>
      <c r="F527" s="1">
        <v>4</v>
      </c>
      <c r="G527" s="1">
        <v>3</v>
      </c>
      <c r="H527" s="1">
        <v>0</v>
      </c>
      <c r="I527" s="1">
        <v>1</v>
      </c>
      <c r="J527" s="1">
        <v>1</v>
      </c>
    </row>
    <row r="528" spans="1:10" x14ac:dyDescent="0.2">
      <c r="A528" s="1">
        <v>988</v>
      </c>
      <c r="B528" s="1">
        <v>0</v>
      </c>
      <c r="C528" s="1">
        <v>7</v>
      </c>
      <c r="D528" s="1">
        <v>5</v>
      </c>
      <c r="E528" s="1">
        <v>3</v>
      </c>
      <c r="F528" s="1">
        <v>4</v>
      </c>
      <c r="G528" s="1">
        <v>3</v>
      </c>
      <c r="H528" s="1">
        <v>1</v>
      </c>
      <c r="I528" s="1">
        <v>1</v>
      </c>
      <c r="J528" s="1">
        <v>1</v>
      </c>
    </row>
    <row r="529" spans="1:10" x14ac:dyDescent="0.2">
      <c r="A529" s="1">
        <v>1629</v>
      </c>
      <c r="B529" s="1">
        <v>0</v>
      </c>
      <c r="C529" s="1">
        <v>10</v>
      </c>
      <c r="D529" s="1">
        <v>4</v>
      </c>
      <c r="E529" s="1">
        <v>3</v>
      </c>
      <c r="F529" s="1">
        <v>4</v>
      </c>
      <c r="G529" s="1">
        <v>3</v>
      </c>
      <c r="H529" s="1">
        <v>1</v>
      </c>
      <c r="I529" s="1">
        <v>0</v>
      </c>
      <c r="J529" s="1">
        <v>1</v>
      </c>
    </row>
    <row r="530" spans="1:10" x14ac:dyDescent="0.2">
      <c r="A530" s="1">
        <v>2236</v>
      </c>
      <c r="B530" s="1">
        <v>0</v>
      </c>
      <c r="C530" s="1">
        <v>14</v>
      </c>
      <c r="D530" s="1">
        <v>4</v>
      </c>
      <c r="E530" s="1">
        <v>3</v>
      </c>
      <c r="F530" s="1">
        <v>4</v>
      </c>
      <c r="G530" s="1">
        <v>3</v>
      </c>
      <c r="H530" s="1">
        <v>1</v>
      </c>
      <c r="I530" s="1">
        <v>3</v>
      </c>
      <c r="J530" s="1">
        <v>1</v>
      </c>
    </row>
    <row r="531" spans="1:10" x14ac:dyDescent="0.2">
      <c r="A531" s="1">
        <v>1127</v>
      </c>
      <c r="B531" s="1">
        <v>0</v>
      </c>
      <c r="C531" s="1">
        <v>12</v>
      </c>
      <c r="D531" s="1">
        <v>5</v>
      </c>
      <c r="E531" s="1">
        <v>1</v>
      </c>
      <c r="F531" s="1">
        <v>5</v>
      </c>
      <c r="G531" s="1">
        <v>3</v>
      </c>
      <c r="H531" s="1">
        <v>0</v>
      </c>
      <c r="I531" s="1">
        <v>0</v>
      </c>
      <c r="J531" s="1">
        <v>1</v>
      </c>
    </row>
    <row r="532" spans="1:10" x14ac:dyDescent="0.2">
      <c r="A532" s="1">
        <v>1232</v>
      </c>
      <c r="B532" s="1">
        <v>0</v>
      </c>
      <c r="C532" s="1">
        <v>13</v>
      </c>
      <c r="D532" s="1">
        <v>2</v>
      </c>
      <c r="E532" s="1">
        <v>2</v>
      </c>
      <c r="F532" s="1">
        <v>5</v>
      </c>
      <c r="G532" s="1">
        <v>3</v>
      </c>
      <c r="H532" s="1">
        <v>1</v>
      </c>
      <c r="I532" s="1">
        <v>0</v>
      </c>
      <c r="J532" s="1">
        <v>1</v>
      </c>
    </row>
    <row r="533" spans="1:10" x14ac:dyDescent="0.2">
      <c r="A533" s="1">
        <v>1234</v>
      </c>
      <c r="B533" s="1">
        <v>0</v>
      </c>
      <c r="C533" s="1">
        <v>13</v>
      </c>
      <c r="D533" s="1">
        <v>5</v>
      </c>
      <c r="E533" s="1">
        <v>2</v>
      </c>
      <c r="F533" s="1">
        <v>5</v>
      </c>
      <c r="G533" s="1">
        <v>3</v>
      </c>
      <c r="H533" s="1">
        <v>0</v>
      </c>
      <c r="I533" s="1">
        <v>2</v>
      </c>
      <c r="J533" s="1">
        <v>1</v>
      </c>
    </row>
    <row r="534" spans="1:10" x14ac:dyDescent="0.2">
      <c r="A534" s="1">
        <v>700</v>
      </c>
      <c r="B534" s="1">
        <v>0</v>
      </c>
      <c r="C534" s="1">
        <v>13</v>
      </c>
      <c r="D534" s="1">
        <v>1</v>
      </c>
      <c r="E534" s="1">
        <v>3</v>
      </c>
      <c r="F534" s="1">
        <v>5</v>
      </c>
      <c r="G534" s="1">
        <v>3</v>
      </c>
      <c r="H534" s="1">
        <v>0</v>
      </c>
      <c r="I534" s="1">
        <v>3</v>
      </c>
      <c r="J534" s="1">
        <v>1</v>
      </c>
    </row>
    <row r="535" spans="1:10" x14ac:dyDescent="0.2">
      <c r="A535" s="1">
        <v>839</v>
      </c>
      <c r="B535" s="1">
        <v>0</v>
      </c>
      <c r="C535" s="1">
        <v>12</v>
      </c>
      <c r="D535" s="1">
        <v>5</v>
      </c>
      <c r="E535" s="1">
        <v>1</v>
      </c>
      <c r="F535" s="1">
        <v>6</v>
      </c>
      <c r="G535" s="1">
        <v>3</v>
      </c>
      <c r="H535" s="1">
        <v>0</v>
      </c>
      <c r="I535" s="1">
        <v>3</v>
      </c>
      <c r="J535" s="1">
        <v>1</v>
      </c>
    </row>
    <row r="536" spans="1:10" x14ac:dyDescent="0.2">
      <c r="A536" s="1">
        <v>1793</v>
      </c>
      <c r="B536" s="1">
        <v>0</v>
      </c>
      <c r="C536" s="1">
        <v>12</v>
      </c>
      <c r="D536" s="1">
        <v>1</v>
      </c>
      <c r="E536" s="1">
        <v>1</v>
      </c>
      <c r="F536" s="1">
        <v>6</v>
      </c>
      <c r="G536" s="1">
        <v>3</v>
      </c>
      <c r="H536" s="1">
        <v>1</v>
      </c>
      <c r="I536" s="1">
        <v>1</v>
      </c>
      <c r="J536" s="1">
        <v>1</v>
      </c>
    </row>
    <row r="537" spans="1:10" x14ac:dyDescent="0.2">
      <c r="A537" s="1">
        <v>831</v>
      </c>
      <c r="B537" s="1">
        <v>0</v>
      </c>
      <c r="C537" s="1">
        <v>16</v>
      </c>
      <c r="D537" s="1">
        <v>3</v>
      </c>
      <c r="E537" s="1">
        <v>1</v>
      </c>
      <c r="F537" s="1">
        <v>6</v>
      </c>
      <c r="G537" s="1">
        <v>3</v>
      </c>
      <c r="H537" s="1">
        <v>0</v>
      </c>
      <c r="I537" s="1">
        <v>0</v>
      </c>
      <c r="J537" s="1">
        <v>1</v>
      </c>
    </row>
    <row r="538" spans="1:10" x14ac:dyDescent="0.2">
      <c r="A538" s="1">
        <v>1522</v>
      </c>
      <c r="B538" s="1">
        <v>0</v>
      </c>
      <c r="C538" s="1">
        <v>5</v>
      </c>
      <c r="D538" s="1">
        <v>4</v>
      </c>
      <c r="E538" s="1">
        <v>2</v>
      </c>
      <c r="F538" s="1">
        <v>6</v>
      </c>
      <c r="G538" s="1">
        <v>3</v>
      </c>
      <c r="H538" s="1">
        <v>0</v>
      </c>
      <c r="I538" s="1">
        <v>0</v>
      </c>
      <c r="J538" s="1">
        <v>1</v>
      </c>
    </row>
    <row r="539" spans="1:10" x14ac:dyDescent="0.2">
      <c r="A539" s="1">
        <v>2063</v>
      </c>
      <c r="B539" s="1">
        <v>0</v>
      </c>
      <c r="C539" s="1">
        <v>8</v>
      </c>
      <c r="D539" s="1">
        <v>3</v>
      </c>
      <c r="E539" s="1">
        <v>2</v>
      </c>
      <c r="F539" s="1">
        <v>6</v>
      </c>
      <c r="G539" s="1">
        <v>3</v>
      </c>
      <c r="H539" s="1">
        <v>0</v>
      </c>
      <c r="I539" s="1">
        <v>2</v>
      </c>
      <c r="J539" s="1">
        <v>1</v>
      </c>
    </row>
    <row r="540" spans="1:10" x14ac:dyDescent="0.2">
      <c r="A540" s="1">
        <v>129</v>
      </c>
      <c r="B540" s="1">
        <v>0</v>
      </c>
      <c r="C540" s="1">
        <v>9</v>
      </c>
      <c r="D540" s="1">
        <v>4</v>
      </c>
      <c r="E540" s="1">
        <v>2</v>
      </c>
      <c r="F540" s="1">
        <v>6</v>
      </c>
      <c r="G540" s="1">
        <v>3</v>
      </c>
      <c r="H540" s="1">
        <v>0</v>
      </c>
      <c r="I540" s="1">
        <v>2</v>
      </c>
      <c r="J540" s="1">
        <v>1</v>
      </c>
    </row>
    <row r="541" spans="1:10" x14ac:dyDescent="0.2">
      <c r="A541" s="1">
        <v>979</v>
      </c>
      <c r="B541" s="1">
        <v>0</v>
      </c>
      <c r="C541" s="1">
        <v>11</v>
      </c>
      <c r="D541" s="1">
        <v>1</v>
      </c>
      <c r="E541" s="1">
        <v>2</v>
      </c>
      <c r="F541" s="1">
        <v>6</v>
      </c>
      <c r="G541" s="1">
        <v>3</v>
      </c>
      <c r="H541" s="1">
        <v>1</v>
      </c>
      <c r="I541" s="1">
        <v>0</v>
      </c>
      <c r="J541" s="1">
        <v>1</v>
      </c>
    </row>
    <row r="542" spans="1:10" x14ac:dyDescent="0.2">
      <c r="A542" s="1">
        <v>1823</v>
      </c>
      <c r="B542" s="1">
        <v>0</v>
      </c>
      <c r="C542" s="1">
        <v>15</v>
      </c>
      <c r="D542" s="1">
        <v>1</v>
      </c>
      <c r="E542" s="1">
        <v>2</v>
      </c>
      <c r="F542" s="1">
        <v>6</v>
      </c>
      <c r="G542" s="1">
        <v>3</v>
      </c>
      <c r="H542" s="1">
        <v>1</v>
      </c>
      <c r="I542" s="1">
        <v>1</v>
      </c>
      <c r="J542" s="1">
        <v>1</v>
      </c>
    </row>
    <row r="543" spans="1:10" x14ac:dyDescent="0.2">
      <c r="A543" s="1">
        <v>682</v>
      </c>
      <c r="B543" s="1">
        <v>0</v>
      </c>
      <c r="C543" s="1">
        <v>9</v>
      </c>
      <c r="D543" s="1">
        <v>1</v>
      </c>
      <c r="E543" s="1">
        <v>3</v>
      </c>
      <c r="F543" s="1">
        <v>6</v>
      </c>
      <c r="G543" s="1">
        <v>3</v>
      </c>
      <c r="H543" s="1">
        <v>1</v>
      </c>
      <c r="I543" s="1">
        <v>3</v>
      </c>
      <c r="J543" s="1">
        <v>1</v>
      </c>
    </row>
    <row r="544" spans="1:10" x14ac:dyDescent="0.2">
      <c r="A544" s="1">
        <v>2316</v>
      </c>
      <c r="B544" s="1">
        <v>0</v>
      </c>
      <c r="C544" s="1">
        <v>19</v>
      </c>
      <c r="D544" s="1">
        <v>2</v>
      </c>
      <c r="E544" s="1">
        <v>3</v>
      </c>
      <c r="F544" s="1">
        <v>6</v>
      </c>
      <c r="G544" s="1">
        <v>3</v>
      </c>
      <c r="H544" s="1">
        <v>1</v>
      </c>
      <c r="I544" s="1">
        <v>3</v>
      </c>
      <c r="J544" s="1">
        <v>1</v>
      </c>
    </row>
    <row r="545" spans="1:10" x14ac:dyDescent="0.2">
      <c r="A545" s="1">
        <v>281</v>
      </c>
      <c r="B545" s="1">
        <v>0</v>
      </c>
      <c r="C545" s="1">
        <v>14</v>
      </c>
      <c r="D545" s="1">
        <v>2</v>
      </c>
      <c r="E545" s="1">
        <v>1</v>
      </c>
      <c r="F545" s="1">
        <v>7</v>
      </c>
      <c r="G545" s="1">
        <v>3</v>
      </c>
      <c r="H545" s="1">
        <v>1</v>
      </c>
      <c r="I545" s="1">
        <v>2</v>
      </c>
      <c r="J545" s="1">
        <v>1</v>
      </c>
    </row>
    <row r="546" spans="1:10" x14ac:dyDescent="0.2">
      <c r="A546" s="1">
        <v>641</v>
      </c>
      <c r="B546" s="1">
        <v>0</v>
      </c>
      <c r="C546" s="1">
        <v>14</v>
      </c>
      <c r="D546" s="1">
        <v>1</v>
      </c>
      <c r="E546" s="1">
        <v>1</v>
      </c>
      <c r="F546" s="1">
        <v>7</v>
      </c>
      <c r="G546" s="1">
        <v>3</v>
      </c>
      <c r="H546" s="1">
        <v>0</v>
      </c>
      <c r="I546" s="1">
        <v>2</v>
      </c>
      <c r="J546" s="1">
        <v>1</v>
      </c>
    </row>
    <row r="547" spans="1:10" x14ac:dyDescent="0.2">
      <c r="A547" s="1">
        <v>2441</v>
      </c>
      <c r="B547" s="1">
        <v>0</v>
      </c>
      <c r="C547" s="1">
        <v>5</v>
      </c>
      <c r="D547" s="1">
        <v>5</v>
      </c>
      <c r="E547" s="1">
        <v>2</v>
      </c>
      <c r="F547" s="1">
        <v>7</v>
      </c>
      <c r="G547" s="1">
        <v>3</v>
      </c>
      <c r="H547" s="1">
        <v>1</v>
      </c>
      <c r="I547" s="1">
        <v>0</v>
      </c>
      <c r="J547" s="1">
        <v>1</v>
      </c>
    </row>
    <row r="548" spans="1:10" x14ac:dyDescent="0.2">
      <c r="A548" s="1">
        <v>1914</v>
      </c>
      <c r="B548" s="1">
        <v>0</v>
      </c>
      <c r="C548" s="1">
        <v>7</v>
      </c>
      <c r="D548" s="1">
        <v>2</v>
      </c>
      <c r="E548" s="1">
        <v>2</v>
      </c>
      <c r="F548" s="1">
        <v>7</v>
      </c>
      <c r="G548" s="1">
        <v>3</v>
      </c>
      <c r="H548" s="1">
        <v>0</v>
      </c>
      <c r="I548" s="1">
        <v>0</v>
      </c>
      <c r="J548" s="1">
        <v>1</v>
      </c>
    </row>
    <row r="549" spans="1:10" x14ac:dyDescent="0.2">
      <c r="A549" s="1">
        <v>635</v>
      </c>
      <c r="B549" s="1">
        <v>0</v>
      </c>
      <c r="C549" s="1">
        <v>11</v>
      </c>
      <c r="D549" s="1">
        <v>1</v>
      </c>
      <c r="E549" s="1">
        <v>3</v>
      </c>
      <c r="F549" s="1">
        <v>7</v>
      </c>
      <c r="G549" s="1">
        <v>3</v>
      </c>
      <c r="H549" s="1">
        <v>1</v>
      </c>
      <c r="I549" s="1">
        <v>3</v>
      </c>
      <c r="J549" s="1">
        <v>1</v>
      </c>
    </row>
    <row r="550" spans="1:10" x14ac:dyDescent="0.2">
      <c r="A550" s="1">
        <v>427</v>
      </c>
      <c r="B550" s="1">
        <v>0</v>
      </c>
      <c r="C550" s="1">
        <v>13</v>
      </c>
      <c r="D550" s="1">
        <v>2</v>
      </c>
      <c r="E550" s="1">
        <v>3</v>
      </c>
      <c r="F550" s="1">
        <v>7</v>
      </c>
      <c r="G550" s="1">
        <v>3</v>
      </c>
      <c r="H550" s="1">
        <v>0</v>
      </c>
      <c r="I550" s="1">
        <v>0</v>
      </c>
      <c r="J550" s="1">
        <v>1</v>
      </c>
    </row>
    <row r="551" spans="1:10" x14ac:dyDescent="0.2">
      <c r="A551" s="1">
        <v>951</v>
      </c>
      <c r="B551" s="1">
        <v>0</v>
      </c>
      <c r="C551" s="1">
        <v>14</v>
      </c>
      <c r="D551" s="1">
        <v>5</v>
      </c>
      <c r="E551" s="1">
        <v>3</v>
      </c>
      <c r="F551" s="1">
        <v>7</v>
      </c>
      <c r="G551" s="1">
        <v>3</v>
      </c>
      <c r="H551" s="1">
        <v>1</v>
      </c>
      <c r="I551" s="1">
        <v>2</v>
      </c>
      <c r="J551" s="1">
        <v>1</v>
      </c>
    </row>
    <row r="552" spans="1:10" x14ac:dyDescent="0.2">
      <c r="A552" s="1">
        <v>1036</v>
      </c>
      <c r="B552" s="1">
        <v>0</v>
      </c>
      <c r="C552" s="1">
        <v>5</v>
      </c>
      <c r="D552" s="1">
        <v>3</v>
      </c>
      <c r="E552" s="1">
        <v>1</v>
      </c>
      <c r="F552" s="1">
        <v>8</v>
      </c>
      <c r="G552" s="1">
        <v>3</v>
      </c>
      <c r="H552" s="1">
        <v>0</v>
      </c>
      <c r="I552" s="1">
        <v>3</v>
      </c>
      <c r="J552" s="1">
        <v>1</v>
      </c>
    </row>
    <row r="553" spans="1:10" x14ac:dyDescent="0.2">
      <c r="A553" s="1">
        <v>2073</v>
      </c>
      <c r="B553" s="1">
        <v>0</v>
      </c>
      <c r="C553" s="1">
        <v>7</v>
      </c>
      <c r="D553" s="1">
        <v>1</v>
      </c>
      <c r="E553" s="1">
        <v>2</v>
      </c>
      <c r="F553" s="1">
        <v>8</v>
      </c>
      <c r="G553" s="1">
        <v>3</v>
      </c>
      <c r="H553" s="1">
        <v>0</v>
      </c>
      <c r="I553" s="1">
        <v>1</v>
      </c>
      <c r="J553" s="1">
        <v>1</v>
      </c>
    </row>
    <row r="554" spans="1:10" x14ac:dyDescent="0.2">
      <c r="A554" s="1">
        <v>623</v>
      </c>
      <c r="B554" s="1">
        <v>0</v>
      </c>
      <c r="C554" s="1">
        <v>8</v>
      </c>
      <c r="D554" s="1">
        <v>2</v>
      </c>
      <c r="E554" s="1">
        <v>2</v>
      </c>
      <c r="F554" s="1">
        <v>8</v>
      </c>
      <c r="G554" s="1">
        <v>3</v>
      </c>
      <c r="H554" s="1">
        <v>0</v>
      </c>
      <c r="I554" s="1">
        <v>1</v>
      </c>
      <c r="J554" s="1">
        <v>1</v>
      </c>
    </row>
    <row r="555" spans="1:10" x14ac:dyDescent="0.2">
      <c r="A555" s="1">
        <v>1253</v>
      </c>
      <c r="B555" s="1">
        <v>0</v>
      </c>
      <c r="C555" s="1">
        <v>19</v>
      </c>
      <c r="D555" s="1">
        <v>2</v>
      </c>
      <c r="E555" s="1">
        <v>2</v>
      </c>
      <c r="F555" s="1">
        <v>8</v>
      </c>
      <c r="G555" s="1">
        <v>3</v>
      </c>
      <c r="H555" s="1">
        <v>1</v>
      </c>
      <c r="I555" s="1">
        <v>1</v>
      </c>
      <c r="J555" s="1">
        <v>1</v>
      </c>
    </row>
    <row r="556" spans="1:10" x14ac:dyDescent="0.2">
      <c r="A556" s="1">
        <v>2273</v>
      </c>
      <c r="B556" s="1">
        <v>0</v>
      </c>
      <c r="C556" s="1">
        <v>8</v>
      </c>
      <c r="D556" s="1">
        <v>4</v>
      </c>
      <c r="E556" s="1">
        <v>3</v>
      </c>
      <c r="F556" s="1">
        <v>8</v>
      </c>
      <c r="G556" s="1">
        <v>3</v>
      </c>
      <c r="H556" s="1">
        <v>1</v>
      </c>
      <c r="I556" s="1">
        <v>2</v>
      </c>
      <c r="J556" s="1">
        <v>1</v>
      </c>
    </row>
    <row r="557" spans="1:10" x14ac:dyDescent="0.2">
      <c r="A557" s="1">
        <v>2317</v>
      </c>
      <c r="B557" s="1">
        <v>0</v>
      </c>
      <c r="C557" s="1">
        <v>18</v>
      </c>
      <c r="D557" s="1">
        <v>1</v>
      </c>
      <c r="E557" s="1">
        <v>1</v>
      </c>
      <c r="F557" s="1">
        <v>9</v>
      </c>
      <c r="G557" s="1">
        <v>3</v>
      </c>
      <c r="H557" s="1">
        <v>1</v>
      </c>
      <c r="I557" s="1">
        <v>3</v>
      </c>
      <c r="J557" s="1">
        <v>1</v>
      </c>
    </row>
    <row r="558" spans="1:10" x14ac:dyDescent="0.2">
      <c r="A558" s="1">
        <v>526</v>
      </c>
      <c r="B558" s="1">
        <v>0</v>
      </c>
      <c r="C558" s="1">
        <v>16</v>
      </c>
      <c r="D558" s="1">
        <v>2</v>
      </c>
      <c r="E558" s="1">
        <v>2</v>
      </c>
      <c r="F558" s="1">
        <v>9</v>
      </c>
      <c r="G558" s="1">
        <v>3</v>
      </c>
      <c r="H558" s="1">
        <v>1</v>
      </c>
      <c r="I558" s="1">
        <v>1</v>
      </c>
      <c r="J558" s="1">
        <v>1</v>
      </c>
    </row>
    <row r="559" spans="1:10" x14ac:dyDescent="0.2">
      <c r="A559" s="1">
        <v>166</v>
      </c>
      <c r="B559" s="1">
        <v>0</v>
      </c>
      <c r="C559" s="1">
        <v>20</v>
      </c>
      <c r="D559" s="1">
        <v>3</v>
      </c>
      <c r="E559" s="1">
        <v>2</v>
      </c>
      <c r="F559" s="1">
        <v>9</v>
      </c>
      <c r="G559" s="1">
        <v>3</v>
      </c>
      <c r="H559" s="1">
        <v>1</v>
      </c>
      <c r="I559" s="1">
        <v>1</v>
      </c>
      <c r="J559" s="1">
        <v>1</v>
      </c>
    </row>
    <row r="560" spans="1:10" x14ac:dyDescent="0.2">
      <c r="A560" s="1">
        <v>1738</v>
      </c>
      <c r="B560" s="1">
        <v>0</v>
      </c>
      <c r="C560" s="1">
        <v>7</v>
      </c>
      <c r="D560" s="1">
        <v>2</v>
      </c>
      <c r="E560" s="1">
        <v>3</v>
      </c>
      <c r="F560" s="1">
        <v>9</v>
      </c>
      <c r="G560" s="1">
        <v>3</v>
      </c>
      <c r="H560" s="1">
        <v>1</v>
      </c>
      <c r="I560" s="1">
        <v>0</v>
      </c>
      <c r="J560" s="1">
        <v>1</v>
      </c>
    </row>
    <row r="561" spans="1:10" x14ac:dyDescent="0.2">
      <c r="A561" s="1">
        <v>334</v>
      </c>
      <c r="B561" s="1">
        <v>0</v>
      </c>
      <c r="C561" s="1">
        <v>6</v>
      </c>
      <c r="D561" s="1">
        <v>1</v>
      </c>
      <c r="E561" s="1">
        <v>1</v>
      </c>
      <c r="F561" s="1">
        <v>10</v>
      </c>
      <c r="G561" s="1">
        <v>3</v>
      </c>
      <c r="H561" s="1">
        <v>1</v>
      </c>
      <c r="I561" s="1">
        <v>2</v>
      </c>
      <c r="J561" s="1">
        <v>1</v>
      </c>
    </row>
    <row r="562" spans="1:10" x14ac:dyDescent="0.2">
      <c r="A562" s="1">
        <v>152</v>
      </c>
      <c r="B562" s="1">
        <v>0</v>
      </c>
      <c r="C562" s="1">
        <v>12</v>
      </c>
      <c r="D562" s="1">
        <v>1</v>
      </c>
      <c r="E562" s="1">
        <v>1</v>
      </c>
      <c r="F562" s="1">
        <v>10</v>
      </c>
      <c r="G562" s="1">
        <v>3</v>
      </c>
      <c r="H562" s="1">
        <v>0</v>
      </c>
      <c r="I562" s="1">
        <v>3</v>
      </c>
      <c r="J562" s="1">
        <v>1</v>
      </c>
    </row>
    <row r="563" spans="1:10" x14ac:dyDescent="0.2">
      <c r="A563" s="1">
        <v>29</v>
      </c>
      <c r="B563" s="1">
        <v>0</v>
      </c>
      <c r="C563" s="1">
        <v>16</v>
      </c>
      <c r="D563" s="1">
        <v>5</v>
      </c>
      <c r="E563" s="1">
        <v>3</v>
      </c>
      <c r="F563" s="1">
        <v>10</v>
      </c>
      <c r="G563" s="1">
        <v>3</v>
      </c>
      <c r="H563" s="1">
        <v>0</v>
      </c>
      <c r="I563" s="1">
        <v>2</v>
      </c>
      <c r="J563" s="1">
        <v>1</v>
      </c>
    </row>
    <row r="564" spans="1:10" x14ac:dyDescent="0.2">
      <c r="A564" s="1">
        <v>1049</v>
      </c>
      <c r="B564" s="1">
        <v>0</v>
      </c>
      <c r="C564" s="1">
        <v>16</v>
      </c>
      <c r="D564" s="1">
        <v>5</v>
      </c>
      <c r="E564" s="1">
        <v>3</v>
      </c>
      <c r="F564" s="1">
        <v>10</v>
      </c>
      <c r="G564" s="1">
        <v>3</v>
      </c>
      <c r="H564" s="1">
        <v>1</v>
      </c>
      <c r="I564" s="1">
        <v>1</v>
      </c>
      <c r="J564" s="1">
        <v>1</v>
      </c>
    </row>
    <row r="565" spans="1:10" x14ac:dyDescent="0.2">
      <c r="A565" s="1">
        <v>2430</v>
      </c>
      <c r="B565" s="1">
        <v>0</v>
      </c>
      <c r="C565" s="1">
        <v>5</v>
      </c>
      <c r="D565" s="1">
        <v>3</v>
      </c>
      <c r="E565" s="1">
        <v>1</v>
      </c>
      <c r="F565" s="1">
        <v>1</v>
      </c>
      <c r="G565" s="1">
        <v>3</v>
      </c>
      <c r="H565" s="1">
        <v>1</v>
      </c>
      <c r="I565" s="1">
        <v>0</v>
      </c>
      <c r="J565" s="1">
        <v>2</v>
      </c>
    </row>
    <row r="566" spans="1:10" x14ac:dyDescent="0.2">
      <c r="A566" s="1">
        <v>991</v>
      </c>
      <c r="B566" s="1">
        <v>0</v>
      </c>
      <c r="C566" s="1">
        <v>10</v>
      </c>
      <c r="D566" s="1">
        <v>2</v>
      </c>
      <c r="E566" s="1">
        <v>1</v>
      </c>
      <c r="F566" s="1">
        <v>1</v>
      </c>
      <c r="G566" s="1">
        <v>3</v>
      </c>
      <c r="H566" s="1">
        <v>1</v>
      </c>
      <c r="I566" s="1">
        <v>1</v>
      </c>
      <c r="J566" s="1">
        <v>2</v>
      </c>
    </row>
    <row r="567" spans="1:10" x14ac:dyDescent="0.2">
      <c r="A567" s="1">
        <v>149</v>
      </c>
      <c r="B567" s="1">
        <v>0</v>
      </c>
      <c r="C567" s="1">
        <v>20</v>
      </c>
      <c r="D567" s="1">
        <v>4</v>
      </c>
      <c r="E567" s="1">
        <v>1</v>
      </c>
      <c r="F567" s="1">
        <v>1</v>
      </c>
      <c r="G567" s="1">
        <v>3</v>
      </c>
      <c r="H567" s="1">
        <v>0</v>
      </c>
      <c r="I567" s="1">
        <v>0</v>
      </c>
      <c r="J567" s="1">
        <v>2</v>
      </c>
    </row>
    <row r="568" spans="1:10" x14ac:dyDescent="0.2">
      <c r="A568" s="1">
        <v>1901</v>
      </c>
      <c r="B568" s="1">
        <v>0</v>
      </c>
      <c r="C568" s="1">
        <v>15</v>
      </c>
      <c r="D568" s="1">
        <v>4</v>
      </c>
      <c r="E568" s="1">
        <v>2</v>
      </c>
      <c r="F568" s="1">
        <v>1</v>
      </c>
      <c r="G568" s="1">
        <v>3</v>
      </c>
      <c r="H568" s="1">
        <v>1</v>
      </c>
      <c r="I568" s="1">
        <v>3</v>
      </c>
      <c r="J568" s="1">
        <v>2</v>
      </c>
    </row>
    <row r="569" spans="1:10" x14ac:dyDescent="0.2">
      <c r="A569" s="1">
        <v>626</v>
      </c>
      <c r="B569" s="1">
        <v>0</v>
      </c>
      <c r="C569" s="1">
        <v>17</v>
      </c>
      <c r="D569" s="1">
        <v>1</v>
      </c>
      <c r="E569" s="1">
        <v>2</v>
      </c>
      <c r="F569" s="1">
        <v>1</v>
      </c>
      <c r="G569" s="1">
        <v>3</v>
      </c>
      <c r="H569" s="1">
        <v>0</v>
      </c>
      <c r="I569" s="1">
        <v>0</v>
      </c>
      <c r="J569" s="1">
        <v>2</v>
      </c>
    </row>
    <row r="570" spans="1:10" x14ac:dyDescent="0.2">
      <c r="A570" s="1">
        <v>512</v>
      </c>
      <c r="B570" s="1">
        <v>0</v>
      </c>
      <c r="C570" s="1">
        <v>9</v>
      </c>
      <c r="D570" s="1">
        <v>1</v>
      </c>
      <c r="E570" s="1">
        <v>3</v>
      </c>
      <c r="F570" s="1">
        <v>1</v>
      </c>
      <c r="G570" s="1">
        <v>3</v>
      </c>
      <c r="H570" s="1">
        <v>0</v>
      </c>
      <c r="I570" s="1">
        <v>3</v>
      </c>
      <c r="J570" s="1">
        <v>2</v>
      </c>
    </row>
    <row r="571" spans="1:10" x14ac:dyDescent="0.2">
      <c r="A571" s="1">
        <v>1425</v>
      </c>
      <c r="B571" s="1">
        <v>0</v>
      </c>
      <c r="C571" s="1">
        <v>14</v>
      </c>
      <c r="D571" s="1">
        <v>4</v>
      </c>
      <c r="E571" s="1">
        <v>3</v>
      </c>
      <c r="F571" s="1">
        <v>1</v>
      </c>
      <c r="G571" s="1">
        <v>3</v>
      </c>
      <c r="H571" s="1">
        <v>1</v>
      </c>
      <c r="I571" s="1">
        <v>1</v>
      </c>
      <c r="J571" s="1">
        <v>2</v>
      </c>
    </row>
    <row r="572" spans="1:10" x14ac:dyDescent="0.2">
      <c r="A572" s="1">
        <v>1572</v>
      </c>
      <c r="B572" s="1">
        <v>0</v>
      </c>
      <c r="C572" s="1">
        <v>6</v>
      </c>
      <c r="D572" s="1">
        <v>3</v>
      </c>
      <c r="E572" s="1">
        <v>1</v>
      </c>
      <c r="F572" s="1">
        <v>2</v>
      </c>
      <c r="G572" s="1">
        <v>3</v>
      </c>
      <c r="H572" s="1">
        <v>1</v>
      </c>
      <c r="I572" s="1">
        <v>1</v>
      </c>
      <c r="J572" s="1">
        <v>2</v>
      </c>
    </row>
    <row r="573" spans="1:10" x14ac:dyDescent="0.2">
      <c r="A573" s="1">
        <v>2248</v>
      </c>
      <c r="B573" s="1">
        <v>0</v>
      </c>
      <c r="C573" s="1">
        <v>10</v>
      </c>
      <c r="D573" s="1">
        <v>5</v>
      </c>
      <c r="E573" s="1">
        <v>1</v>
      </c>
      <c r="F573" s="1">
        <v>2</v>
      </c>
      <c r="G573" s="1">
        <v>3</v>
      </c>
      <c r="H573" s="1">
        <v>1</v>
      </c>
      <c r="I573" s="1">
        <v>1</v>
      </c>
      <c r="J573" s="1">
        <v>2</v>
      </c>
    </row>
    <row r="574" spans="1:10" x14ac:dyDescent="0.2">
      <c r="A574" s="1">
        <v>765</v>
      </c>
      <c r="B574" s="1">
        <v>0</v>
      </c>
      <c r="C574" s="1">
        <v>10</v>
      </c>
      <c r="D574" s="1">
        <v>1</v>
      </c>
      <c r="E574" s="1">
        <v>2</v>
      </c>
      <c r="F574" s="1">
        <v>2</v>
      </c>
      <c r="G574" s="1">
        <v>3</v>
      </c>
      <c r="H574" s="1">
        <v>0</v>
      </c>
      <c r="I574" s="1">
        <v>1</v>
      </c>
      <c r="J574" s="1">
        <v>2</v>
      </c>
    </row>
    <row r="575" spans="1:10" x14ac:dyDescent="0.2">
      <c r="A575" s="1">
        <v>1400</v>
      </c>
      <c r="B575" s="1">
        <v>0</v>
      </c>
      <c r="C575" s="1">
        <v>5</v>
      </c>
      <c r="D575" s="1">
        <v>2</v>
      </c>
      <c r="E575" s="1">
        <v>2</v>
      </c>
      <c r="F575" s="1">
        <v>3</v>
      </c>
      <c r="G575" s="1">
        <v>3</v>
      </c>
      <c r="H575" s="1">
        <v>0</v>
      </c>
      <c r="I575" s="1">
        <v>3</v>
      </c>
      <c r="J575" s="1">
        <v>2</v>
      </c>
    </row>
    <row r="576" spans="1:10" x14ac:dyDescent="0.2">
      <c r="A576" s="1">
        <v>2252</v>
      </c>
      <c r="B576" s="1">
        <v>0</v>
      </c>
      <c r="C576" s="1">
        <v>7</v>
      </c>
      <c r="D576" s="1">
        <v>3</v>
      </c>
      <c r="E576" s="1">
        <v>3</v>
      </c>
      <c r="F576" s="1">
        <v>3</v>
      </c>
      <c r="G576" s="1">
        <v>3</v>
      </c>
      <c r="H576" s="1">
        <v>1</v>
      </c>
      <c r="I576" s="1">
        <v>0</v>
      </c>
      <c r="J576" s="1">
        <v>2</v>
      </c>
    </row>
    <row r="577" spans="1:10" x14ac:dyDescent="0.2">
      <c r="A577" s="1">
        <v>1263</v>
      </c>
      <c r="B577" s="1">
        <v>0</v>
      </c>
      <c r="C577" s="1">
        <v>13</v>
      </c>
      <c r="D577" s="1">
        <v>2</v>
      </c>
      <c r="E577" s="1">
        <v>3</v>
      </c>
      <c r="F577" s="1">
        <v>3</v>
      </c>
      <c r="G577" s="1">
        <v>3</v>
      </c>
      <c r="H577" s="1">
        <v>1</v>
      </c>
      <c r="I577" s="1">
        <v>2</v>
      </c>
      <c r="J577" s="1">
        <v>2</v>
      </c>
    </row>
    <row r="578" spans="1:10" x14ac:dyDescent="0.2">
      <c r="A578" s="1">
        <v>416</v>
      </c>
      <c r="B578" s="1">
        <v>0</v>
      </c>
      <c r="C578" s="1">
        <v>7</v>
      </c>
      <c r="D578" s="1">
        <v>3</v>
      </c>
      <c r="E578" s="1">
        <v>1</v>
      </c>
      <c r="F578" s="1">
        <v>4</v>
      </c>
      <c r="G578" s="1">
        <v>3</v>
      </c>
      <c r="H578" s="1">
        <v>0</v>
      </c>
      <c r="I578" s="1">
        <v>1</v>
      </c>
      <c r="J578" s="1">
        <v>2</v>
      </c>
    </row>
    <row r="579" spans="1:10" x14ac:dyDescent="0.2">
      <c r="A579" s="1">
        <v>2482</v>
      </c>
      <c r="B579" s="1">
        <v>0</v>
      </c>
      <c r="C579" s="1">
        <v>15</v>
      </c>
      <c r="D579" s="1">
        <v>3</v>
      </c>
      <c r="E579" s="1">
        <v>1</v>
      </c>
      <c r="F579" s="1">
        <v>4</v>
      </c>
      <c r="G579" s="1">
        <v>3</v>
      </c>
      <c r="H579" s="1">
        <v>0</v>
      </c>
      <c r="I579" s="1">
        <v>1</v>
      </c>
      <c r="J579" s="1">
        <v>2</v>
      </c>
    </row>
    <row r="580" spans="1:10" x14ac:dyDescent="0.2">
      <c r="A580" s="1">
        <v>902</v>
      </c>
      <c r="B580" s="1">
        <v>0</v>
      </c>
      <c r="C580" s="1">
        <v>18</v>
      </c>
      <c r="D580" s="1">
        <v>1</v>
      </c>
      <c r="E580" s="1">
        <v>1</v>
      </c>
      <c r="F580" s="1">
        <v>4</v>
      </c>
      <c r="G580" s="1">
        <v>3</v>
      </c>
      <c r="H580" s="1">
        <v>0</v>
      </c>
      <c r="I580" s="1">
        <v>2</v>
      </c>
      <c r="J580" s="1">
        <v>2</v>
      </c>
    </row>
    <row r="581" spans="1:10" x14ac:dyDescent="0.2">
      <c r="A581" s="1">
        <v>222</v>
      </c>
      <c r="B581" s="1">
        <v>0</v>
      </c>
      <c r="C581" s="1">
        <v>8</v>
      </c>
      <c r="D581" s="1">
        <v>2</v>
      </c>
      <c r="E581" s="1">
        <v>3</v>
      </c>
      <c r="F581" s="1">
        <v>4</v>
      </c>
      <c r="G581" s="1">
        <v>3</v>
      </c>
      <c r="H581" s="1">
        <v>1</v>
      </c>
      <c r="I581" s="1">
        <v>3</v>
      </c>
      <c r="J581" s="1">
        <v>2</v>
      </c>
    </row>
    <row r="582" spans="1:10" x14ac:dyDescent="0.2">
      <c r="A582" s="1">
        <v>323</v>
      </c>
      <c r="B582" s="1">
        <v>0</v>
      </c>
      <c r="C582" s="1">
        <v>6</v>
      </c>
      <c r="D582" s="1">
        <v>2</v>
      </c>
      <c r="E582" s="1">
        <v>1</v>
      </c>
      <c r="F582" s="1">
        <v>5</v>
      </c>
      <c r="G582" s="1">
        <v>3</v>
      </c>
      <c r="H582" s="1">
        <v>1</v>
      </c>
      <c r="I582" s="1">
        <v>1</v>
      </c>
      <c r="J582" s="1">
        <v>2</v>
      </c>
    </row>
    <row r="583" spans="1:10" x14ac:dyDescent="0.2">
      <c r="A583" s="1">
        <v>344</v>
      </c>
      <c r="B583" s="1">
        <v>0</v>
      </c>
      <c r="C583" s="1">
        <v>9</v>
      </c>
      <c r="D583" s="1">
        <v>5</v>
      </c>
      <c r="E583" s="1">
        <v>1</v>
      </c>
      <c r="F583" s="1">
        <v>5</v>
      </c>
      <c r="G583" s="1">
        <v>3</v>
      </c>
      <c r="H583" s="1">
        <v>1</v>
      </c>
      <c r="I583" s="1">
        <v>2</v>
      </c>
      <c r="J583" s="1">
        <v>2</v>
      </c>
    </row>
    <row r="584" spans="1:10" x14ac:dyDescent="0.2">
      <c r="A584" s="1">
        <v>717</v>
      </c>
      <c r="B584" s="1">
        <v>0</v>
      </c>
      <c r="C584" s="1">
        <v>16</v>
      </c>
      <c r="D584" s="1">
        <v>2</v>
      </c>
      <c r="E584" s="1">
        <v>1</v>
      </c>
      <c r="F584" s="1">
        <v>5</v>
      </c>
      <c r="G584" s="1">
        <v>3</v>
      </c>
      <c r="H584" s="1">
        <v>1</v>
      </c>
      <c r="I584" s="1">
        <v>2</v>
      </c>
      <c r="J584" s="1">
        <v>2</v>
      </c>
    </row>
    <row r="585" spans="1:10" x14ac:dyDescent="0.2">
      <c r="A585" s="1">
        <v>1262</v>
      </c>
      <c r="B585" s="1">
        <v>0</v>
      </c>
      <c r="C585" s="1">
        <v>7</v>
      </c>
      <c r="D585" s="1">
        <v>4</v>
      </c>
      <c r="E585" s="1">
        <v>2</v>
      </c>
      <c r="F585" s="1">
        <v>5</v>
      </c>
      <c r="G585" s="1">
        <v>3</v>
      </c>
      <c r="H585" s="1">
        <v>1</v>
      </c>
      <c r="I585" s="1">
        <v>1</v>
      </c>
      <c r="J585" s="1">
        <v>2</v>
      </c>
    </row>
    <row r="586" spans="1:10" x14ac:dyDescent="0.2">
      <c r="A586" s="1">
        <v>2147</v>
      </c>
      <c r="B586" s="1">
        <v>0</v>
      </c>
      <c r="C586" s="1">
        <v>9</v>
      </c>
      <c r="D586" s="1">
        <v>3</v>
      </c>
      <c r="E586" s="1">
        <v>2</v>
      </c>
      <c r="F586" s="1">
        <v>5</v>
      </c>
      <c r="G586" s="1">
        <v>3</v>
      </c>
      <c r="H586" s="1">
        <v>1</v>
      </c>
      <c r="I586" s="1">
        <v>0</v>
      </c>
      <c r="J586" s="1">
        <v>2</v>
      </c>
    </row>
    <row r="587" spans="1:10" x14ac:dyDescent="0.2">
      <c r="A587" s="1">
        <v>992</v>
      </c>
      <c r="B587" s="1">
        <v>0</v>
      </c>
      <c r="C587" s="1">
        <v>12</v>
      </c>
      <c r="D587" s="1">
        <v>3</v>
      </c>
      <c r="E587" s="1">
        <v>3</v>
      </c>
      <c r="F587" s="1">
        <v>5</v>
      </c>
      <c r="G587" s="1">
        <v>3</v>
      </c>
      <c r="H587" s="1">
        <v>0</v>
      </c>
      <c r="I587" s="1">
        <v>3</v>
      </c>
      <c r="J587" s="1">
        <v>2</v>
      </c>
    </row>
    <row r="588" spans="1:10" x14ac:dyDescent="0.2">
      <c r="A588" s="1">
        <v>729</v>
      </c>
      <c r="B588" s="1">
        <v>0</v>
      </c>
      <c r="C588" s="1">
        <v>15</v>
      </c>
      <c r="D588" s="1">
        <v>5</v>
      </c>
      <c r="E588" s="1">
        <v>3</v>
      </c>
      <c r="F588" s="1">
        <v>5</v>
      </c>
      <c r="G588" s="1">
        <v>3</v>
      </c>
      <c r="H588" s="1">
        <v>1</v>
      </c>
      <c r="I588" s="1">
        <v>1</v>
      </c>
      <c r="J588" s="1">
        <v>2</v>
      </c>
    </row>
    <row r="589" spans="1:10" x14ac:dyDescent="0.2">
      <c r="A589" s="1">
        <v>1210</v>
      </c>
      <c r="B589" s="1">
        <v>0</v>
      </c>
      <c r="C589" s="1">
        <v>16</v>
      </c>
      <c r="D589" s="1">
        <v>2</v>
      </c>
      <c r="E589" s="1">
        <v>3</v>
      </c>
      <c r="F589" s="1">
        <v>5</v>
      </c>
      <c r="G589" s="1">
        <v>3</v>
      </c>
      <c r="H589" s="1">
        <v>1</v>
      </c>
      <c r="I589" s="1">
        <v>1</v>
      </c>
      <c r="J589" s="1">
        <v>2</v>
      </c>
    </row>
    <row r="590" spans="1:10" x14ac:dyDescent="0.2">
      <c r="A590" s="1">
        <v>611</v>
      </c>
      <c r="B590" s="1">
        <v>0</v>
      </c>
      <c r="C590" s="1">
        <v>19</v>
      </c>
      <c r="D590" s="1">
        <v>5</v>
      </c>
      <c r="E590" s="1">
        <v>3</v>
      </c>
      <c r="F590" s="1">
        <v>5</v>
      </c>
      <c r="G590" s="1">
        <v>3</v>
      </c>
      <c r="H590" s="1">
        <v>0</v>
      </c>
      <c r="I590" s="1">
        <v>1</v>
      </c>
      <c r="J590" s="1">
        <v>2</v>
      </c>
    </row>
    <row r="591" spans="1:10" x14ac:dyDescent="0.2">
      <c r="A591" s="1">
        <v>2310</v>
      </c>
      <c r="B591" s="1">
        <v>0</v>
      </c>
      <c r="C591" s="1">
        <v>6</v>
      </c>
      <c r="D591" s="1">
        <v>3</v>
      </c>
      <c r="E591" s="1">
        <v>1</v>
      </c>
      <c r="F591" s="1">
        <v>6</v>
      </c>
      <c r="G591" s="1">
        <v>3</v>
      </c>
      <c r="H591" s="1">
        <v>0</v>
      </c>
      <c r="I591" s="1">
        <v>0</v>
      </c>
      <c r="J591" s="1">
        <v>2</v>
      </c>
    </row>
    <row r="592" spans="1:10" x14ac:dyDescent="0.2">
      <c r="A592" s="1">
        <v>1171</v>
      </c>
      <c r="B592" s="1">
        <v>0</v>
      </c>
      <c r="C592" s="1">
        <v>16</v>
      </c>
      <c r="D592" s="1">
        <v>4</v>
      </c>
      <c r="E592" s="1">
        <v>1</v>
      </c>
      <c r="F592" s="1">
        <v>6</v>
      </c>
      <c r="G592" s="1">
        <v>3</v>
      </c>
      <c r="H592" s="1">
        <v>0</v>
      </c>
      <c r="I592" s="1">
        <v>1</v>
      </c>
      <c r="J592" s="1">
        <v>2</v>
      </c>
    </row>
    <row r="593" spans="1:10" x14ac:dyDescent="0.2">
      <c r="A593" s="1">
        <v>1912</v>
      </c>
      <c r="B593" s="1">
        <v>0</v>
      </c>
      <c r="C593" s="1">
        <v>18</v>
      </c>
      <c r="D593" s="1">
        <v>3</v>
      </c>
      <c r="E593" s="1">
        <v>2</v>
      </c>
      <c r="F593" s="1">
        <v>6</v>
      </c>
      <c r="G593" s="1">
        <v>3</v>
      </c>
      <c r="H593" s="1">
        <v>0</v>
      </c>
      <c r="I593" s="1">
        <v>1</v>
      </c>
      <c r="J593" s="1">
        <v>2</v>
      </c>
    </row>
    <row r="594" spans="1:10" x14ac:dyDescent="0.2">
      <c r="A594" s="1">
        <v>704</v>
      </c>
      <c r="B594" s="1">
        <v>0</v>
      </c>
      <c r="C594" s="1">
        <v>9</v>
      </c>
      <c r="D594" s="1">
        <v>1</v>
      </c>
      <c r="E594" s="1">
        <v>3</v>
      </c>
      <c r="F594" s="1">
        <v>6</v>
      </c>
      <c r="G594" s="1">
        <v>3</v>
      </c>
      <c r="H594" s="1">
        <v>0</v>
      </c>
      <c r="I594" s="1">
        <v>0</v>
      </c>
      <c r="J594" s="1">
        <v>2</v>
      </c>
    </row>
    <row r="595" spans="1:10" x14ac:dyDescent="0.2">
      <c r="A595" s="1">
        <v>1507</v>
      </c>
      <c r="B595" s="1">
        <v>0</v>
      </c>
      <c r="C595" s="1">
        <v>9</v>
      </c>
      <c r="D595" s="1">
        <v>1</v>
      </c>
      <c r="E595" s="1">
        <v>1</v>
      </c>
      <c r="F595" s="1">
        <v>7</v>
      </c>
      <c r="G595" s="1">
        <v>3</v>
      </c>
      <c r="H595" s="1">
        <v>0</v>
      </c>
      <c r="I595" s="1">
        <v>0</v>
      </c>
      <c r="J595" s="1">
        <v>2</v>
      </c>
    </row>
    <row r="596" spans="1:10" x14ac:dyDescent="0.2">
      <c r="A596" s="1">
        <v>1714</v>
      </c>
      <c r="B596" s="1">
        <v>0</v>
      </c>
      <c r="C596" s="1">
        <v>8</v>
      </c>
      <c r="D596" s="1">
        <v>5</v>
      </c>
      <c r="E596" s="1">
        <v>2</v>
      </c>
      <c r="F596" s="1">
        <v>7</v>
      </c>
      <c r="G596" s="1">
        <v>3</v>
      </c>
      <c r="H596" s="1">
        <v>0</v>
      </c>
      <c r="I596" s="1">
        <v>0</v>
      </c>
      <c r="J596" s="1">
        <v>2</v>
      </c>
    </row>
    <row r="597" spans="1:10" x14ac:dyDescent="0.2">
      <c r="A597" s="1">
        <v>517</v>
      </c>
      <c r="B597" s="1">
        <v>0</v>
      </c>
      <c r="C597" s="1">
        <v>16</v>
      </c>
      <c r="D597" s="1">
        <v>3</v>
      </c>
      <c r="E597" s="1">
        <v>2</v>
      </c>
      <c r="F597" s="1">
        <v>7</v>
      </c>
      <c r="G597" s="1">
        <v>3</v>
      </c>
      <c r="H597" s="1">
        <v>1</v>
      </c>
      <c r="I597" s="1">
        <v>0</v>
      </c>
      <c r="J597" s="1">
        <v>2</v>
      </c>
    </row>
    <row r="598" spans="1:10" x14ac:dyDescent="0.2">
      <c r="A598" s="1">
        <v>452</v>
      </c>
      <c r="B598" s="1">
        <v>0</v>
      </c>
      <c r="C598" s="1">
        <v>17</v>
      </c>
      <c r="D598" s="1">
        <v>5</v>
      </c>
      <c r="E598" s="1">
        <v>2</v>
      </c>
      <c r="F598" s="1">
        <v>7</v>
      </c>
      <c r="G598" s="1">
        <v>3</v>
      </c>
      <c r="H598" s="1">
        <v>1</v>
      </c>
      <c r="I598" s="1">
        <v>0</v>
      </c>
      <c r="J598" s="1">
        <v>2</v>
      </c>
    </row>
    <row r="599" spans="1:10" x14ac:dyDescent="0.2">
      <c r="A599" s="1">
        <v>2215</v>
      </c>
      <c r="B599" s="1">
        <v>0</v>
      </c>
      <c r="C599" s="1">
        <v>6</v>
      </c>
      <c r="D599" s="1">
        <v>5</v>
      </c>
      <c r="E599" s="1">
        <v>3</v>
      </c>
      <c r="F599" s="1">
        <v>7</v>
      </c>
      <c r="G599" s="1">
        <v>3</v>
      </c>
      <c r="H599" s="1">
        <v>0</v>
      </c>
      <c r="I599" s="1">
        <v>3</v>
      </c>
      <c r="J599" s="1">
        <v>2</v>
      </c>
    </row>
    <row r="600" spans="1:10" x14ac:dyDescent="0.2">
      <c r="A600" s="1">
        <v>1502</v>
      </c>
      <c r="B600" s="1">
        <v>0</v>
      </c>
      <c r="C600" s="1">
        <v>14</v>
      </c>
      <c r="D600" s="1">
        <v>1</v>
      </c>
      <c r="E600" s="1">
        <v>1</v>
      </c>
      <c r="F600" s="1">
        <v>8</v>
      </c>
      <c r="G600" s="1">
        <v>3</v>
      </c>
      <c r="H600" s="1">
        <v>0</v>
      </c>
      <c r="I600" s="1">
        <v>3</v>
      </c>
      <c r="J600" s="1">
        <v>2</v>
      </c>
    </row>
    <row r="601" spans="1:10" x14ac:dyDescent="0.2">
      <c r="A601" s="1">
        <v>1892</v>
      </c>
      <c r="B601" s="1">
        <v>0</v>
      </c>
      <c r="C601" s="1">
        <v>18</v>
      </c>
      <c r="D601" s="1">
        <v>3</v>
      </c>
      <c r="E601" s="1">
        <v>1</v>
      </c>
      <c r="F601" s="1">
        <v>8</v>
      </c>
      <c r="G601" s="1">
        <v>3</v>
      </c>
      <c r="H601" s="1">
        <v>1</v>
      </c>
      <c r="I601" s="1">
        <v>1</v>
      </c>
      <c r="J601" s="1">
        <v>2</v>
      </c>
    </row>
    <row r="602" spans="1:10" x14ac:dyDescent="0.2">
      <c r="A602" s="1">
        <v>120</v>
      </c>
      <c r="B602" s="1">
        <v>0</v>
      </c>
      <c r="C602" s="1">
        <v>20</v>
      </c>
      <c r="D602" s="1">
        <v>2</v>
      </c>
      <c r="E602" s="1">
        <v>2</v>
      </c>
      <c r="F602" s="1">
        <v>8</v>
      </c>
      <c r="G602" s="1">
        <v>3</v>
      </c>
      <c r="H602" s="1">
        <v>1</v>
      </c>
      <c r="I602" s="1">
        <v>1</v>
      </c>
      <c r="J602" s="1">
        <v>2</v>
      </c>
    </row>
    <row r="603" spans="1:10" x14ac:dyDescent="0.2">
      <c r="A603" s="1">
        <v>348</v>
      </c>
      <c r="B603" s="1">
        <v>0</v>
      </c>
      <c r="C603" s="1">
        <v>12</v>
      </c>
      <c r="D603" s="1">
        <v>5</v>
      </c>
      <c r="E603" s="1">
        <v>2</v>
      </c>
      <c r="F603" s="1">
        <v>9</v>
      </c>
      <c r="G603" s="1">
        <v>3</v>
      </c>
      <c r="H603" s="1">
        <v>0</v>
      </c>
      <c r="I603" s="1">
        <v>3</v>
      </c>
      <c r="J603" s="1">
        <v>2</v>
      </c>
    </row>
    <row r="604" spans="1:10" x14ac:dyDescent="0.2">
      <c r="A604" s="1">
        <v>2204</v>
      </c>
      <c r="B604" s="1">
        <v>0</v>
      </c>
      <c r="C604" s="1">
        <v>14</v>
      </c>
      <c r="D604" s="1">
        <v>1</v>
      </c>
      <c r="E604" s="1">
        <v>3</v>
      </c>
      <c r="F604" s="1">
        <v>9</v>
      </c>
      <c r="G604" s="1">
        <v>3</v>
      </c>
      <c r="H604" s="1">
        <v>1</v>
      </c>
      <c r="I604" s="1">
        <v>1</v>
      </c>
      <c r="J604" s="1">
        <v>2</v>
      </c>
    </row>
    <row r="605" spans="1:10" x14ac:dyDescent="0.2">
      <c r="A605" s="1">
        <v>1282</v>
      </c>
      <c r="B605" s="1">
        <v>0</v>
      </c>
      <c r="C605" s="1">
        <v>20</v>
      </c>
      <c r="D605" s="1">
        <v>1</v>
      </c>
      <c r="E605" s="1">
        <v>3</v>
      </c>
      <c r="F605" s="1">
        <v>9</v>
      </c>
      <c r="G605" s="1">
        <v>3</v>
      </c>
      <c r="H605" s="1">
        <v>0</v>
      </c>
      <c r="I605" s="1">
        <v>1</v>
      </c>
      <c r="J605" s="1">
        <v>2</v>
      </c>
    </row>
    <row r="606" spans="1:10" x14ac:dyDescent="0.2">
      <c r="A606" s="1">
        <v>227</v>
      </c>
      <c r="B606" s="1">
        <v>0</v>
      </c>
      <c r="C606" s="1">
        <v>5</v>
      </c>
      <c r="D606" s="1">
        <v>4</v>
      </c>
      <c r="E606" s="1">
        <v>1</v>
      </c>
      <c r="F606" s="1">
        <v>10</v>
      </c>
      <c r="G606" s="1">
        <v>3</v>
      </c>
      <c r="H606" s="1">
        <v>1</v>
      </c>
      <c r="I606" s="1">
        <v>3</v>
      </c>
      <c r="J606" s="1">
        <v>2</v>
      </c>
    </row>
    <row r="607" spans="1:10" x14ac:dyDescent="0.2">
      <c r="A607" s="1">
        <v>195</v>
      </c>
      <c r="B607" s="1">
        <v>0</v>
      </c>
      <c r="C607" s="1">
        <v>13</v>
      </c>
      <c r="D607" s="1">
        <v>2</v>
      </c>
      <c r="E607" s="1">
        <v>1</v>
      </c>
      <c r="F607" s="1">
        <v>10</v>
      </c>
      <c r="G607" s="1">
        <v>3</v>
      </c>
      <c r="H607" s="1">
        <v>1</v>
      </c>
      <c r="I607" s="1">
        <v>1</v>
      </c>
      <c r="J607" s="1">
        <v>2</v>
      </c>
    </row>
    <row r="608" spans="1:10" x14ac:dyDescent="0.2">
      <c r="A608" s="1">
        <v>121</v>
      </c>
      <c r="B608" s="1">
        <v>0</v>
      </c>
      <c r="C608" s="1">
        <v>16</v>
      </c>
      <c r="D608" s="1">
        <v>4</v>
      </c>
      <c r="E608" s="1">
        <v>2</v>
      </c>
      <c r="F608" s="1">
        <v>10</v>
      </c>
      <c r="G608" s="1">
        <v>3</v>
      </c>
      <c r="H608" s="1">
        <v>1</v>
      </c>
      <c r="I608" s="1">
        <v>1</v>
      </c>
      <c r="J608" s="1">
        <v>2</v>
      </c>
    </row>
    <row r="609" spans="1:10" x14ac:dyDescent="0.2">
      <c r="A609" s="1">
        <v>569</v>
      </c>
      <c r="B609" s="1">
        <v>0</v>
      </c>
      <c r="C609" s="1">
        <v>19</v>
      </c>
      <c r="D609" s="1">
        <v>5</v>
      </c>
      <c r="E609" s="1">
        <v>2</v>
      </c>
      <c r="F609" s="1">
        <v>10</v>
      </c>
      <c r="G609" s="1">
        <v>3</v>
      </c>
      <c r="H609" s="1">
        <v>1</v>
      </c>
      <c r="I609" s="1">
        <v>0</v>
      </c>
      <c r="J609" s="1">
        <v>2</v>
      </c>
    </row>
    <row r="610" spans="1:10" x14ac:dyDescent="0.2">
      <c r="A610" s="1">
        <v>2300</v>
      </c>
      <c r="B610" s="1">
        <v>0</v>
      </c>
      <c r="C610" s="1">
        <v>7</v>
      </c>
      <c r="D610" s="1">
        <v>5</v>
      </c>
      <c r="E610" s="1">
        <v>3</v>
      </c>
      <c r="F610" s="1">
        <v>10</v>
      </c>
      <c r="G610" s="1">
        <v>3</v>
      </c>
      <c r="H610" s="1">
        <v>1</v>
      </c>
      <c r="I610" s="1">
        <v>3</v>
      </c>
      <c r="J610" s="1">
        <v>2</v>
      </c>
    </row>
    <row r="611" spans="1:10" x14ac:dyDescent="0.2">
      <c r="A611" s="1">
        <v>413</v>
      </c>
      <c r="B611" s="1">
        <v>0</v>
      </c>
      <c r="C611" s="1">
        <v>17</v>
      </c>
      <c r="D611" s="1">
        <v>5</v>
      </c>
      <c r="E611" s="1">
        <v>3</v>
      </c>
      <c r="F611" s="1">
        <v>10</v>
      </c>
      <c r="G611" s="1">
        <v>3</v>
      </c>
      <c r="H611" s="1">
        <v>0</v>
      </c>
      <c r="I611" s="1">
        <v>3</v>
      </c>
      <c r="J611" s="1">
        <v>2</v>
      </c>
    </row>
    <row r="612" spans="1:10" x14ac:dyDescent="0.2">
      <c r="A612" s="1">
        <v>1753</v>
      </c>
      <c r="B612" s="1">
        <v>0</v>
      </c>
      <c r="C612" s="1">
        <v>18</v>
      </c>
      <c r="D612" s="1">
        <v>2</v>
      </c>
      <c r="E612" s="1">
        <v>3</v>
      </c>
      <c r="F612" s="1">
        <v>10</v>
      </c>
      <c r="G612" s="1">
        <v>3</v>
      </c>
      <c r="H612" s="1">
        <v>1</v>
      </c>
      <c r="I612" s="1">
        <v>1</v>
      </c>
      <c r="J612" s="1">
        <v>2</v>
      </c>
    </row>
    <row r="613" spans="1:10" x14ac:dyDescent="0.2">
      <c r="A613" s="1">
        <v>1048</v>
      </c>
      <c r="B613" s="1">
        <v>0</v>
      </c>
      <c r="C613" s="1">
        <v>10</v>
      </c>
      <c r="D613" s="1">
        <v>5</v>
      </c>
      <c r="E613" s="1">
        <v>1</v>
      </c>
      <c r="F613" s="1">
        <v>1</v>
      </c>
      <c r="G613" s="1">
        <v>3</v>
      </c>
      <c r="H613" s="1">
        <v>1</v>
      </c>
      <c r="I613" s="1">
        <v>2</v>
      </c>
      <c r="J613" s="1">
        <v>3</v>
      </c>
    </row>
    <row r="614" spans="1:10" x14ac:dyDescent="0.2">
      <c r="A614" s="1">
        <v>1614</v>
      </c>
      <c r="B614" s="1">
        <v>0</v>
      </c>
      <c r="C614" s="1">
        <v>13</v>
      </c>
      <c r="D614" s="1">
        <v>4</v>
      </c>
      <c r="E614" s="1">
        <v>1</v>
      </c>
      <c r="F614" s="1">
        <v>1</v>
      </c>
      <c r="G614" s="1">
        <v>3</v>
      </c>
      <c r="H614" s="1">
        <v>1</v>
      </c>
      <c r="I614" s="1">
        <v>1</v>
      </c>
      <c r="J614" s="1">
        <v>3</v>
      </c>
    </row>
    <row r="615" spans="1:10" x14ac:dyDescent="0.2">
      <c r="A615" s="1">
        <v>1451</v>
      </c>
      <c r="B615" s="1">
        <v>0</v>
      </c>
      <c r="C615" s="1">
        <v>17</v>
      </c>
      <c r="D615" s="1">
        <v>2</v>
      </c>
      <c r="E615" s="1">
        <v>1</v>
      </c>
      <c r="F615" s="1">
        <v>1</v>
      </c>
      <c r="G615" s="1">
        <v>3</v>
      </c>
      <c r="H615" s="1">
        <v>0</v>
      </c>
      <c r="I615" s="1">
        <v>3</v>
      </c>
      <c r="J615" s="1">
        <v>3</v>
      </c>
    </row>
    <row r="616" spans="1:10" x14ac:dyDescent="0.2">
      <c r="A616" s="1">
        <v>1853</v>
      </c>
      <c r="B616" s="1">
        <v>0</v>
      </c>
      <c r="C616" s="1">
        <v>17</v>
      </c>
      <c r="D616" s="1">
        <v>1</v>
      </c>
      <c r="E616" s="1">
        <v>1</v>
      </c>
      <c r="F616" s="1">
        <v>1</v>
      </c>
      <c r="G616" s="1">
        <v>3</v>
      </c>
      <c r="H616" s="1">
        <v>1</v>
      </c>
      <c r="I616" s="1">
        <v>2</v>
      </c>
      <c r="J616" s="1">
        <v>3</v>
      </c>
    </row>
    <row r="617" spans="1:10" x14ac:dyDescent="0.2">
      <c r="A617" s="1">
        <v>981</v>
      </c>
      <c r="B617" s="1">
        <v>0</v>
      </c>
      <c r="C617" s="1">
        <v>19</v>
      </c>
      <c r="D617" s="1">
        <v>2</v>
      </c>
      <c r="E617" s="1">
        <v>1</v>
      </c>
      <c r="F617" s="1">
        <v>1</v>
      </c>
      <c r="G617" s="1">
        <v>3</v>
      </c>
      <c r="H617" s="1">
        <v>1</v>
      </c>
      <c r="I617" s="1">
        <v>3</v>
      </c>
      <c r="J617" s="1">
        <v>3</v>
      </c>
    </row>
    <row r="618" spans="1:10" x14ac:dyDescent="0.2">
      <c r="A618" s="1">
        <v>1947</v>
      </c>
      <c r="B618" s="1">
        <v>0</v>
      </c>
      <c r="C618" s="1">
        <v>12</v>
      </c>
      <c r="D618" s="1">
        <v>1</v>
      </c>
      <c r="E618" s="1">
        <v>2</v>
      </c>
      <c r="F618" s="1">
        <v>1</v>
      </c>
      <c r="G618" s="1">
        <v>3</v>
      </c>
      <c r="H618" s="1">
        <v>1</v>
      </c>
      <c r="I618" s="1">
        <v>3</v>
      </c>
      <c r="J618" s="1">
        <v>3</v>
      </c>
    </row>
    <row r="619" spans="1:10" x14ac:dyDescent="0.2">
      <c r="A619" s="1">
        <v>2324</v>
      </c>
      <c r="B619" s="1">
        <v>0</v>
      </c>
      <c r="C619" s="1">
        <v>5</v>
      </c>
      <c r="D619" s="1">
        <v>3</v>
      </c>
      <c r="E619" s="1">
        <v>3</v>
      </c>
      <c r="F619" s="1">
        <v>1</v>
      </c>
      <c r="G619" s="1">
        <v>3</v>
      </c>
      <c r="H619" s="1">
        <v>0</v>
      </c>
      <c r="I619" s="1">
        <v>0</v>
      </c>
      <c r="J619" s="1">
        <v>3</v>
      </c>
    </row>
    <row r="620" spans="1:10" x14ac:dyDescent="0.2">
      <c r="A620" s="1">
        <v>1932</v>
      </c>
      <c r="B620" s="1">
        <v>0</v>
      </c>
      <c r="C620" s="1">
        <v>20</v>
      </c>
      <c r="D620" s="1">
        <v>1</v>
      </c>
      <c r="E620" s="1">
        <v>3</v>
      </c>
      <c r="F620" s="1">
        <v>1</v>
      </c>
      <c r="G620" s="1">
        <v>3</v>
      </c>
      <c r="H620" s="1">
        <v>0</v>
      </c>
      <c r="I620" s="1">
        <v>1</v>
      </c>
      <c r="J620" s="1">
        <v>3</v>
      </c>
    </row>
    <row r="621" spans="1:10" x14ac:dyDescent="0.2">
      <c r="A621" s="1">
        <v>461</v>
      </c>
      <c r="B621" s="1">
        <v>0</v>
      </c>
      <c r="C621" s="1">
        <v>5</v>
      </c>
      <c r="D621" s="1">
        <v>1</v>
      </c>
      <c r="E621" s="1">
        <v>1</v>
      </c>
      <c r="F621" s="1">
        <v>2</v>
      </c>
      <c r="G621" s="1">
        <v>3</v>
      </c>
      <c r="H621" s="1">
        <v>0</v>
      </c>
      <c r="I621" s="1">
        <v>0</v>
      </c>
      <c r="J621" s="1">
        <v>3</v>
      </c>
    </row>
    <row r="622" spans="1:10" x14ac:dyDescent="0.2">
      <c r="A622" s="1">
        <v>1529</v>
      </c>
      <c r="B622" s="1">
        <v>0</v>
      </c>
      <c r="C622" s="1">
        <v>8</v>
      </c>
      <c r="D622" s="1">
        <v>5</v>
      </c>
      <c r="E622" s="1">
        <v>1</v>
      </c>
      <c r="F622" s="1">
        <v>2</v>
      </c>
      <c r="G622" s="1">
        <v>3</v>
      </c>
      <c r="H622" s="1">
        <v>0</v>
      </c>
      <c r="I622" s="1">
        <v>3</v>
      </c>
      <c r="J622" s="1">
        <v>3</v>
      </c>
    </row>
    <row r="623" spans="1:10" x14ac:dyDescent="0.2">
      <c r="A623" s="1">
        <v>2456</v>
      </c>
      <c r="B623" s="1">
        <v>0</v>
      </c>
      <c r="C623" s="1">
        <v>12</v>
      </c>
      <c r="D623" s="1">
        <v>1</v>
      </c>
      <c r="E623" s="1">
        <v>2</v>
      </c>
      <c r="F623" s="1">
        <v>2</v>
      </c>
      <c r="G623" s="1">
        <v>3</v>
      </c>
      <c r="H623" s="1">
        <v>0</v>
      </c>
      <c r="I623" s="1">
        <v>2</v>
      </c>
      <c r="J623" s="1">
        <v>3</v>
      </c>
    </row>
    <row r="624" spans="1:10" x14ac:dyDescent="0.2">
      <c r="A624" s="1">
        <v>1219</v>
      </c>
      <c r="B624" s="1">
        <v>0</v>
      </c>
      <c r="C624" s="1">
        <v>15</v>
      </c>
      <c r="D624" s="1">
        <v>1</v>
      </c>
      <c r="E624" s="1">
        <v>3</v>
      </c>
      <c r="F624" s="1">
        <v>2</v>
      </c>
      <c r="G624" s="1">
        <v>3</v>
      </c>
      <c r="H624" s="1">
        <v>0</v>
      </c>
      <c r="I624" s="1">
        <v>2</v>
      </c>
      <c r="J624" s="1">
        <v>3</v>
      </c>
    </row>
    <row r="625" spans="1:10" x14ac:dyDescent="0.2">
      <c r="A625" s="1">
        <v>1783</v>
      </c>
      <c r="B625" s="1">
        <v>0</v>
      </c>
      <c r="C625" s="1">
        <v>20</v>
      </c>
      <c r="D625" s="1">
        <v>4</v>
      </c>
      <c r="E625" s="1">
        <v>3</v>
      </c>
      <c r="F625" s="1">
        <v>2</v>
      </c>
      <c r="G625" s="1">
        <v>3</v>
      </c>
      <c r="H625" s="1">
        <v>1</v>
      </c>
      <c r="I625" s="1">
        <v>2</v>
      </c>
      <c r="J625" s="1">
        <v>3</v>
      </c>
    </row>
    <row r="626" spans="1:10" x14ac:dyDescent="0.2">
      <c r="A626" s="1">
        <v>1390</v>
      </c>
      <c r="B626" s="1">
        <v>0</v>
      </c>
      <c r="C626" s="1">
        <v>13</v>
      </c>
      <c r="D626" s="1">
        <v>1</v>
      </c>
      <c r="E626" s="1">
        <v>1</v>
      </c>
      <c r="F626" s="1">
        <v>3</v>
      </c>
      <c r="G626" s="1">
        <v>3</v>
      </c>
      <c r="H626" s="1">
        <v>0</v>
      </c>
      <c r="I626" s="1">
        <v>2</v>
      </c>
      <c r="J626" s="1">
        <v>3</v>
      </c>
    </row>
    <row r="627" spans="1:10" x14ac:dyDescent="0.2">
      <c r="A627" s="1">
        <v>683</v>
      </c>
      <c r="B627" s="1">
        <v>0</v>
      </c>
      <c r="C627" s="1">
        <v>20</v>
      </c>
      <c r="D627" s="1">
        <v>3</v>
      </c>
      <c r="E627" s="1">
        <v>1</v>
      </c>
      <c r="F627" s="1">
        <v>3</v>
      </c>
      <c r="G627" s="1">
        <v>3</v>
      </c>
      <c r="H627" s="1">
        <v>0</v>
      </c>
      <c r="I627" s="1">
        <v>1</v>
      </c>
      <c r="J627" s="1">
        <v>3</v>
      </c>
    </row>
    <row r="628" spans="1:10" x14ac:dyDescent="0.2">
      <c r="A628" s="1">
        <v>1488</v>
      </c>
      <c r="B628" s="1">
        <v>0</v>
      </c>
      <c r="C628" s="1">
        <v>20</v>
      </c>
      <c r="D628" s="1">
        <v>4</v>
      </c>
      <c r="E628" s="1">
        <v>1</v>
      </c>
      <c r="F628" s="1">
        <v>3</v>
      </c>
      <c r="G628" s="1">
        <v>3</v>
      </c>
      <c r="H628" s="1">
        <v>1</v>
      </c>
      <c r="I628" s="1">
        <v>1</v>
      </c>
      <c r="J628" s="1">
        <v>3</v>
      </c>
    </row>
    <row r="629" spans="1:10" x14ac:dyDescent="0.2">
      <c r="A629" s="1">
        <v>1547</v>
      </c>
      <c r="B629" s="1">
        <v>0</v>
      </c>
      <c r="C629" s="1">
        <v>11</v>
      </c>
      <c r="D629" s="1">
        <v>2</v>
      </c>
      <c r="E629" s="1">
        <v>3</v>
      </c>
      <c r="F629" s="1">
        <v>3</v>
      </c>
      <c r="G629" s="1">
        <v>3</v>
      </c>
      <c r="H629" s="1">
        <v>1</v>
      </c>
      <c r="I629" s="1">
        <v>0</v>
      </c>
      <c r="J629" s="1">
        <v>3</v>
      </c>
    </row>
    <row r="630" spans="1:10" x14ac:dyDescent="0.2">
      <c r="A630" s="1">
        <v>1238</v>
      </c>
      <c r="B630" s="1">
        <v>0</v>
      </c>
      <c r="C630" s="1">
        <v>14</v>
      </c>
      <c r="D630" s="1">
        <v>4</v>
      </c>
      <c r="E630" s="1">
        <v>3</v>
      </c>
      <c r="F630" s="1">
        <v>3</v>
      </c>
      <c r="G630" s="1">
        <v>3</v>
      </c>
      <c r="H630" s="1">
        <v>0</v>
      </c>
      <c r="I630" s="1">
        <v>1</v>
      </c>
      <c r="J630" s="1">
        <v>3</v>
      </c>
    </row>
    <row r="631" spans="1:10" x14ac:dyDescent="0.2">
      <c r="A631" s="1">
        <v>794</v>
      </c>
      <c r="B631" s="1">
        <v>0</v>
      </c>
      <c r="C631" s="1">
        <v>15</v>
      </c>
      <c r="D631" s="1">
        <v>4</v>
      </c>
      <c r="E631" s="1">
        <v>3</v>
      </c>
      <c r="F631" s="1">
        <v>3</v>
      </c>
      <c r="G631" s="1">
        <v>3</v>
      </c>
      <c r="H631" s="1">
        <v>0</v>
      </c>
      <c r="I631" s="1">
        <v>0</v>
      </c>
      <c r="J631" s="1">
        <v>3</v>
      </c>
    </row>
    <row r="632" spans="1:10" x14ac:dyDescent="0.2">
      <c r="A632" s="1">
        <v>59</v>
      </c>
      <c r="B632" s="1">
        <v>0</v>
      </c>
      <c r="C632" s="1">
        <v>8</v>
      </c>
      <c r="D632" s="1">
        <v>1</v>
      </c>
      <c r="E632" s="1">
        <v>1</v>
      </c>
      <c r="F632" s="1">
        <v>4</v>
      </c>
      <c r="G632" s="1">
        <v>3</v>
      </c>
      <c r="H632" s="1">
        <v>1</v>
      </c>
      <c r="I632" s="1">
        <v>1</v>
      </c>
      <c r="J632" s="1">
        <v>3</v>
      </c>
    </row>
    <row r="633" spans="1:10" x14ac:dyDescent="0.2">
      <c r="A633" s="1">
        <v>1417</v>
      </c>
      <c r="B633" s="1">
        <v>0</v>
      </c>
      <c r="C633" s="1">
        <v>11</v>
      </c>
      <c r="D633" s="1">
        <v>4</v>
      </c>
      <c r="E633" s="1">
        <v>1</v>
      </c>
      <c r="F633" s="1">
        <v>4</v>
      </c>
      <c r="G633" s="1">
        <v>3</v>
      </c>
      <c r="H633" s="1">
        <v>1</v>
      </c>
      <c r="I633" s="1">
        <v>0</v>
      </c>
      <c r="J633" s="1">
        <v>3</v>
      </c>
    </row>
    <row r="634" spans="1:10" x14ac:dyDescent="0.2">
      <c r="A634" s="1">
        <v>2461</v>
      </c>
      <c r="B634" s="1">
        <v>0</v>
      </c>
      <c r="C634" s="1">
        <v>17</v>
      </c>
      <c r="D634" s="1">
        <v>3</v>
      </c>
      <c r="E634" s="1">
        <v>1</v>
      </c>
      <c r="F634" s="1">
        <v>4</v>
      </c>
      <c r="G634" s="1">
        <v>3</v>
      </c>
      <c r="H634" s="1">
        <v>1</v>
      </c>
      <c r="I634" s="1">
        <v>0</v>
      </c>
      <c r="J634" s="1">
        <v>3</v>
      </c>
    </row>
    <row r="635" spans="1:10" x14ac:dyDescent="0.2">
      <c r="A635" s="1">
        <v>593</v>
      </c>
      <c r="B635" s="1">
        <v>0</v>
      </c>
      <c r="C635" s="1">
        <v>6</v>
      </c>
      <c r="D635" s="1">
        <v>5</v>
      </c>
      <c r="E635" s="1">
        <v>2</v>
      </c>
      <c r="F635" s="1">
        <v>4</v>
      </c>
      <c r="G635" s="1">
        <v>3</v>
      </c>
      <c r="H635" s="1">
        <v>1</v>
      </c>
      <c r="I635" s="1">
        <v>1</v>
      </c>
      <c r="J635" s="1">
        <v>3</v>
      </c>
    </row>
    <row r="636" spans="1:10" x14ac:dyDescent="0.2">
      <c r="A636" s="1">
        <v>1307</v>
      </c>
      <c r="B636" s="1">
        <v>0</v>
      </c>
      <c r="C636" s="1">
        <v>11</v>
      </c>
      <c r="D636" s="1">
        <v>2</v>
      </c>
      <c r="E636" s="1">
        <v>2</v>
      </c>
      <c r="F636" s="1">
        <v>4</v>
      </c>
      <c r="G636" s="1">
        <v>3</v>
      </c>
      <c r="H636" s="1">
        <v>0</v>
      </c>
      <c r="I636" s="1">
        <v>3</v>
      </c>
      <c r="J636" s="1">
        <v>3</v>
      </c>
    </row>
    <row r="637" spans="1:10" x14ac:dyDescent="0.2">
      <c r="A637" s="1">
        <v>2419</v>
      </c>
      <c r="B637" s="1">
        <v>0</v>
      </c>
      <c r="C637" s="1">
        <v>16</v>
      </c>
      <c r="D637" s="1">
        <v>1</v>
      </c>
      <c r="E637" s="1">
        <v>2</v>
      </c>
      <c r="F637" s="1">
        <v>4</v>
      </c>
      <c r="G637" s="1">
        <v>3</v>
      </c>
      <c r="H637" s="1">
        <v>0</v>
      </c>
      <c r="I637" s="1">
        <v>0</v>
      </c>
      <c r="J637" s="1">
        <v>3</v>
      </c>
    </row>
    <row r="638" spans="1:10" x14ac:dyDescent="0.2">
      <c r="A638" s="1">
        <v>447</v>
      </c>
      <c r="B638" s="1">
        <v>0</v>
      </c>
      <c r="C638" s="1">
        <v>17</v>
      </c>
      <c r="D638" s="1">
        <v>1</v>
      </c>
      <c r="E638" s="1">
        <v>2</v>
      </c>
      <c r="F638" s="1">
        <v>4</v>
      </c>
      <c r="G638" s="1">
        <v>3</v>
      </c>
      <c r="H638" s="1">
        <v>0</v>
      </c>
      <c r="I638" s="1">
        <v>0</v>
      </c>
      <c r="J638" s="1">
        <v>3</v>
      </c>
    </row>
    <row r="639" spans="1:10" x14ac:dyDescent="0.2">
      <c r="A639" s="1">
        <v>1911</v>
      </c>
      <c r="B639" s="1">
        <v>0</v>
      </c>
      <c r="C639" s="1">
        <v>20</v>
      </c>
      <c r="D639" s="1">
        <v>3</v>
      </c>
      <c r="E639" s="1">
        <v>2</v>
      </c>
      <c r="F639" s="1">
        <v>4</v>
      </c>
      <c r="G639" s="1">
        <v>3</v>
      </c>
      <c r="H639" s="1">
        <v>0</v>
      </c>
      <c r="I639" s="1">
        <v>0</v>
      </c>
      <c r="J639" s="1">
        <v>3</v>
      </c>
    </row>
    <row r="640" spans="1:10" x14ac:dyDescent="0.2">
      <c r="A640" s="1">
        <v>1247</v>
      </c>
      <c r="B640" s="1">
        <v>0</v>
      </c>
      <c r="C640" s="1">
        <v>10</v>
      </c>
      <c r="D640" s="1">
        <v>3</v>
      </c>
      <c r="E640" s="1">
        <v>3</v>
      </c>
      <c r="F640" s="1">
        <v>4</v>
      </c>
      <c r="G640" s="1">
        <v>3</v>
      </c>
      <c r="H640" s="1">
        <v>1</v>
      </c>
      <c r="I640" s="1">
        <v>3</v>
      </c>
      <c r="J640" s="1">
        <v>3</v>
      </c>
    </row>
    <row r="641" spans="1:10" x14ac:dyDescent="0.2">
      <c r="A641" s="1">
        <v>92</v>
      </c>
      <c r="B641" s="1">
        <v>0</v>
      </c>
      <c r="C641" s="1">
        <v>13</v>
      </c>
      <c r="D641" s="1">
        <v>3</v>
      </c>
      <c r="E641" s="1">
        <v>3</v>
      </c>
      <c r="F641" s="1">
        <v>4</v>
      </c>
      <c r="G641" s="1">
        <v>3</v>
      </c>
      <c r="H641" s="1">
        <v>0</v>
      </c>
      <c r="I641" s="1">
        <v>3</v>
      </c>
      <c r="J641" s="1">
        <v>3</v>
      </c>
    </row>
    <row r="642" spans="1:10" x14ac:dyDescent="0.2">
      <c r="A642" s="1">
        <v>290</v>
      </c>
      <c r="B642" s="1">
        <v>0</v>
      </c>
      <c r="C642" s="1">
        <v>14</v>
      </c>
      <c r="D642" s="1">
        <v>5</v>
      </c>
      <c r="E642" s="1">
        <v>3</v>
      </c>
      <c r="F642" s="1">
        <v>4</v>
      </c>
      <c r="G642" s="1">
        <v>3</v>
      </c>
      <c r="H642" s="1">
        <v>0</v>
      </c>
      <c r="I642" s="1">
        <v>1</v>
      </c>
      <c r="J642" s="1">
        <v>3</v>
      </c>
    </row>
    <row r="643" spans="1:10" x14ac:dyDescent="0.2">
      <c r="A643" s="1">
        <v>574</v>
      </c>
      <c r="B643" s="1">
        <v>0</v>
      </c>
      <c r="C643" s="1">
        <v>7</v>
      </c>
      <c r="D643" s="1">
        <v>5</v>
      </c>
      <c r="E643" s="1">
        <v>1</v>
      </c>
      <c r="F643" s="1">
        <v>5</v>
      </c>
      <c r="G643" s="1">
        <v>3</v>
      </c>
      <c r="H643" s="1">
        <v>1</v>
      </c>
      <c r="I643" s="1">
        <v>1</v>
      </c>
      <c r="J643" s="1">
        <v>3</v>
      </c>
    </row>
    <row r="644" spans="1:10" x14ac:dyDescent="0.2">
      <c r="A644" s="1">
        <v>838</v>
      </c>
      <c r="B644" s="1">
        <v>0</v>
      </c>
      <c r="C644" s="1">
        <v>7</v>
      </c>
      <c r="D644" s="1">
        <v>2</v>
      </c>
      <c r="E644" s="1">
        <v>1</v>
      </c>
      <c r="F644" s="1">
        <v>5</v>
      </c>
      <c r="G644" s="1">
        <v>3</v>
      </c>
      <c r="H644" s="1">
        <v>0</v>
      </c>
      <c r="I644" s="1">
        <v>0</v>
      </c>
      <c r="J644" s="1">
        <v>3</v>
      </c>
    </row>
    <row r="645" spans="1:10" x14ac:dyDescent="0.2">
      <c r="A645" s="1">
        <v>1735</v>
      </c>
      <c r="B645" s="1">
        <v>0</v>
      </c>
      <c r="C645" s="1">
        <v>8</v>
      </c>
      <c r="D645" s="1">
        <v>2</v>
      </c>
      <c r="E645" s="1">
        <v>1</v>
      </c>
      <c r="F645" s="1">
        <v>5</v>
      </c>
      <c r="G645" s="1">
        <v>3</v>
      </c>
      <c r="H645" s="1">
        <v>1</v>
      </c>
      <c r="I645" s="1">
        <v>3</v>
      </c>
      <c r="J645" s="1">
        <v>3</v>
      </c>
    </row>
    <row r="646" spans="1:10" x14ac:dyDescent="0.2">
      <c r="A646" s="1">
        <v>173</v>
      </c>
      <c r="B646" s="1">
        <v>0</v>
      </c>
      <c r="C646" s="1">
        <v>14</v>
      </c>
      <c r="D646" s="1">
        <v>2</v>
      </c>
      <c r="E646" s="1">
        <v>1</v>
      </c>
      <c r="F646" s="1">
        <v>5</v>
      </c>
      <c r="G646" s="1">
        <v>3</v>
      </c>
      <c r="H646" s="1">
        <v>1</v>
      </c>
      <c r="I646" s="1">
        <v>0</v>
      </c>
      <c r="J646" s="1">
        <v>3</v>
      </c>
    </row>
    <row r="647" spans="1:10" x14ac:dyDescent="0.2">
      <c r="A647" s="1">
        <v>1552</v>
      </c>
      <c r="B647" s="1">
        <v>0</v>
      </c>
      <c r="C647" s="1">
        <v>19</v>
      </c>
      <c r="D647" s="1">
        <v>5</v>
      </c>
      <c r="E647" s="1">
        <v>1</v>
      </c>
      <c r="F647" s="1">
        <v>5</v>
      </c>
      <c r="G647" s="1">
        <v>3</v>
      </c>
      <c r="H647" s="1">
        <v>1</v>
      </c>
      <c r="I647" s="1">
        <v>2</v>
      </c>
      <c r="J647" s="1">
        <v>3</v>
      </c>
    </row>
    <row r="648" spans="1:10" x14ac:dyDescent="0.2">
      <c r="A648" s="1">
        <v>482</v>
      </c>
      <c r="B648" s="1">
        <v>0</v>
      </c>
      <c r="C648" s="1">
        <v>5</v>
      </c>
      <c r="D648" s="1">
        <v>2</v>
      </c>
      <c r="E648" s="1">
        <v>2</v>
      </c>
      <c r="F648" s="1">
        <v>5</v>
      </c>
      <c r="G648" s="1">
        <v>3</v>
      </c>
      <c r="H648" s="1">
        <v>1</v>
      </c>
      <c r="I648" s="1">
        <v>3</v>
      </c>
      <c r="J648" s="1">
        <v>3</v>
      </c>
    </row>
    <row r="649" spans="1:10" x14ac:dyDescent="0.2">
      <c r="A649" s="1">
        <v>2349</v>
      </c>
      <c r="B649" s="1">
        <v>0</v>
      </c>
      <c r="C649" s="1">
        <v>10</v>
      </c>
      <c r="D649" s="1">
        <v>1</v>
      </c>
      <c r="E649" s="1">
        <v>2</v>
      </c>
      <c r="F649" s="1">
        <v>5</v>
      </c>
      <c r="G649" s="1">
        <v>3</v>
      </c>
      <c r="H649" s="1">
        <v>0</v>
      </c>
      <c r="I649" s="1">
        <v>3</v>
      </c>
      <c r="J649" s="1">
        <v>3</v>
      </c>
    </row>
    <row r="650" spans="1:10" x14ac:dyDescent="0.2">
      <c r="A650" s="1">
        <v>1626</v>
      </c>
      <c r="B650" s="1">
        <v>0</v>
      </c>
      <c r="C650" s="1">
        <v>16</v>
      </c>
      <c r="D650" s="1">
        <v>2</v>
      </c>
      <c r="E650" s="1">
        <v>3</v>
      </c>
      <c r="F650" s="1">
        <v>5</v>
      </c>
      <c r="G650" s="1">
        <v>3</v>
      </c>
      <c r="H650" s="1">
        <v>0</v>
      </c>
      <c r="I650" s="1">
        <v>3</v>
      </c>
      <c r="J650" s="1">
        <v>3</v>
      </c>
    </row>
    <row r="651" spans="1:10" x14ac:dyDescent="0.2">
      <c r="A651" s="1">
        <v>451</v>
      </c>
      <c r="B651" s="1">
        <v>0</v>
      </c>
      <c r="C651" s="1">
        <v>14</v>
      </c>
      <c r="D651" s="1">
        <v>3</v>
      </c>
      <c r="E651" s="1">
        <v>1</v>
      </c>
      <c r="F651" s="1">
        <v>6</v>
      </c>
      <c r="G651" s="1">
        <v>3</v>
      </c>
      <c r="H651" s="1">
        <v>0</v>
      </c>
      <c r="I651" s="1">
        <v>2</v>
      </c>
      <c r="J651" s="1">
        <v>3</v>
      </c>
    </row>
    <row r="652" spans="1:10" x14ac:dyDescent="0.2">
      <c r="A652" s="1">
        <v>529</v>
      </c>
      <c r="B652" s="1">
        <v>0</v>
      </c>
      <c r="C652" s="1">
        <v>14</v>
      </c>
      <c r="D652" s="1">
        <v>5</v>
      </c>
      <c r="E652" s="1">
        <v>1</v>
      </c>
      <c r="F652" s="1">
        <v>6</v>
      </c>
      <c r="G652" s="1">
        <v>3</v>
      </c>
      <c r="H652" s="1">
        <v>0</v>
      </c>
      <c r="I652" s="1">
        <v>0</v>
      </c>
      <c r="J652" s="1">
        <v>3</v>
      </c>
    </row>
    <row r="653" spans="1:10" x14ac:dyDescent="0.2">
      <c r="A653" s="1">
        <v>665</v>
      </c>
      <c r="B653" s="1">
        <v>0</v>
      </c>
      <c r="C653" s="1">
        <v>14</v>
      </c>
      <c r="D653" s="1">
        <v>2</v>
      </c>
      <c r="E653" s="1">
        <v>1</v>
      </c>
      <c r="F653" s="1">
        <v>6</v>
      </c>
      <c r="G653" s="1">
        <v>3</v>
      </c>
      <c r="H653" s="1">
        <v>1</v>
      </c>
      <c r="I653" s="1">
        <v>3</v>
      </c>
      <c r="J653" s="1">
        <v>3</v>
      </c>
    </row>
    <row r="654" spans="1:10" x14ac:dyDescent="0.2">
      <c r="A654" s="1">
        <v>507</v>
      </c>
      <c r="B654" s="1">
        <v>0</v>
      </c>
      <c r="C654" s="1">
        <v>16</v>
      </c>
      <c r="D654" s="1">
        <v>4</v>
      </c>
      <c r="E654" s="1">
        <v>1</v>
      </c>
      <c r="F654" s="1">
        <v>6</v>
      </c>
      <c r="G654" s="1">
        <v>3</v>
      </c>
      <c r="H654" s="1">
        <v>1</v>
      </c>
      <c r="I654" s="1">
        <v>2</v>
      </c>
      <c r="J654" s="1">
        <v>3</v>
      </c>
    </row>
    <row r="655" spans="1:10" x14ac:dyDescent="0.2">
      <c r="A655" s="1">
        <v>573</v>
      </c>
      <c r="B655" s="1">
        <v>0</v>
      </c>
      <c r="C655" s="1">
        <v>18</v>
      </c>
      <c r="D655" s="1">
        <v>3</v>
      </c>
      <c r="E655" s="1">
        <v>1</v>
      </c>
      <c r="F655" s="1">
        <v>6</v>
      </c>
      <c r="G655" s="1">
        <v>3</v>
      </c>
      <c r="H655" s="1">
        <v>0</v>
      </c>
      <c r="I655" s="1">
        <v>0</v>
      </c>
      <c r="J655" s="1">
        <v>3</v>
      </c>
    </row>
    <row r="656" spans="1:10" x14ac:dyDescent="0.2">
      <c r="A656" s="1">
        <v>1014</v>
      </c>
      <c r="B656" s="1">
        <v>0</v>
      </c>
      <c r="C656" s="1">
        <v>7</v>
      </c>
      <c r="D656" s="1">
        <v>2</v>
      </c>
      <c r="E656" s="1">
        <v>2</v>
      </c>
      <c r="F656" s="1">
        <v>6</v>
      </c>
      <c r="G656" s="1">
        <v>3</v>
      </c>
      <c r="H656" s="1">
        <v>0</v>
      </c>
      <c r="I656" s="1">
        <v>1</v>
      </c>
      <c r="J656" s="1">
        <v>3</v>
      </c>
    </row>
    <row r="657" spans="1:10" x14ac:dyDescent="0.2">
      <c r="A657" s="1">
        <v>760</v>
      </c>
      <c r="B657" s="1">
        <v>0</v>
      </c>
      <c r="C657" s="1">
        <v>12</v>
      </c>
      <c r="D657" s="1">
        <v>3</v>
      </c>
      <c r="E657" s="1">
        <v>3</v>
      </c>
      <c r="F657" s="1">
        <v>6</v>
      </c>
      <c r="G657" s="1">
        <v>3</v>
      </c>
      <c r="H657" s="1">
        <v>1</v>
      </c>
      <c r="I657" s="1">
        <v>0</v>
      </c>
      <c r="J657" s="1">
        <v>3</v>
      </c>
    </row>
    <row r="658" spans="1:10" x14ac:dyDescent="0.2">
      <c r="A658" s="1">
        <v>1717</v>
      </c>
      <c r="B658" s="1">
        <v>0</v>
      </c>
      <c r="C658" s="1">
        <v>18</v>
      </c>
      <c r="D658" s="1">
        <v>5</v>
      </c>
      <c r="E658" s="1">
        <v>1</v>
      </c>
      <c r="F658" s="1">
        <v>7</v>
      </c>
      <c r="G658" s="1">
        <v>3</v>
      </c>
      <c r="H658" s="1">
        <v>1</v>
      </c>
      <c r="I658" s="1">
        <v>1</v>
      </c>
      <c r="J658" s="1">
        <v>3</v>
      </c>
    </row>
    <row r="659" spans="1:10" x14ac:dyDescent="0.2">
      <c r="A659" s="1">
        <v>1094</v>
      </c>
      <c r="B659" s="1">
        <v>0</v>
      </c>
      <c r="C659" s="1">
        <v>5</v>
      </c>
      <c r="D659" s="1">
        <v>2</v>
      </c>
      <c r="E659" s="1">
        <v>2</v>
      </c>
      <c r="F659" s="1">
        <v>7</v>
      </c>
      <c r="G659" s="1">
        <v>3</v>
      </c>
      <c r="H659" s="1">
        <v>0</v>
      </c>
      <c r="I659" s="1">
        <v>2</v>
      </c>
      <c r="J659" s="1">
        <v>3</v>
      </c>
    </row>
    <row r="660" spans="1:10" x14ac:dyDescent="0.2">
      <c r="A660" s="1">
        <v>628</v>
      </c>
      <c r="B660" s="1">
        <v>0</v>
      </c>
      <c r="C660" s="1">
        <v>6</v>
      </c>
      <c r="D660" s="1">
        <v>4</v>
      </c>
      <c r="E660" s="1">
        <v>2</v>
      </c>
      <c r="F660" s="1">
        <v>7</v>
      </c>
      <c r="G660" s="1">
        <v>3</v>
      </c>
      <c r="H660" s="1">
        <v>0</v>
      </c>
      <c r="I660" s="1">
        <v>1</v>
      </c>
      <c r="J660" s="1">
        <v>3</v>
      </c>
    </row>
    <row r="661" spans="1:10" x14ac:dyDescent="0.2">
      <c r="A661" s="1">
        <v>806</v>
      </c>
      <c r="B661" s="1">
        <v>0</v>
      </c>
      <c r="C661" s="1">
        <v>9</v>
      </c>
      <c r="D661" s="1">
        <v>5</v>
      </c>
      <c r="E661" s="1">
        <v>2</v>
      </c>
      <c r="F661" s="1">
        <v>7</v>
      </c>
      <c r="G661" s="1">
        <v>3</v>
      </c>
      <c r="H661" s="1">
        <v>0</v>
      </c>
      <c r="I661" s="1">
        <v>2</v>
      </c>
      <c r="J661" s="1">
        <v>3</v>
      </c>
    </row>
    <row r="662" spans="1:10" x14ac:dyDescent="0.2">
      <c r="A662" s="1">
        <v>1085</v>
      </c>
      <c r="B662" s="1">
        <v>0</v>
      </c>
      <c r="C662" s="1">
        <v>16</v>
      </c>
      <c r="D662" s="1">
        <v>1</v>
      </c>
      <c r="E662" s="1">
        <v>2</v>
      </c>
      <c r="F662" s="1">
        <v>7</v>
      </c>
      <c r="G662" s="1">
        <v>3</v>
      </c>
      <c r="H662" s="1">
        <v>0</v>
      </c>
      <c r="I662" s="1">
        <v>0</v>
      </c>
      <c r="J662" s="1">
        <v>3</v>
      </c>
    </row>
    <row r="663" spans="1:10" x14ac:dyDescent="0.2">
      <c r="A663" s="1">
        <v>2149</v>
      </c>
      <c r="B663" s="1">
        <v>0</v>
      </c>
      <c r="C663" s="1">
        <v>18</v>
      </c>
      <c r="D663" s="1">
        <v>1</v>
      </c>
      <c r="E663" s="1">
        <v>3</v>
      </c>
      <c r="F663" s="1">
        <v>7</v>
      </c>
      <c r="G663" s="1">
        <v>3</v>
      </c>
      <c r="H663" s="1">
        <v>0</v>
      </c>
      <c r="I663" s="1">
        <v>3</v>
      </c>
      <c r="J663" s="1">
        <v>3</v>
      </c>
    </row>
    <row r="664" spans="1:10" x14ac:dyDescent="0.2">
      <c r="A664" s="1">
        <v>1352</v>
      </c>
      <c r="B664" s="1">
        <v>0</v>
      </c>
      <c r="C664" s="1">
        <v>19</v>
      </c>
      <c r="D664" s="1">
        <v>5</v>
      </c>
      <c r="E664" s="1">
        <v>3</v>
      </c>
      <c r="F664" s="1">
        <v>7</v>
      </c>
      <c r="G664" s="1">
        <v>3</v>
      </c>
      <c r="H664" s="1">
        <v>1</v>
      </c>
      <c r="I664" s="1">
        <v>1</v>
      </c>
      <c r="J664" s="1">
        <v>3</v>
      </c>
    </row>
    <row r="665" spans="1:10" x14ac:dyDescent="0.2">
      <c r="A665" s="1">
        <v>741</v>
      </c>
      <c r="B665" s="1">
        <v>0</v>
      </c>
      <c r="C665" s="1">
        <v>13</v>
      </c>
      <c r="D665" s="1">
        <v>3</v>
      </c>
      <c r="E665" s="1">
        <v>1</v>
      </c>
      <c r="F665" s="1">
        <v>8</v>
      </c>
      <c r="G665" s="1">
        <v>3</v>
      </c>
      <c r="H665" s="1">
        <v>1</v>
      </c>
      <c r="I665" s="1">
        <v>3</v>
      </c>
      <c r="J665" s="1">
        <v>3</v>
      </c>
    </row>
    <row r="666" spans="1:10" x14ac:dyDescent="0.2">
      <c r="A666" s="1">
        <v>1828</v>
      </c>
      <c r="B666" s="1">
        <v>0</v>
      </c>
      <c r="C666" s="1">
        <v>5</v>
      </c>
      <c r="D666" s="1">
        <v>4</v>
      </c>
      <c r="E666" s="1">
        <v>2</v>
      </c>
      <c r="F666" s="1">
        <v>8</v>
      </c>
      <c r="G666" s="1">
        <v>3</v>
      </c>
      <c r="H666" s="1">
        <v>1</v>
      </c>
      <c r="I666" s="1">
        <v>1</v>
      </c>
      <c r="J666" s="1">
        <v>3</v>
      </c>
    </row>
    <row r="667" spans="1:10" x14ac:dyDescent="0.2">
      <c r="A667" s="1">
        <v>2334</v>
      </c>
      <c r="B667" s="1">
        <v>0</v>
      </c>
      <c r="C667" s="1">
        <v>5</v>
      </c>
      <c r="D667" s="1">
        <v>5</v>
      </c>
      <c r="E667" s="1">
        <v>2</v>
      </c>
      <c r="F667" s="1">
        <v>8</v>
      </c>
      <c r="G667" s="1">
        <v>3</v>
      </c>
      <c r="H667" s="1">
        <v>1</v>
      </c>
      <c r="I667" s="1">
        <v>1</v>
      </c>
      <c r="J667" s="1">
        <v>3</v>
      </c>
    </row>
    <row r="668" spans="1:10" x14ac:dyDescent="0.2">
      <c r="A668" s="1">
        <v>663</v>
      </c>
      <c r="B668" s="1">
        <v>0</v>
      </c>
      <c r="C668" s="1">
        <v>11</v>
      </c>
      <c r="D668" s="1">
        <v>5</v>
      </c>
      <c r="E668" s="1">
        <v>2</v>
      </c>
      <c r="F668" s="1">
        <v>8</v>
      </c>
      <c r="G668" s="1">
        <v>3</v>
      </c>
      <c r="H668" s="1">
        <v>1</v>
      </c>
      <c r="I668" s="1">
        <v>3</v>
      </c>
      <c r="J668" s="1">
        <v>3</v>
      </c>
    </row>
    <row r="669" spans="1:10" x14ac:dyDescent="0.2">
      <c r="A669" s="1">
        <v>40</v>
      </c>
      <c r="B669" s="1">
        <v>0</v>
      </c>
      <c r="C669" s="1">
        <v>10</v>
      </c>
      <c r="D669" s="1">
        <v>4</v>
      </c>
      <c r="E669" s="1">
        <v>3</v>
      </c>
      <c r="F669" s="1">
        <v>8</v>
      </c>
      <c r="G669" s="1">
        <v>3</v>
      </c>
      <c r="H669" s="1">
        <v>1</v>
      </c>
      <c r="I669" s="1">
        <v>3</v>
      </c>
      <c r="J669" s="1">
        <v>3</v>
      </c>
    </row>
    <row r="670" spans="1:10" x14ac:dyDescent="0.2">
      <c r="A670" s="1">
        <v>1064</v>
      </c>
      <c r="B670" s="1">
        <v>0</v>
      </c>
      <c r="C670" s="1">
        <v>12</v>
      </c>
      <c r="D670" s="1">
        <v>1</v>
      </c>
      <c r="E670" s="1">
        <v>3</v>
      </c>
      <c r="F670" s="1">
        <v>8</v>
      </c>
      <c r="G670" s="1">
        <v>3</v>
      </c>
      <c r="H670" s="1">
        <v>1</v>
      </c>
      <c r="I670" s="1">
        <v>0</v>
      </c>
      <c r="J670" s="1">
        <v>3</v>
      </c>
    </row>
    <row r="671" spans="1:10" x14ac:dyDescent="0.2">
      <c r="A671" s="1">
        <v>674</v>
      </c>
      <c r="B671" s="1">
        <v>0</v>
      </c>
      <c r="C671" s="1">
        <v>14</v>
      </c>
      <c r="D671" s="1">
        <v>1</v>
      </c>
      <c r="E671" s="1">
        <v>3</v>
      </c>
      <c r="F671" s="1">
        <v>8</v>
      </c>
      <c r="G671" s="1">
        <v>3</v>
      </c>
      <c r="H671" s="1">
        <v>1</v>
      </c>
      <c r="I671" s="1">
        <v>1</v>
      </c>
      <c r="J671" s="1">
        <v>3</v>
      </c>
    </row>
    <row r="672" spans="1:10" x14ac:dyDescent="0.2">
      <c r="A672" s="1">
        <v>2302</v>
      </c>
      <c r="B672" s="1">
        <v>0</v>
      </c>
      <c r="C672" s="1">
        <v>5</v>
      </c>
      <c r="D672" s="1">
        <v>2</v>
      </c>
      <c r="E672" s="1">
        <v>1</v>
      </c>
      <c r="F672" s="1">
        <v>9</v>
      </c>
      <c r="G672" s="1">
        <v>3</v>
      </c>
      <c r="H672" s="1">
        <v>0</v>
      </c>
      <c r="I672" s="1">
        <v>3</v>
      </c>
      <c r="J672" s="1">
        <v>3</v>
      </c>
    </row>
    <row r="673" spans="1:10" x14ac:dyDescent="0.2">
      <c r="A673" s="1">
        <v>2496</v>
      </c>
      <c r="B673" s="1">
        <v>0</v>
      </c>
      <c r="C673" s="1">
        <v>6</v>
      </c>
      <c r="D673" s="1">
        <v>3</v>
      </c>
      <c r="E673" s="1">
        <v>2</v>
      </c>
      <c r="F673" s="1">
        <v>9</v>
      </c>
      <c r="G673" s="1">
        <v>3</v>
      </c>
      <c r="H673" s="1">
        <v>1</v>
      </c>
      <c r="I673" s="1">
        <v>3</v>
      </c>
      <c r="J673" s="1">
        <v>3</v>
      </c>
    </row>
    <row r="674" spans="1:10" x14ac:dyDescent="0.2">
      <c r="A674" s="1">
        <v>2052</v>
      </c>
      <c r="B674" s="1">
        <v>0</v>
      </c>
      <c r="C674" s="1">
        <v>13</v>
      </c>
      <c r="D674" s="1">
        <v>5</v>
      </c>
      <c r="E674" s="1">
        <v>2</v>
      </c>
      <c r="F674" s="1">
        <v>9</v>
      </c>
      <c r="G674" s="1">
        <v>3</v>
      </c>
      <c r="H674" s="1">
        <v>0</v>
      </c>
      <c r="I674" s="1">
        <v>1</v>
      </c>
      <c r="J674" s="1">
        <v>3</v>
      </c>
    </row>
    <row r="675" spans="1:10" x14ac:dyDescent="0.2">
      <c r="A675" s="1">
        <v>659</v>
      </c>
      <c r="B675" s="1">
        <v>0</v>
      </c>
      <c r="C675" s="1">
        <v>18</v>
      </c>
      <c r="D675" s="1">
        <v>1</v>
      </c>
      <c r="E675" s="1">
        <v>2</v>
      </c>
      <c r="F675" s="1">
        <v>9</v>
      </c>
      <c r="G675" s="1">
        <v>3</v>
      </c>
      <c r="H675" s="1">
        <v>0</v>
      </c>
      <c r="I675" s="1">
        <v>1</v>
      </c>
      <c r="J675" s="1">
        <v>3</v>
      </c>
    </row>
    <row r="676" spans="1:10" x14ac:dyDescent="0.2">
      <c r="A676" s="1">
        <v>1838</v>
      </c>
      <c r="B676" s="1">
        <v>0</v>
      </c>
      <c r="C676" s="1">
        <v>8</v>
      </c>
      <c r="D676" s="1">
        <v>1</v>
      </c>
      <c r="E676" s="1">
        <v>3</v>
      </c>
      <c r="F676" s="1">
        <v>9</v>
      </c>
      <c r="G676" s="1">
        <v>3</v>
      </c>
      <c r="H676" s="1">
        <v>0</v>
      </c>
      <c r="I676" s="1">
        <v>1</v>
      </c>
      <c r="J676" s="1">
        <v>3</v>
      </c>
    </row>
    <row r="677" spans="1:10" x14ac:dyDescent="0.2">
      <c r="A677" s="1">
        <v>1795</v>
      </c>
      <c r="B677" s="1">
        <v>0</v>
      </c>
      <c r="C677" s="1">
        <v>6</v>
      </c>
      <c r="D677" s="1">
        <v>5</v>
      </c>
      <c r="E677" s="1">
        <v>2</v>
      </c>
      <c r="F677" s="1">
        <v>10</v>
      </c>
      <c r="G677" s="1">
        <v>3</v>
      </c>
      <c r="H677" s="1">
        <v>1</v>
      </c>
      <c r="I677" s="1">
        <v>0</v>
      </c>
      <c r="J677" s="1">
        <v>3</v>
      </c>
    </row>
    <row r="678" spans="1:10" x14ac:dyDescent="0.2">
      <c r="A678" s="1">
        <v>277</v>
      </c>
      <c r="B678" s="1">
        <v>0</v>
      </c>
      <c r="C678" s="1">
        <v>18</v>
      </c>
      <c r="D678" s="1">
        <v>4</v>
      </c>
      <c r="E678" s="1">
        <v>1</v>
      </c>
      <c r="F678" s="1">
        <v>1</v>
      </c>
      <c r="G678" s="1">
        <v>3</v>
      </c>
      <c r="H678" s="1">
        <v>0</v>
      </c>
      <c r="I678" s="1">
        <v>2</v>
      </c>
      <c r="J678" s="1">
        <v>4</v>
      </c>
    </row>
    <row r="679" spans="1:10" x14ac:dyDescent="0.2">
      <c r="A679" s="1">
        <v>2120</v>
      </c>
      <c r="B679" s="1">
        <v>0</v>
      </c>
      <c r="C679" s="1">
        <v>8</v>
      </c>
      <c r="D679" s="1">
        <v>5</v>
      </c>
      <c r="E679" s="1">
        <v>3</v>
      </c>
      <c r="F679" s="1">
        <v>1</v>
      </c>
      <c r="G679" s="1">
        <v>3</v>
      </c>
      <c r="H679" s="1">
        <v>1</v>
      </c>
      <c r="I679" s="1">
        <v>3</v>
      </c>
      <c r="J679" s="1">
        <v>4</v>
      </c>
    </row>
    <row r="680" spans="1:10" x14ac:dyDescent="0.2">
      <c r="A680" s="1">
        <v>2237</v>
      </c>
      <c r="B680" s="1">
        <v>0</v>
      </c>
      <c r="C680" s="1">
        <v>16</v>
      </c>
      <c r="D680" s="1">
        <v>1</v>
      </c>
      <c r="E680" s="1">
        <v>3</v>
      </c>
      <c r="F680" s="1">
        <v>1</v>
      </c>
      <c r="G680" s="1">
        <v>3</v>
      </c>
      <c r="H680" s="1">
        <v>0</v>
      </c>
      <c r="I680" s="1">
        <v>0</v>
      </c>
      <c r="J680" s="1">
        <v>4</v>
      </c>
    </row>
    <row r="681" spans="1:10" x14ac:dyDescent="0.2">
      <c r="A681" s="1">
        <v>389</v>
      </c>
      <c r="B681" s="1">
        <v>0</v>
      </c>
      <c r="C681" s="1">
        <v>20</v>
      </c>
      <c r="D681" s="1">
        <v>3</v>
      </c>
      <c r="E681" s="1">
        <v>3</v>
      </c>
      <c r="F681" s="1">
        <v>1</v>
      </c>
      <c r="G681" s="1">
        <v>3</v>
      </c>
      <c r="H681" s="1">
        <v>0</v>
      </c>
      <c r="I681" s="1">
        <v>1</v>
      </c>
      <c r="J681" s="1">
        <v>4</v>
      </c>
    </row>
    <row r="682" spans="1:10" x14ac:dyDescent="0.2">
      <c r="A682" s="1">
        <v>2132</v>
      </c>
      <c r="B682" s="1">
        <v>0</v>
      </c>
      <c r="C682" s="1">
        <v>5</v>
      </c>
      <c r="D682" s="1">
        <v>3</v>
      </c>
      <c r="E682" s="1">
        <v>1</v>
      </c>
      <c r="F682" s="1">
        <v>2</v>
      </c>
      <c r="G682" s="1">
        <v>3</v>
      </c>
      <c r="H682" s="1">
        <v>0</v>
      </c>
      <c r="I682" s="1">
        <v>2</v>
      </c>
      <c r="J682" s="1">
        <v>4</v>
      </c>
    </row>
    <row r="683" spans="1:10" x14ac:dyDescent="0.2">
      <c r="A683" s="1">
        <v>738</v>
      </c>
      <c r="B683" s="1">
        <v>0</v>
      </c>
      <c r="C683" s="1">
        <v>8</v>
      </c>
      <c r="D683" s="1">
        <v>2</v>
      </c>
      <c r="E683" s="1">
        <v>1</v>
      </c>
      <c r="F683" s="1">
        <v>2</v>
      </c>
      <c r="G683" s="1">
        <v>3</v>
      </c>
      <c r="H683" s="1">
        <v>0</v>
      </c>
      <c r="I683" s="1">
        <v>2</v>
      </c>
      <c r="J683" s="1">
        <v>4</v>
      </c>
    </row>
    <row r="684" spans="1:10" x14ac:dyDescent="0.2">
      <c r="A684" s="1">
        <v>382</v>
      </c>
      <c r="B684" s="1">
        <v>0</v>
      </c>
      <c r="C684" s="1">
        <v>6</v>
      </c>
      <c r="D684" s="1">
        <v>5</v>
      </c>
      <c r="E684" s="1">
        <v>2</v>
      </c>
      <c r="F684" s="1">
        <v>2</v>
      </c>
      <c r="G684" s="1">
        <v>3</v>
      </c>
      <c r="H684" s="1">
        <v>0</v>
      </c>
      <c r="I684" s="1">
        <v>0</v>
      </c>
      <c r="J684" s="1">
        <v>4</v>
      </c>
    </row>
    <row r="685" spans="1:10" x14ac:dyDescent="0.2">
      <c r="A685" s="1">
        <v>1825</v>
      </c>
      <c r="B685" s="1">
        <v>0</v>
      </c>
      <c r="C685" s="1">
        <v>9</v>
      </c>
      <c r="D685" s="1">
        <v>1</v>
      </c>
      <c r="E685" s="1">
        <v>2</v>
      </c>
      <c r="F685" s="1">
        <v>2</v>
      </c>
      <c r="G685" s="1">
        <v>3</v>
      </c>
      <c r="H685" s="1">
        <v>1</v>
      </c>
      <c r="I685" s="1">
        <v>0</v>
      </c>
      <c r="J685" s="1">
        <v>4</v>
      </c>
    </row>
    <row r="686" spans="1:10" x14ac:dyDescent="0.2">
      <c r="A686" s="1">
        <v>622</v>
      </c>
      <c r="B686" s="1">
        <v>0</v>
      </c>
      <c r="C686" s="1">
        <v>18</v>
      </c>
      <c r="D686" s="1">
        <v>2</v>
      </c>
      <c r="E686" s="1">
        <v>2</v>
      </c>
      <c r="F686" s="1">
        <v>2</v>
      </c>
      <c r="G686" s="1">
        <v>3</v>
      </c>
      <c r="H686" s="1">
        <v>0</v>
      </c>
      <c r="I686" s="1">
        <v>3</v>
      </c>
      <c r="J686" s="1">
        <v>4</v>
      </c>
    </row>
    <row r="687" spans="1:10" x14ac:dyDescent="0.2">
      <c r="A687" s="1">
        <v>740</v>
      </c>
      <c r="B687" s="1">
        <v>0</v>
      </c>
      <c r="C687" s="1">
        <v>8</v>
      </c>
      <c r="D687" s="1">
        <v>1</v>
      </c>
      <c r="E687" s="1">
        <v>3</v>
      </c>
      <c r="F687" s="1">
        <v>2</v>
      </c>
      <c r="G687" s="1">
        <v>3</v>
      </c>
      <c r="H687" s="1">
        <v>0</v>
      </c>
      <c r="I687" s="1">
        <v>2</v>
      </c>
      <c r="J687" s="1">
        <v>4</v>
      </c>
    </row>
    <row r="688" spans="1:10" x14ac:dyDescent="0.2">
      <c r="A688" s="1">
        <v>1575</v>
      </c>
      <c r="B688" s="1">
        <v>0</v>
      </c>
      <c r="C688" s="1">
        <v>14</v>
      </c>
      <c r="D688" s="1">
        <v>1</v>
      </c>
      <c r="E688" s="1">
        <v>1</v>
      </c>
      <c r="F688" s="1">
        <v>3</v>
      </c>
      <c r="G688" s="1">
        <v>3</v>
      </c>
      <c r="H688" s="1">
        <v>1</v>
      </c>
      <c r="I688" s="1">
        <v>0</v>
      </c>
      <c r="J688" s="1">
        <v>4</v>
      </c>
    </row>
    <row r="689" spans="1:10" x14ac:dyDescent="0.2">
      <c r="A689" s="1">
        <v>2009</v>
      </c>
      <c r="B689" s="1">
        <v>0</v>
      </c>
      <c r="C689" s="1">
        <v>18</v>
      </c>
      <c r="D689" s="1">
        <v>2</v>
      </c>
      <c r="E689" s="1">
        <v>1</v>
      </c>
      <c r="F689" s="1">
        <v>3</v>
      </c>
      <c r="G689" s="1">
        <v>3</v>
      </c>
      <c r="H689" s="1">
        <v>1</v>
      </c>
      <c r="I689" s="1">
        <v>2</v>
      </c>
      <c r="J689" s="1">
        <v>4</v>
      </c>
    </row>
    <row r="690" spans="1:10" x14ac:dyDescent="0.2">
      <c r="A690" s="1">
        <v>2157</v>
      </c>
      <c r="B690" s="1">
        <v>0</v>
      </c>
      <c r="C690" s="1">
        <v>5</v>
      </c>
      <c r="D690" s="1">
        <v>3</v>
      </c>
      <c r="E690" s="1">
        <v>2</v>
      </c>
      <c r="F690" s="1">
        <v>3</v>
      </c>
      <c r="G690" s="1">
        <v>3</v>
      </c>
      <c r="H690" s="1">
        <v>0</v>
      </c>
      <c r="I690" s="1">
        <v>1</v>
      </c>
      <c r="J690" s="1">
        <v>4</v>
      </c>
    </row>
    <row r="691" spans="1:10" x14ac:dyDescent="0.2">
      <c r="A691" s="1">
        <v>2173</v>
      </c>
      <c r="B691" s="1">
        <v>0</v>
      </c>
      <c r="C691" s="1">
        <v>5</v>
      </c>
      <c r="D691" s="1">
        <v>4</v>
      </c>
      <c r="E691" s="1">
        <v>2</v>
      </c>
      <c r="F691" s="1">
        <v>3</v>
      </c>
      <c r="G691" s="1">
        <v>3</v>
      </c>
      <c r="H691" s="1">
        <v>1</v>
      </c>
      <c r="I691" s="1">
        <v>2</v>
      </c>
      <c r="J691" s="1">
        <v>4</v>
      </c>
    </row>
    <row r="692" spans="1:10" x14ac:dyDescent="0.2">
      <c r="A692" s="1">
        <v>2265</v>
      </c>
      <c r="B692" s="1">
        <v>0</v>
      </c>
      <c r="C692" s="1">
        <v>9</v>
      </c>
      <c r="D692" s="1">
        <v>4</v>
      </c>
      <c r="E692" s="1">
        <v>2</v>
      </c>
      <c r="F692" s="1">
        <v>3</v>
      </c>
      <c r="G692" s="1">
        <v>3</v>
      </c>
      <c r="H692" s="1">
        <v>1</v>
      </c>
      <c r="I692" s="1">
        <v>3</v>
      </c>
      <c r="J692" s="1">
        <v>4</v>
      </c>
    </row>
    <row r="693" spans="1:10" x14ac:dyDescent="0.2">
      <c r="A693" s="1">
        <v>177</v>
      </c>
      <c r="B693" s="1">
        <v>0</v>
      </c>
      <c r="C693" s="1">
        <v>11</v>
      </c>
      <c r="D693" s="1">
        <v>1</v>
      </c>
      <c r="E693" s="1">
        <v>1</v>
      </c>
      <c r="F693" s="1">
        <v>4</v>
      </c>
      <c r="G693" s="1">
        <v>3</v>
      </c>
      <c r="H693" s="1">
        <v>1</v>
      </c>
      <c r="I693" s="1">
        <v>0</v>
      </c>
      <c r="J693" s="1">
        <v>4</v>
      </c>
    </row>
    <row r="694" spans="1:10" x14ac:dyDescent="0.2">
      <c r="A694" s="1">
        <v>568</v>
      </c>
      <c r="B694" s="1">
        <v>0</v>
      </c>
      <c r="C694" s="1">
        <v>10</v>
      </c>
      <c r="D694" s="1">
        <v>1</v>
      </c>
      <c r="E694" s="1">
        <v>2</v>
      </c>
      <c r="F694" s="1">
        <v>4</v>
      </c>
      <c r="G694" s="1">
        <v>3</v>
      </c>
      <c r="H694" s="1">
        <v>0</v>
      </c>
      <c r="I694" s="1">
        <v>0</v>
      </c>
      <c r="J694" s="1">
        <v>4</v>
      </c>
    </row>
    <row r="695" spans="1:10" x14ac:dyDescent="0.2">
      <c r="A695" s="1">
        <v>702</v>
      </c>
      <c r="B695" s="1">
        <v>0</v>
      </c>
      <c r="C695" s="1">
        <v>19</v>
      </c>
      <c r="D695" s="1">
        <v>4</v>
      </c>
      <c r="E695" s="1">
        <v>2</v>
      </c>
      <c r="F695" s="1">
        <v>5</v>
      </c>
      <c r="G695" s="1">
        <v>3</v>
      </c>
      <c r="H695" s="1">
        <v>0</v>
      </c>
      <c r="I695" s="1">
        <v>3</v>
      </c>
      <c r="J695" s="1">
        <v>4</v>
      </c>
    </row>
    <row r="696" spans="1:10" x14ac:dyDescent="0.2">
      <c r="A696" s="1">
        <v>1308</v>
      </c>
      <c r="B696" s="1">
        <v>0</v>
      </c>
      <c r="C696" s="1">
        <v>7</v>
      </c>
      <c r="D696" s="1">
        <v>2</v>
      </c>
      <c r="E696" s="1">
        <v>1</v>
      </c>
      <c r="F696" s="1">
        <v>6</v>
      </c>
      <c r="G696" s="1">
        <v>3</v>
      </c>
      <c r="H696" s="1">
        <v>0</v>
      </c>
      <c r="I696" s="1">
        <v>1</v>
      </c>
      <c r="J696" s="1">
        <v>4</v>
      </c>
    </row>
    <row r="697" spans="1:10" x14ac:dyDescent="0.2">
      <c r="A697" s="1">
        <v>2137</v>
      </c>
      <c r="B697" s="1">
        <v>0</v>
      </c>
      <c r="C697" s="1">
        <v>14</v>
      </c>
      <c r="D697" s="1">
        <v>5</v>
      </c>
      <c r="E697" s="1">
        <v>1</v>
      </c>
      <c r="F697" s="1">
        <v>6</v>
      </c>
      <c r="G697" s="1">
        <v>3</v>
      </c>
      <c r="H697" s="1">
        <v>1</v>
      </c>
      <c r="I697" s="1">
        <v>3</v>
      </c>
      <c r="J697" s="1">
        <v>4</v>
      </c>
    </row>
    <row r="698" spans="1:10" x14ac:dyDescent="0.2">
      <c r="A698" s="1">
        <v>1883</v>
      </c>
      <c r="B698" s="1">
        <v>0</v>
      </c>
      <c r="C698" s="1">
        <v>6</v>
      </c>
      <c r="D698" s="1">
        <v>4</v>
      </c>
      <c r="E698" s="1">
        <v>2</v>
      </c>
      <c r="F698" s="1">
        <v>6</v>
      </c>
      <c r="G698" s="1">
        <v>3</v>
      </c>
      <c r="H698" s="1">
        <v>0</v>
      </c>
      <c r="I698" s="1">
        <v>3</v>
      </c>
      <c r="J698" s="1">
        <v>4</v>
      </c>
    </row>
    <row r="699" spans="1:10" x14ac:dyDescent="0.2">
      <c r="A699" s="1">
        <v>2202</v>
      </c>
      <c r="B699" s="1">
        <v>0</v>
      </c>
      <c r="C699" s="1">
        <v>13</v>
      </c>
      <c r="D699" s="1">
        <v>4</v>
      </c>
      <c r="E699" s="1">
        <v>2</v>
      </c>
      <c r="F699" s="1">
        <v>6</v>
      </c>
      <c r="G699" s="1">
        <v>3</v>
      </c>
      <c r="H699" s="1">
        <v>1</v>
      </c>
      <c r="I699" s="1">
        <v>3</v>
      </c>
      <c r="J699" s="1">
        <v>4</v>
      </c>
    </row>
    <row r="700" spans="1:10" x14ac:dyDescent="0.2">
      <c r="A700" s="1">
        <v>392</v>
      </c>
      <c r="B700" s="1">
        <v>0</v>
      </c>
      <c r="C700" s="1">
        <v>18</v>
      </c>
      <c r="D700" s="1">
        <v>1</v>
      </c>
      <c r="E700" s="1">
        <v>3</v>
      </c>
      <c r="F700" s="1">
        <v>6</v>
      </c>
      <c r="G700" s="1">
        <v>3</v>
      </c>
      <c r="H700" s="1">
        <v>0</v>
      </c>
      <c r="I700" s="1">
        <v>1</v>
      </c>
      <c r="J700" s="1">
        <v>4</v>
      </c>
    </row>
    <row r="701" spans="1:10" x14ac:dyDescent="0.2">
      <c r="A701" s="1">
        <v>916</v>
      </c>
      <c r="B701" s="1">
        <v>0</v>
      </c>
      <c r="C701" s="1">
        <v>10</v>
      </c>
      <c r="D701" s="1">
        <v>3</v>
      </c>
      <c r="E701" s="1">
        <v>2</v>
      </c>
      <c r="F701" s="1">
        <v>7</v>
      </c>
      <c r="G701" s="1">
        <v>3</v>
      </c>
      <c r="H701" s="1">
        <v>1</v>
      </c>
      <c r="I701" s="1">
        <v>3</v>
      </c>
      <c r="J701" s="1">
        <v>4</v>
      </c>
    </row>
    <row r="702" spans="1:10" x14ac:dyDescent="0.2">
      <c r="A702" s="1">
        <v>1163</v>
      </c>
      <c r="B702" s="1">
        <v>0</v>
      </c>
      <c r="C702" s="1">
        <v>11</v>
      </c>
      <c r="D702" s="1">
        <v>2</v>
      </c>
      <c r="E702" s="1">
        <v>2</v>
      </c>
      <c r="F702" s="1">
        <v>7</v>
      </c>
      <c r="G702" s="1">
        <v>3</v>
      </c>
      <c r="H702" s="1">
        <v>1</v>
      </c>
      <c r="I702" s="1">
        <v>1</v>
      </c>
      <c r="J702" s="1">
        <v>4</v>
      </c>
    </row>
    <row r="703" spans="1:10" x14ac:dyDescent="0.2">
      <c r="A703" s="1">
        <v>150</v>
      </c>
      <c r="B703" s="1">
        <v>0</v>
      </c>
      <c r="C703" s="1">
        <v>17</v>
      </c>
      <c r="D703" s="1">
        <v>2</v>
      </c>
      <c r="E703" s="1">
        <v>2</v>
      </c>
      <c r="F703" s="1">
        <v>7</v>
      </c>
      <c r="G703" s="1">
        <v>3</v>
      </c>
      <c r="H703" s="1">
        <v>0</v>
      </c>
      <c r="I703" s="1">
        <v>3</v>
      </c>
      <c r="J703" s="1">
        <v>4</v>
      </c>
    </row>
    <row r="704" spans="1:10" x14ac:dyDescent="0.2">
      <c r="A704" s="1">
        <v>2135</v>
      </c>
      <c r="B704" s="1">
        <v>0</v>
      </c>
      <c r="C704" s="1">
        <v>19</v>
      </c>
      <c r="D704" s="1">
        <v>1</v>
      </c>
      <c r="E704" s="1">
        <v>2</v>
      </c>
      <c r="F704" s="1">
        <v>7</v>
      </c>
      <c r="G704" s="1">
        <v>3</v>
      </c>
      <c r="H704" s="1">
        <v>0</v>
      </c>
      <c r="I704" s="1">
        <v>1</v>
      </c>
      <c r="J704" s="1">
        <v>4</v>
      </c>
    </row>
    <row r="705" spans="1:10" x14ac:dyDescent="0.2">
      <c r="A705" s="1">
        <v>1862</v>
      </c>
      <c r="B705" s="1">
        <v>0</v>
      </c>
      <c r="C705" s="1">
        <v>6</v>
      </c>
      <c r="D705" s="1">
        <v>3</v>
      </c>
      <c r="E705" s="1">
        <v>3</v>
      </c>
      <c r="F705" s="1">
        <v>7</v>
      </c>
      <c r="G705" s="1">
        <v>3</v>
      </c>
      <c r="H705" s="1">
        <v>0</v>
      </c>
      <c r="I705" s="1">
        <v>3</v>
      </c>
      <c r="J705" s="1">
        <v>4</v>
      </c>
    </row>
    <row r="706" spans="1:10" x14ac:dyDescent="0.2">
      <c r="A706" s="1">
        <v>1760</v>
      </c>
      <c r="B706" s="1">
        <v>0</v>
      </c>
      <c r="C706" s="1">
        <v>6</v>
      </c>
      <c r="D706" s="1">
        <v>3</v>
      </c>
      <c r="E706" s="1">
        <v>1</v>
      </c>
      <c r="F706" s="1">
        <v>8</v>
      </c>
      <c r="G706" s="1">
        <v>3</v>
      </c>
      <c r="H706" s="1">
        <v>1</v>
      </c>
      <c r="I706" s="1">
        <v>0</v>
      </c>
      <c r="J706" s="1">
        <v>4</v>
      </c>
    </row>
    <row r="707" spans="1:10" x14ac:dyDescent="0.2">
      <c r="A707" s="1">
        <v>1111</v>
      </c>
      <c r="B707" s="1">
        <v>0</v>
      </c>
      <c r="C707" s="1">
        <v>14</v>
      </c>
      <c r="D707" s="1">
        <v>3</v>
      </c>
      <c r="E707" s="1">
        <v>1</v>
      </c>
      <c r="F707" s="1">
        <v>8</v>
      </c>
      <c r="G707" s="1">
        <v>3</v>
      </c>
      <c r="H707" s="1">
        <v>0</v>
      </c>
      <c r="I707" s="1">
        <v>2</v>
      </c>
      <c r="J707" s="1">
        <v>4</v>
      </c>
    </row>
    <row r="708" spans="1:10" x14ac:dyDescent="0.2">
      <c r="A708" s="1">
        <v>1117</v>
      </c>
      <c r="B708" s="1">
        <v>0</v>
      </c>
      <c r="C708" s="1">
        <v>15</v>
      </c>
      <c r="D708" s="1">
        <v>5</v>
      </c>
      <c r="E708" s="1">
        <v>1</v>
      </c>
      <c r="F708" s="1">
        <v>8</v>
      </c>
      <c r="G708" s="1">
        <v>3</v>
      </c>
      <c r="H708" s="1">
        <v>1</v>
      </c>
      <c r="I708" s="1">
        <v>2</v>
      </c>
      <c r="J708" s="1">
        <v>4</v>
      </c>
    </row>
    <row r="709" spans="1:10" x14ac:dyDescent="0.2">
      <c r="A709" s="1">
        <v>1980</v>
      </c>
      <c r="B709" s="1">
        <v>0</v>
      </c>
      <c r="C709" s="1">
        <v>7</v>
      </c>
      <c r="D709" s="1">
        <v>2</v>
      </c>
      <c r="E709" s="1">
        <v>2</v>
      </c>
      <c r="F709" s="1">
        <v>8</v>
      </c>
      <c r="G709" s="1">
        <v>3</v>
      </c>
      <c r="H709" s="1">
        <v>1</v>
      </c>
      <c r="I709" s="1">
        <v>2</v>
      </c>
      <c r="J709" s="1">
        <v>4</v>
      </c>
    </row>
    <row r="710" spans="1:10" x14ac:dyDescent="0.2">
      <c r="A710" s="1">
        <v>2071</v>
      </c>
      <c r="B710" s="1">
        <v>0</v>
      </c>
      <c r="C710" s="1">
        <v>14</v>
      </c>
      <c r="D710" s="1">
        <v>3</v>
      </c>
      <c r="E710" s="1">
        <v>2</v>
      </c>
      <c r="F710" s="1">
        <v>8</v>
      </c>
      <c r="G710" s="1">
        <v>3</v>
      </c>
      <c r="H710" s="1">
        <v>0</v>
      </c>
      <c r="I710" s="1">
        <v>0</v>
      </c>
      <c r="J710" s="1">
        <v>4</v>
      </c>
    </row>
    <row r="711" spans="1:10" x14ac:dyDescent="0.2">
      <c r="A711" s="1">
        <v>1602</v>
      </c>
      <c r="B711" s="1">
        <v>0</v>
      </c>
      <c r="C711" s="1">
        <v>7</v>
      </c>
      <c r="D711" s="1">
        <v>3</v>
      </c>
      <c r="E711" s="1">
        <v>3</v>
      </c>
      <c r="F711" s="1">
        <v>8</v>
      </c>
      <c r="G711" s="1">
        <v>3</v>
      </c>
      <c r="H711" s="1">
        <v>0</v>
      </c>
      <c r="I711" s="1">
        <v>0</v>
      </c>
      <c r="J711" s="1">
        <v>4</v>
      </c>
    </row>
    <row r="712" spans="1:10" x14ac:dyDescent="0.2">
      <c r="A712" s="1">
        <v>137</v>
      </c>
      <c r="B712" s="1">
        <v>0</v>
      </c>
      <c r="C712" s="1">
        <v>11</v>
      </c>
      <c r="D712" s="1">
        <v>4</v>
      </c>
      <c r="E712" s="1">
        <v>3</v>
      </c>
      <c r="F712" s="1">
        <v>8</v>
      </c>
      <c r="G712" s="1">
        <v>3</v>
      </c>
      <c r="H712" s="1">
        <v>1</v>
      </c>
      <c r="I712" s="1">
        <v>1</v>
      </c>
      <c r="J712" s="1">
        <v>4</v>
      </c>
    </row>
    <row r="713" spans="1:10" x14ac:dyDescent="0.2">
      <c r="A713" s="1">
        <v>563</v>
      </c>
      <c r="B713" s="1">
        <v>0</v>
      </c>
      <c r="C713" s="1">
        <v>9</v>
      </c>
      <c r="D713" s="1">
        <v>2</v>
      </c>
      <c r="E713" s="1">
        <v>3</v>
      </c>
      <c r="F713" s="1">
        <v>10</v>
      </c>
      <c r="G713" s="1">
        <v>3</v>
      </c>
      <c r="H713" s="1">
        <v>1</v>
      </c>
      <c r="I713" s="1">
        <v>1</v>
      </c>
      <c r="J713" s="1">
        <v>4</v>
      </c>
    </row>
    <row r="714" spans="1:10" x14ac:dyDescent="0.2">
      <c r="A714" s="1">
        <v>1</v>
      </c>
      <c r="B714" s="1">
        <v>0</v>
      </c>
      <c r="C714" s="1">
        <v>12</v>
      </c>
      <c r="D714" s="1">
        <v>3</v>
      </c>
      <c r="E714" s="1">
        <v>3</v>
      </c>
      <c r="F714" s="1">
        <v>10</v>
      </c>
      <c r="G714" s="1">
        <v>3</v>
      </c>
      <c r="H714" s="1">
        <v>1</v>
      </c>
      <c r="I714" s="1">
        <v>0</v>
      </c>
      <c r="J714" s="1">
        <v>4</v>
      </c>
    </row>
    <row r="715" spans="1:10" x14ac:dyDescent="0.2">
      <c r="A715" s="1">
        <v>1643</v>
      </c>
      <c r="B715" s="1">
        <v>0</v>
      </c>
      <c r="C715" s="1">
        <v>14</v>
      </c>
      <c r="D715" s="1">
        <v>5</v>
      </c>
      <c r="E715" s="1">
        <v>3</v>
      </c>
      <c r="F715" s="1">
        <v>10</v>
      </c>
      <c r="G715" s="1">
        <v>3</v>
      </c>
      <c r="H715" s="1">
        <v>0</v>
      </c>
      <c r="I715" s="1">
        <v>3</v>
      </c>
      <c r="J715" s="1">
        <v>4</v>
      </c>
    </row>
    <row r="716" spans="1:10" x14ac:dyDescent="0.2">
      <c r="A716" s="1">
        <v>1420</v>
      </c>
      <c r="B716" s="1">
        <v>0</v>
      </c>
      <c r="C716" s="1">
        <v>15</v>
      </c>
      <c r="D716" s="1">
        <v>5</v>
      </c>
      <c r="E716" s="1">
        <v>3</v>
      </c>
      <c r="F716" s="1">
        <v>10</v>
      </c>
      <c r="G716" s="1">
        <v>3</v>
      </c>
      <c r="H716" s="1">
        <v>0</v>
      </c>
      <c r="I716" s="1">
        <v>1</v>
      </c>
      <c r="J716" s="1">
        <v>4</v>
      </c>
    </row>
    <row r="717" spans="1:10" x14ac:dyDescent="0.2">
      <c r="A717" s="1">
        <v>935</v>
      </c>
      <c r="B717" s="1">
        <v>0</v>
      </c>
      <c r="C717" s="1">
        <v>17</v>
      </c>
      <c r="D717" s="1">
        <v>1</v>
      </c>
      <c r="E717" s="1">
        <v>3</v>
      </c>
      <c r="F717" s="1">
        <v>10</v>
      </c>
      <c r="G717" s="1">
        <v>3</v>
      </c>
      <c r="H717" s="1">
        <v>0</v>
      </c>
      <c r="I717" s="1">
        <v>1</v>
      </c>
      <c r="J717" s="1">
        <v>4</v>
      </c>
    </row>
    <row r="718" spans="1:10" x14ac:dyDescent="0.2">
      <c r="A718" s="1">
        <v>489</v>
      </c>
      <c r="B718" s="1">
        <v>0</v>
      </c>
      <c r="C718" s="1">
        <v>14</v>
      </c>
      <c r="D718" s="1">
        <v>1</v>
      </c>
      <c r="E718" s="1">
        <v>1</v>
      </c>
      <c r="F718" s="1">
        <v>1</v>
      </c>
      <c r="G718" s="1">
        <v>3</v>
      </c>
      <c r="H718" s="1">
        <v>1</v>
      </c>
      <c r="I718" s="1">
        <v>0</v>
      </c>
      <c r="J718" s="1">
        <v>5</v>
      </c>
    </row>
    <row r="719" spans="1:10" x14ac:dyDescent="0.2">
      <c r="A719" s="1">
        <v>415</v>
      </c>
      <c r="B719" s="1">
        <v>0</v>
      </c>
      <c r="C719" s="1">
        <v>20</v>
      </c>
      <c r="D719" s="1">
        <v>4</v>
      </c>
      <c r="E719" s="1">
        <v>1</v>
      </c>
      <c r="F719" s="1">
        <v>1</v>
      </c>
      <c r="G719" s="1">
        <v>3</v>
      </c>
      <c r="H719" s="1">
        <v>1</v>
      </c>
      <c r="I719" s="1">
        <v>1</v>
      </c>
      <c r="J719" s="1">
        <v>5</v>
      </c>
    </row>
    <row r="720" spans="1:10" x14ac:dyDescent="0.2">
      <c r="A720" s="1">
        <v>697</v>
      </c>
      <c r="B720" s="1">
        <v>0</v>
      </c>
      <c r="C720" s="1">
        <v>13</v>
      </c>
      <c r="D720" s="1">
        <v>4</v>
      </c>
      <c r="E720" s="1">
        <v>3</v>
      </c>
      <c r="F720" s="1">
        <v>1</v>
      </c>
      <c r="G720" s="1">
        <v>3</v>
      </c>
      <c r="H720" s="1">
        <v>1</v>
      </c>
      <c r="I720" s="1">
        <v>1</v>
      </c>
      <c r="J720" s="1">
        <v>5</v>
      </c>
    </row>
    <row r="721" spans="1:10" x14ac:dyDescent="0.2">
      <c r="A721" s="1">
        <v>913</v>
      </c>
      <c r="B721" s="1">
        <v>0</v>
      </c>
      <c r="C721" s="1">
        <v>11</v>
      </c>
      <c r="D721" s="1">
        <v>4</v>
      </c>
      <c r="E721" s="1">
        <v>2</v>
      </c>
      <c r="F721" s="1">
        <v>2</v>
      </c>
      <c r="G721" s="1">
        <v>3</v>
      </c>
      <c r="H721" s="1">
        <v>1</v>
      </c>
      <c r="I721" s="1">
        <v>0</v>
      </c>
      <c r="J721" s="1">
        <v>5</v>
      </c>
    </row>
    <row r="722" spans="1:10" x14ac:dyDescent="0.2">
      <c r="A722" s="1">
        <v>923</v>
      </c>
      <c r="B722" s="1">
        <v>0</v>
      </c>
      <c r="C722" s="1">
        <v>11</v>
      </c>
      <c r="D722" s="1">
        <v>2</v>
      </c>
      <c r="E722" s="1">
        <v>2</v>
      </c>
      <c r="F722" s="1">
        <v>2</v>
      </c>
      <c r="G722" s="1">
        <v>3</v>
      </c>
      <c r="H722" s="1">
        <v>1</v>
      </c>
      <c r="I722" s="1">
        <v>2</v>
      </c>
      <c r="J722" s="1">
        <v>5</v>
      </c>
    </row>
    <row r="723" spans="1:10" x14ac:dyDescent="0.2">
      <c r="A723" s="1">
        <v>126</v>
      </c>
      <c r="B723" s="1">
        <v>0</v>
      </c>
      <c r="C723" s="1">
        <v>18</v>
      </c>
      <c r="D723" s="1">
        <v>3</v>
      </c>
      <c r="E723" s="1">
        <v>2</v>
      </c>
      <c r="F723" s="1">
        <v>2</v>
      </c>
      <c r="G723" s="1">
        <v>3</v>
      </c>
      <c r="H723" s="1">
        <v>1</v>
      </c>
      <c r="I723" s="1">
        <v>0</v>
      </c>
      <c r="J723" s="1">
        <v>5</v>
      </c>
    </row>
    <row r="724" spans="1:10" x14ac:dyDescent="0.2">
      <c r="A724" s="1">
        <v>203</v>
      </c>
      <c r="B724" s="1">
        <v>0</v>
      </c>
      <c r="C724" s="1">
        <v>13</v>
      </c>
      <c r="D724" s="1">
        <v>3</v>
      </c>
      <c r="E724" s="1">
        <v>3</v>
      </c>
      <c r="F724" s="1">
        <v>2</v>
      </c>
      <c r="G724" s="1">
        <v>3</v>
      </c>
      <c r="H724" s="1">
        <v>0</v>
      </c>
      <c r="I724" s="1">
        <v>2</v>
      </c>
      <c r="J724" s="1">
        <v>5</v>
      </c>
    </row>
    <row r="725" spans="1:10" x14ac:dyDescent="0.2">
      <c r="A725" s="1">
        <v>239</v>
      </c>
      <c r="B725" s="1">
        <v>0</v>
      </c>
      <c r="C725" s="1">
        <v>19</v>
      </c>
      <c r="D725" s="1">
        <v>2</v>
      </c>
      <c r="E725" s="1">
        <v>1</v>
      </c>
      <c r="F725" s="1">
        <v>3</v>
      </c>
      <c r="G725" s="1">
        <v>3</v>
      </c>
      <c r="H725" s="1">
        <v>0</v>
      </c>
      <c r="I725" s="1">
        <v>0</v>
      </c>
      <c r="J725" s="1">
        <v>5</v>
      </c>
    </row>
    <row r="726" spans="1:10" x14ac:dyDescent="0.2">
      <c r="A726" s="1">
        <v>2125</v>
      </c>
      <c r="B726" s="1">
        <v>0</v>
      </c>
      <c r="C726" s="1">
        <v>6</v>
      </c>
      <c r="D726" s="1">
        <v>2</v>
      </c>
      <c r="E726" s="1">
        <v>2</v>
      </c>
      <c r="F726" s="1">
        <v>3</v>
      </c>
      <c r="G726" s="1">
        <v>3</v>
      </c>
      <c r="H726" s="1">
        <v>1</v>
      </c>
      <c r="I726" s="1">
        <v>2</v>
      </c>
      <c r="J726" s="1">
        <v>5</v>
      </c>
    </row>
    <row r="727" spans="1:10" x14ac:dyDescent="0.2">
      <c r="A727" s="1">
        <v>616</v>
      </c>
      <c r="B727" s="1">
        <v>0</v>
      </c>
      <c r="C727" s="1">
        <v>19</v>
      </c>
      <c r="D727" s="1">
        <v>2</v>
      </c>
      <c r="E727" s="1">
        <v>1</v>
      </c>
      <c r="F727" s="1">
        <v>4</v>
      </c>
      <c r="G727" s="1">
        <v>3</v>
      </c>
      <c r="H727" s="1">
        <v>1</v>
      </c>
      <c r="I727" s="1">
        <v>3</v>
      </c>
      <c r="J727" s="1">
        <v>5</v>
      </c>
    </row>
    <row r="728" spans="1:10" x14ac:dyDescent="0.2">
      <c r="A728" s="1">
        <v>786</v>
      </c>
      <c r="B728" s="1">
        <v>0</v>
      </c>
      <c r="C728" s="1">
        <v>5</v>
      </c>
      <c r="D728" s="1">
        <v>4</v>
      </c>
      <c r="E728" s="1">
        <v>2</v>
      </c>
      <c r="F728" s="1">
        <v>4</v>
      </c>
      <c r="G728" s="1">
        <v>3</v>
      </c>
      <c r="H728" s="1">
        <v>0</v>
      </c>
      <c r="I728" s="1">
        <v>1</v>
      </c>
      <c r="J728" s="1">
        <v>5</v>
      </c>
    </row>
    <row r="729" spans="1:10" x14ac:dyDescent="0.2">
      <c r="A729" s="1">
        <v>1459</v>
      </c>
      <c r="B729" s="1">
        <v>0</v>
      </c>
      <c r="C729" s="1">
        <v>13</v>
      </c>
      <c r="D729" s="1">
        <v>2</v>
      </c>
      <c r="E729" s="1">
        <v>2</v>
      </c>
      <c r="F729" s="1">
        <v>4</v>
      </c>
      <c r="G729" s="1">
        <v>3</v>
      </c>
      <c r="H729" s="1">
        <v>1</v>
      </c>
      <c r="I729" s="1">
        <v>1</v>
      </c>
      <c r="J729" s="1">
        <v>5</v>
      </c>
    </row>
    <row r="730" spans="1:10" x14ac:dyDescent="0.2">
      <c r="A730" s="1">
        <v>271</v>
      </c>
      <c r="B730" s="1">
        <v>0</v>
      </c>
      <c r="C730" s="1">
        <v>18</v>
      </c>
      <c r="D730" s="1">
        <v>2</v>
      </c>
      <c r="E730" s="1">
        <v>2</v>
      </c>
      <c r="F730" s="1">
        <v>4</v>
      </c>
      <c r="G730" s="1">
        <v>3</v>
      </c>
      <c r="H730" s="1">
        <v>0</v>
      </c>
      <c r="I730" s="1">
        <v>3</v>
      </c>
      <c r="J730" s="1">
        <v>5</v>
      </c>
    </row>
    <row r="731" spans="1:10" x14ac:dyDescent="0.2">
      <c r="A731" s="1">
        <v>1237</v>
      </c>
      <c r="B731" s="1">
        <v>0</v>
      </c>
      <c r="C731" s="1">
        <v>20</v>
      </c>
      <c r="D731" s="1">
        <v>5</v>
      </c>
      <c r="E731" s="1">
        <v>2</v>
      </c>
      <c r="F731" s="1">
        <v>4</v>
      </c>
      <c r="G731" s="1">
        <v>3</v>
      </c>
      <c r="H731" s="1">
        <v>1</v>
      </c>
      <c r="I731" s="1">
        <v>0</v>
      </c>
      <c r="J731" s="1">
        <v>5</v>
      </c>
    </row>
    <row r="732" spans="1:10" x14ac:dyDescent="0.2">
      <c r="A732" s="1">
        <v>2219</v>
      </c>
      <c r="B732" s="1">
        <v>0</v>
      </c>
      <c r="C732" s="1">
        <v>9</v>
      </c>
      <c r="D732" s="1">
        <v>1</v>
      </c>
      <c r="E732" s="1">
        <v>3</v>
      </c>
      <c r="F732" s="1">
        <v>4</v>
      </c>
      <c r="G732" s="1">
        <v>3</v>
      </c>
      <c r="H732" s="1">
        <v>0</v>
      </c>
      <c r="I732" s="1">
        <v>0</v>
      </c>
      <c r="J732" s="1">
        <v>5</v>
      </c>
    </row>
    <row r="733" spans="1:10" x14ac:dyDescent="0.2">
      <c r="A733" s="1">
        <v>1335</v>
      </c>
      <c r="B733" s="1">
        <v>0</v>
      </c>
      <c r="C733" s="1">
        <v>11</v>
      </c>
      <c r="D733" s="1">
        <v>4</v>
      </c>
      <c r="E733" s="1">
        <v>1</v>
      </c>
      <c r="F733" s="1">
        <v>5</v>
      </c>
      <c r="G733" s="1">
        <v>3</v>
      </c>
      <c r="H733" s="1">
        <v>1</v>
      </c>
      <c r="I733" s="1">
        <v>0</v>
      </c>
      <c r="J733" s="1">
        <v>5</v>
      </c>
    </row>
    <row r="734" spans="1:10" x14ac:dyDescent="0.2">
      <c r="A734" s="1">
        <v>95</v>
      </c>
      <c r="B734" s="1">
        <v>0</v>
      </c>
      <c r="C734" s="1">
        <v>14</v>
      </c>
      <c r="D734" s="1">
        <v>4</v>
      </c>
      <c r="E734" s="1">
        <v>1</v>
      </c>
      <c r="F734" s="1">
        <v>5</v>
      </c>
      <c r="G734" s="1">
        <v>3</v>
      </c>
      <c r="H734" s="1">
        <v>1</v>
      </c>
      <c r="I734" s="1">
        <v>0</v>
      </c>
      <c r="J734" s="1">
        <v>5</v>
      </c>
    </row>
    <row r="735" spans="1:10" x14ac:dyDescent="0.2">
      <c r="A735" s="1">
        <v>25</v>
      </c>
      <c r="B735" s="1">
        <v>0</v>
      </c>
      <c r="C735" s="1">
        <v>6</v>
      </c>
      <c r="D735" s="1">
        <v>4</v>
      </c>
      <c r="E735" s="1">
        <v>2</v>
      </c>
      <c r="F735" s="1">
        <v>5</v>
      </c>
      <c r="G735" s="1">
        <v>3</v>
      </c>
      <c r="H735" s="1">
        <v>0</v>
      </c>
      <c r="I735" s="1">
        <v>3</v>
      </c>
      <c r="J735" s="1">
        <v>5</v>
      </c>
    </row>
    <row r="736" spans="1:10" x14ac:dyDescent="0.2">
      <c r="A736" s="1">
        <v>23</v>
      </c>
      <c r="B736" s="1">
        <v>0</v>
      </c>
      <c r="C736" s="1">
        <v>16</v>
      </c>
      <c r="D736" s="1">
        <v>5</v>
      </c>
      <c r="E736" s="1">
        <v>3</v>
      </c>
      <c r="F736" s="1">
        <v>5</v>
      </c>
      <c r="G736" s="1">
        <v>3</v>
      </c>
      <c r="H736" s="1">
        <v>1</v>
      </c>
      <c r="I736" s="1">
        <v>2</v>
      </c>
      <c r="J736" s="1">
        <v>5</v>
      </c>
    </row>
    <row r="737" spans="1:10" x14ac:dyDescent="0.2">
      <c r="A737" s="1">
        <v>1593</v>
      </c>
      <c r="B737" s="1">
        <v>0</v>
      </c>
      <c r="C737" s="1">
        <v>16</v>
      </c>
      <c r="D737" s="1">
        <v>4</v>
      </c>
      <c r="E737" s="1">
        <v>3</v>
      </c>
      <c r="F737" s="1">
        <v>5</v>
      </c>
      <c r="G737" s="1">
        <v>3</v>
      </c>
      <c r="H737" s="1">
        <v>0</v>
      </c>
      <c r="I737" s="1">
        <v>1</v>
      </c>
      <c r="J737" s="1">
        <v>5</v>
      </c>
    </row>
    <row r="738" spans="1:10" x14ac:dyDescent="0.2">
      <c r="A738" s="1">
        <v>2051</v>
      </c>
      <c r="B738" s="1">
        <v>0</v>
      </c>
      <c r="C738" s="1">
        <v>17</v>
      </c>
      <c r="D738" s="1">
        <v>1</v>
      </c>
      <c r="E738" s="1">
        <v>3</v>
      </c>
      <c r="F738" s="1">
        <v>5</v>
      </c>
      <c r="G738" s="1">
        <v>3</v>
      </c>
      <c r="H738" s="1">
        <v>1</v>
      </c>
      <c r="I738" s="1">
        <v>2</v>
      </c>
      <c r="J738" s="1">
        <v>5</v>
      </c>
    </row>
    <row r="739" spans="1:10" x14ac:dyDescent="0.2">
      <c r="A739" s="1">
        <v>764</v>
      </c>
      <c r="B739" s="1">
        <v>0</v>
      </c>
      <c r="C739" s="1">
        <v>17</v>
      </c>
      <c r="D739" s="1">
        <v>3</v>
      </c>
      <c r="E739" s="1">
        <v>1</v>
      </c>
      <c r="F739" s="1">
        <v>6</v>
      </c>
      <c r="G739" s="1">
        <v>3</v>
      </c>
      <c r="H739" s="1">
        <v>0</v>
      </c>
      <c r="I739" s="1">
        <v>2</v>
      </c>
      <c r="J739" s="1">
        <v>5</v>
      </c>
    </row>
    <row r="740" spans="1:10" x14ac:dyDescent="0.2">
      <c r="A740" s="1">
        <v>1730</v>
      </c>
      <c r="B740" s="1">
        <v>0</v>
      </c>
      <c r="C740" s="1">
        <v>16</v>
      </c>
      <c r="D740" s="1">
        <v>4</v>
      </c>
      <c r="E740" s="1">
        <v>2</v>
      </c>
      <c r="F740" s="1">
        <v>6</v>
      </c>
      <c r="G740" s="1">
        <v>3</v>
      </c>
      <c r="H740" s="1">
        <v>1</v>
      </c>
      <c r="I740" s="1">
        <v>0</v>
      </c>
      <c r="J740" s="1">
        <v>5</v>
      </c>
    </row>
    <row r="741" spans="1:10" x14ac:dyDescent="0.2">
      <c r="A741" s="1">
        <v>2113</v>
      </c>
      <c r="B741" s="1">
        <v>0</v>
      </c>
      <c r="C741" s="1">
        <v>17</v>
      </c>
      <c r="D741" s="1">
        <v>5</v>
      </c>
      <c r="E741" s="1">
        <v>2</v>
      </c>
      <c r="F741" s="1">
        <v>6</v>
      </c>
      <c r="G741" s="1">
        <v>3</v>
      </c>
      <c r="H741" s="1">
        <v>1</v>
      </c>
      <c r="I741" s="1">
        <v>2</v>
      </c>
      <c r="J741" s="1">
        <v>5</v>
      </c>
    </row>
    <row r="742" spans="1:10" x14ac:dyDescent="0.2">
      <c r="A742" s="1">
        <v>965</v>
      </c>
      <c r="B742" s="1">
        <v>0</v>
      </c>
      <c r="C742" s="1">
        <v>16</v>
      </c>
      <c r="D742" s="1">
        <v>4</v>
      </c>
      <c r="E742" s="1">
        <v>3</v>
      </c>
      <c r="F742" s="1">
        <v>6</v>
      </c>
      <c r="G742" s="1">
        <v>3</v>
      </c>
      <c r="H742" s="1">
        <v>1</v>
      </c>
      <c r="I742" s="1">
        <v>2</v>
      </c>
      <c r="J742" s="1">
        <v>5</v>
      </c>
    </row>
    <row r="743" spans="1:10" x14ac:dyDescent="0.2">
      <c r="A743" s="1">
        <v>1066</v>
      </c>
      <c r="B743" s="1">
        <v>0</v>
      </c>
      <c r="C743" s="1">
        <v>11</v>
      </c>
      <c r="D743" s="1">
        <v>5</v>
      </c>
      <c r="E743" s="1">
        <v>1</v>
      </c>
      <c r="F743" s="1">
        <v>7</v>
      </c>
      <c r="G743" s="1">
        <v>3</v>
      </c>
      <c r="H743" s="1">
        <v>1</v>
      </c>
      <c r="I743" s="1">
        <v>2</v>
      </c>
      <c r="J743" s="1">
        <v>5</v>
      </c>
    </row>
    <row r="744" spans="1:10" x14ac:dyDescent="0.2">
      <c r="A744" s="1">
        <v>1550</v>
      </c>
      <c r="B744" s="1">
        <v>0</v>
      </c>
      <c r="C744" s="1">
        <v>11</v>
      </c>
      <c r="D744" s="1">
        <v>1</v>
      </c>
      <c r="E744" s="1">
        <v>2</v>
      </c>
      <c r="F744" s="1">
        <v>7</v>
      </c>
      <c r="G744" s="1">
        <v>3</v>
      </c>
      <c r="H744" s="1">
        <v>1</v>
      </c>
      <c r="I744" s="1">
        <v>0</v>
      </c>
      <c r="J744" s="1">
        <v>5</v>
      </c>
    </row>
    <row r="745" spans="1:10" x14ac:dyDescent="0.2">
      <c r="A745" s="1">
        <v>1043</v>
      </c>
      <c r="B745" s="1">
        <v>0</v>
      </c>
      <c r="C745" s="1">
        <v>16</v>
      </c>
      <c r="D745" s="1">
        <v>4</v>
      </c>
      <c r="E745" s="1">
        <v>2</v>
      </c>
      <c r="F745" s="1">
        <v>7</v>
      </c>
      <c r="G745" s="1">
        <v>3</v>
      </c>
      <c r="H745" s="1">
        <v>1</v>
      </c>
      <c r="I745" s="1">
        <v>1</v>
      </c>
      <c r="J745" s="1">
        <v>5</v>
      </c>
    </row>
    <row r="746" spans="1:10" x14ac:dyDescent="0.2">
      <c r="A746" s="1">
        <v>672</v>
      </c>
      <c r="B746" s="1">
        <v>0</v>
      </c>
      <c r="C746" s="1">
        <v>8</v>
      </c>
      <c r="D746" s="1">
        <v>4</v>
      </c>
      <c r="E746" s="1">
        <v>3</v>
      </c>
      <c r="F746" s="1">
        <v>7</v>
      </c>
      <c r="G746" s="1">
        <v>3</v>
      </c>
      <c r="H746" s="1">
        <v>0</v>
      </c>
      <c r="I746" s="1">
        <v>0</v>
      </c>
      <c r="J746" s="1">
        <v>5</v>
      </c>
    </row>
    <row r="747" spans="1:10" x14ac:dyDescent="0.2">
      <c r="A747" s="1">
        <v>978</v>
      </c>
      <c r="B747" s="1">
        <v>0</v>
      </c>
      <c r="C747" s="1">
        <v>13</v>
      </c>
      <c r="D747" s="1">
        <v>5</v>
      </c>
      <c r="E747" s="1">
        <v>2</v>
      </c>
      <c r="F747" s="1">
        <v>8</v>
      </c>
      <c r="G747" s="1">
        <v>3</v>
      </c>
      <c r="H747" s="1">
        <v>1</v>
      </c>
      <c r="I747" s="1">
        <v>2</v>
      </c>
      <c r="J747" s="1">
        <v>5</v>
      </c>
    </row>
    <row r="748" spans="1:10" x14ac:dyDescent="0.2">
      <c r="A748" s="1">
        <v>319</v>
      </c>
      <c r="B748" s="1">
        <v>0</v>
      </c>
      <c r="C748" s="1">
        <v>14</v>
      </c>
      <c r="D748" s="1">
        <v>1</v>
      </c>
      <c r="E748" s="1">
        <v>2</v>
      </c>
      <c r="F748" s="1">
        <v>8</v>
      </c>
      <c r="G748" s="1">
        <v>3</v>
      </c>
      <c r="H748" s="1">
        <v>0</v>
      </c>
      <c r="I748" s="1">
        <v>2</v>
      </c>
      <c r="J748" s="1">
        <v>5</v>
      </c>
    </row>
    <row r="749" spans="1:10" x14ac:dyDescent="0.2">
      <c r="A749" s="1">
        <v>77</v>
      </c>
      <c r="B749" s="1">
        <v>0</v>
      </c>
      <c r="C749" s="1">
        <v>16</v>
      </c>
      <c r="D749" s="1">
        <v>5</v>
      </c>
      <c r="E749" s="1">
        <v>3</v>
      </c>
      <c r="F749" s="1">
        <v>8</v>
      </c>
      <c r="G749" s="1">
        <v>3</v>
      </c>
      <c r="H749" s="1">
        <v>0</v>
      </c>
      <c r="I749" s="1">
        <v>3</v>
      </c>
      <c r="J749" s="1">
        <v>5</v>
      </c>
    </row>
    <row r="750" spans="1:10" x14ac:dyDescent="0.2">
      <c r="A750" s="1">
        <v>879</v>
      </c>
      <c r="B750" s="1">
        <v>0</v>
      </c>
      <c r="C750" s="1">
        <v>20</v>
      </c>
      <c r="D750" s="1">
        <v>2</v>
      </c>
      <c r="E750" s="1">
        <v>3</v>
      </c>
      <c r="F750" s="1">
        <v>8</v>
      </c>
      <c r="G750" s="1">
        <v>3</v>
      </c>
      <c r="H750" s="1">
        <v>0</v>
      </c>
      <c r="I750" s="1">
        <v>0</v>
      </c>
      <c r="J750" s="1">
        <v>5</v>
      </c>
    </row>
    <row r="751" spans="1:10" x14ac:dyDescent="0.2">
      <c r="A751" s="1">
        <v>1440</v>
      </c>
      <c r="B751" s="1">
        <v>0</v>
      </c>
      <c r="C751" s="1">
        <v>6</v>
      </c>
      <c r="D751" s="1">
        <v>4</v>
      </c>
      <c r="E751" s="1">
        <v>2</v>
      </c>
      <c r="F751" s="1">
        <v>9</v>
      </c>
      <c r="G751" s="1">
        <v>3</v>
      </c>
      <c r="H751" s="1">
        <v>0</v>
      </c>
      <c r="I751" s="1">
        <v>0</v>
      </c>
      <c r="J751" s="1">
        <v>5</v>
      </c>
    </row>
    <row r="752" spans="1:10" x14ac:dyDescent="0.2">
      <c r="A752" s="1">
        <v>2129</v>
      </c>
      <c r="B752" s="1">
        <v>0</v>
      </c>
      <c r="C752" s="1">
        <v>8</v>
      </c>
      <c r="D752" s="1">
        <v>4</v>
      </c>
      <c r="E752" s="1">
        <v>3</v>
      </c>
      <c r="F752" s="1">
        <v>9</v>
      </c>
      <c r="G752" s="1">
        <v>3</v>
      </c>
      <c r="H752" s="1">
        <v>0</v>
      </c>
      <c r="I752" s="1">
        <v>1</v>
      </c>
      <c r="J752" s="1">
        <v>5</v>
      </c>
    </row>
    <row r="753" spans="1:10" x14ac:dyDescent="0.2">
      <c r="A753" s="1">
        <v>291</v>
      </c>
      <c r="B753" s="1">
        <v>0</v>
      </c>
      <c r="C753" s="1">
        <v>9</v>
      </c>
      <c r="D753" s="1">
        <v>3</v>
      </c>
      <c r="E753" s="1">
        <v>3</v>
      </c>
      <c r="F753" s="1">
        <v>9</v>
      </c>
      <c r="G753" s="1">
        <v>3</v>
      </c>
      <c r="H753" s="1">
        <v>1</v>
      </c>
      <c r="I753" s="1">
        <v>3</v>
      </c>
      <c r="J753" s="1">
        <v>5</v>
      </c>
    </row>
    <row r="754" spans="1:10" x14ac:dyDescent="0.2">
      <c r="A754" s="1">
        <v>1736</v>
      </c>
      <c r="B754" s="1">
        <v>0</v>
      </c>
      <c r="C754" s="1">
        <v>11</v>
      </c>
      <c r="D754" s="1">
        <v>5</v>
      </c>
      <c r="E754" s="1">
        <v>3</v>
      </c>
      <c r="F754" s="1">
        <v>9</v>
      </c>
      <c r="G754" s="1">
        <v>3</v>
      </c>
      <c r="H754" s="1">
        <v>1</v>
      </c>
      <c r="I754" s="1">
        <v>1</v>
      </c>
      <c r="J754" s="1">
        <v>5</v>
      </c>
    </row>
    <row r="755" spans="1:10" x14ac:dyDescent="0.2">
      <c r="A755" s="1">
        <v>784</v>
      </c>
      <c r="B755" s="1">
        <v>0</v>
      </c>
      <c r="C755" s="1">
        <v>15</v>
      </c>
      <c r="D755" s="1">
        <v>5</v>
      </c>
      <c r="E755" s="1">
        <v>3</v>
      </c>
      <c r="F755" s="1">
        <v>9</v>
      </c>
      <c r="G755" s="1">
        <v>3</v>
      </c>
      <c r="H755" s="1">
        <v>1</v>
      </c>
      <c r="I755" s="1">
        <v>0</v>
      </c>
      <c r="J755" s="1">
        <v>5</v>
      </c>
    </row>
    <row r="756" spans="1:10" x14ac:dyDescent="0.2">
      <c r="A756" s="1">
        <v>807</v>
      </c>
      <c r="B756" s="1">
        <v>0</v>
      </c>
      <c r="C756" s="1">
        <v>19</v>
      </c>
      <c r="D756" s="1">
        <v>5</v>
      </c>
      <c r="E756" s="1">
        <v>3</v>
      </c>
      <c r="F756" s="1">
        <v>9</v>
      </c>
      <c r="G756" s="1">
        <v>3</v>
      </c>
      <c r="H756" s="1">
        <v>0</v>
      </c>
      <c r="I756" s="1">
        <v>3</v>
      </c>
      <c r="J756" s="1">
        <v>5</v>
      </c>
    </row>
    <row r="757" spans="1:10" x14ac:dyDescent="0.2">
      <c r="A757" s="1">
        <v>2031</v>
      </c>
      <c r="B757" s="1">
        <v>0</v>
      </c>
      <c r="C757" s="1">
        <v>17</v>
      </c>
      <c r="D757" s="1">
        <v>2</v>
      </c>
      <c r="E757" s="1">
        <v>3</v>
      </c>
      <c r="F757" s="1">
        <v>10</v>
      </c>
      <c r="G757" s="1">
        <v>3</v>
      </c>
      <c r="H757" s="1">
        <v>1</v>
      </c>
      <c r="I757" s="1">
        <v>0</v>
      </c>
      <c r="J757" s="1">
        <v>5</v>
      </c>
    </row>
    <row r="758" spans="1:10" x14ac:dyDescent="0.2">
      <c r="A758" s="1">
        <v>809</v>
      </c>
      <c r="B758" s="1">
        <v>0</v>
      </c>
      <c r="C758" s="1">
        <v>16</v>
      </c>
      <c r="D758" s="1">
        <v>1</v>
      </c>
      <c r="E758" s="1">
        <v>1</v>
      </c>
      <c r="F758" s="1">
        <v>1</v>
      </c>
      <c r="G758" s="1">
        <v>4</v>
      </c>
      <c r="H758" s="1">
        <v>0</v>
      </c>
      <c r="I758" s="1">
        <v>0</v>
      </c>
      <c r="J758" s="1">
        <v>1</v>
      </c>
    </row>
    <row r="759" spans="1:10" x14ac:dyDescent="0.2">
      <c r="A759" s="1">
        <v>509</v>
      </c>
      <c r="B759" s="1">
        <v>0</v>
      </c>
      <c r="C759" s="1">
        <v>6</v>
      </c>
      <c r="D759" s="1">
        <v>1</v>
      </c>
      <c r="E759" s="1">
        <v>2</v>
      </c>
      <c r="F759" s="1">
        <v>1</v>
      </c>
      <c r="G759" s="1">
        <v>4</v>
      </c>
      <c r="H759" s="1">
        <v>1</v>
      </c>
      <c r="I759" s="1">
        <v>2</v>
      </c>
      <c r="J759" s="1">
        <v>1</v>
      </c>
    </row>
    <row r="760" spans="1:10" x14ac:dyDescent="0.2">
      <c r="A760" s="1">
        <v>386</v>
      </c>
      <c r="B760" s="1">
        <v>0</v>
      </c>
      <c r="C760" s="1">
        <v>13</v>
      </c>
      <c r="D760" s="1">
        <v>1</v>
      </c>
      <c r="E760" s="1">
        <v>2</v>
      </c>
      <c r="F760" s="1">
        <v>1</v>
      </c>
      <c r="G760" s="1">
        <v>4</v>
      </c>
      <c r="H760" s="1">
        <v>0</v>
      </c>
      <c r="I760" s="1">
        <v>1</v>
      </c>
      <c r="J760" s="1">
        <v>1</v>
      </c>
    </row>
    <row r="761" spans="1:10" x14ac:dyDescent="0.2">
      <c r="A761" s="1">
        <v>1279</v>
      </c>
      <c r="B761" s="1">
        <v>0</v>
      </c>
      <c r="C761" s="1">
        <v>17</v>
      </c>
      <c r="D761" s="1">
        <v>2</v>
      </c>
      <c r="E761" s="1">
        <v>2</v>
      </c>
      <c r="F761" s="1">
        <v>1</v>
      </c>
      <c r="G761" s="1">
        <v>4</v>
      </c>
      <c r="H761" s="1">
        <v>1</v>
      </c>
      <c r="I761" s="1">
        <v>3</v>
      </c>
      <c r="J761" s="1">
        <v>1</v>
      </c>
    </row>
    <row r="762" spans="1:10" x14ac:dyDescent="0.2">
      <c r="A762" s="1">
        <v>1037</v>
      </c>
      <c r="B762" s="1">
        <v>0</v>
      </c>
      <c r="C762" s="1">
        <v>7</v>
      </c>
      <c r="D762" s="1">
        <v>1</v>
      </c>
      <c r="E762" s="1">
        <v>3</v>
      </c>
      <c r="F762" s="1">
        <v>1</v>
      </c>
      <c r="G762" s="1">
        <v>4</v>
      </c>
      <c r="H762" s="1">
        <v>0</v>
      </c>
      <c r="I762" s="1">
        <v>3</v>
      </c>
      <c r="J762" s="1">
        <v>1</v>
      </c>
    </row>
    <row r="763" spans="1:10" x14ac:dyDescent="0.2">
      <c r="A763" s="1">
        <v>984</v>
      </c>
      <c r="B763" s="1">
        <v>0</v>
      </c>
      <c r="C763" s="1">
        <v>18</v>
      </c>
      <c r="D763" s="1">
        <v>1</v>
      </c>
      <c r="E763" s="1">
        <v>1</v>
      </c>
      <c r="F763" s="1">
        <v>2</v>
      </c>
      <c r="G763" s="1">
        <v>4</v>
      </c>
      <c r="H763" s="1">
        <v>1</v>
      </c>
      <c r="I763" s="1">
        <v>2</v>
      </c>
      <c r="J763" s="1">
        <v>1</v>
      </c>
    </row>
    <row r="764" spans="1:10" x14ac:dyDescent="0.2">
      <c r="A764" s="1">
        <v>1955</v>
      </c>
      <c r="B764" s="1">
        <v>0</v>
      </c>
      <c r="C764" s="1">
        <v>5</v>
      </c>
      <c r="D764" s="1">
        <v>5</v>
      </c>
      <c r="E764" s="1">
        <v>2</v>
      </c>
      <c r="F764" s="1">
        <v>2</v>
      </c>
      <c r="G764" s="1">
        <v>4</v>
      </c>
      <c r="H764" s="1">
        <v>1</v>
      </c>
      <c r="I764" s="1">
        <v>0</v>
      </c>
      <c r="J764" s="1">
        <v>1</v>
      </c>
    </row>
    <row r="765" spans="1:10" x14ac:dyDescent="0.2">
      <c r="A765" s="1">
        <v>1355</v>
      </c>
      <c r="B765" s="1">
        <v>0</v>
      </c>
      <c r="C765" s="1">
        <v>7</v>
      </c>
      <c r="D765" s="1">
        <v>4</v>
      </c>
      <c r="E765" s="1">
        <v>2</v>
      </c>
      <c r="F765" s="1">
        <v>2</v>
      </c>
      <c r="G765" s="1">
        <v>4</v>
      </c>
      <c r="H765" s="1">
        <v>1</v>
      </c>
      <c r="I765" s="1">
        <v>2</v>
      </c>
      <c r="J765" s="1">
        <v>1</v>
      </c>
    </row>
    <row r="766" spans="1:10" x14ac:dyDescent="0.2">
      <c r="A766" s="1">
        <v>815</v>
      </c>
      <c r="B766" s="1">
        <v>0</v>
      </c>
      <c r="C766" s="1">
        <v>8</v>
      </c>
      <c r="D766" s="1">
        <v>2</v>
      </c>
      <c r="E766" s="1">
        <v>2</v>
      </c>
      <c r="F766" s="1">
        <v>2</v>
      </c>
      <c r="G766" s="1">
        <v>4</v>
      </c>
      <c r="H766" s="1">
        <v>0</v>
      </c>
      <c r="I766" s="1">
        <v>1</v>
      </c>
      <c r="J766" s="1">
        <v>1</v>
      </c>
    </row>
    <row r="767" spans="1:10" x14ac:dyDescent="0.2">
      <c r="A767" s="1">
        <v>276</v>
      </c>
      <c r="B767" s="1">
        <v>0</v>
      </c>
      <c r="C767" s="1">
        <v>15</v>
      </c>
      <c r="D767" s="1">
        <v>4</v>
      </c>
      <c r="E767" s="1">
        <v>3</v>
      </c>
      <c r="F767" s="1">
        <v>2</v>
      </c>
      <c r="G767" s="1">
        <v>4</v>
      </c>
      <c r="H767" s="1">
        <v>1</v>
      </c>
      <c r="I767" s="1">
        <v>1</v>
      </c>
      <c r="J767" s="1">
        <v>1</v>
      </c>
    </row>
    <row r="768" spans="1:10" x14ac:dyDescent="0.2">
      <c r="A768" s="1">
        <v>2001</v>
      </c>
      <c r="B768" s="1">
        <v>0</v>
      </c>
      <c r="C768" s="1">
        <v>15</v>
      </c>
      <c r="D768" s="1">
        <v>3</v>
      </c>
      <c r="E768" s="1">
        <v>3</v>
      </c>
      <c r="F768" s="1">
        <v>2</v>
      </c>
      <c r="G768" s="1">
        <v>4</v>
      </c>
      <c r="H768" s="1">
        <v>0</v>
      </c>
      <c r="I768" s="1">
        <v>1</v>
      </c>
      <c r="J768" s="1">
        <v>1</v>
      </c>
    </row>
    <row r="769" spans="1:10" x14ac:dyDescent="0.2">
      <c r="A769" s="1">
        <v>1496</v>
      </c>
      <c r="B769" s="1">
        <v>0</v>
      </c>
      <c r="C769" s="1">
        <v>8</v>
      </c>
      <c r="D769" s="1">
        <v>2</v>
      </c>
      <c r="E769" s="1">
        <v>3</v>
      </c>
      <c r="F769" s="1">
        <v>3</v>
      </c>
      <c r="G769" s="1">
        <v>4</v>
      </c>
      <c r="H769" s="1">
        <v>0</v>
      </c>
      <c r="I769" s="1">
        <v>2</v>
      </c>
      <c r="J769" s="1">
        <v>1</v>
      </c>
    </row>
    <row r="770" spans="1:10" x14ac:dyDescent="0.2">
      <c r="A770" s="1">
        <v>1660</v>
      </c>
      <c r="B770" s="1">
        <v>0</v>
      </c>
      <c r="C770" s="1">
        <v>17</v>
      </c>
      <c r="D770" s="1">
        <v>4</v>
      </c>
      <c r="E770" s="1">
        <v>3</v>
      </c>
      <c r="F770" s="1">
        <v>3</v>
      </c>
      <c r="G770" s="1">
        <v>4</v>
      </c>
      <c r="H770" s="1">
        <v>1</v>
      </c>
      <c r="I770" s="1">
        <v>1</v>
      </c>
      <c r="J770" s="1">
        <v>1</v>
      </c>
    </row>
    <row r="771" spans="1:10" x14ac:dyDescent="0.2">
      <c r="A771" s="1">
        <v>1769</v>
      </c>
      <c r="B771" s="1">
        <v>0</v>
      </c>
      <c r="C771" s="1">
        <v>20</v>
      </c>
      <c r="D771" s="1">
        <v>4</v>
      </c>
      <c r="E771" s="1">
        <v>3</v>
      </c>
      <c r="F771" s="1">
        <v>3</v>
      </c>
      <c r="G771" s="1">
        <v>4</v>
      </c>
      <c r="H771" s="1">
        <v>1</v>
      </c>
      <c r="I771" s="1">
        <v>2</v>
      </c>
      <c r="J771" s="1">
        <v>1</v>
      </c>
    </row>
    <row r="772" spans="1:10" x14ac:dyDescent="0.2">
      <c r="A772" s="1">
        <v>400</v>
      </c>
      <c r="B772" s="1">
        <v>0</v>
      </c>
      <c r="C772" s="1">
        <v>12</v>
      </c>
      <c r="D772" s="1">
        <v>2</v>
      </c>
      <c r="E772" s="1">
        <v>1</v>
      </c>
      <c r="F772" s="1">
        <v>4</v>
      </c>
      <c r="G772" s="1">
        <v>4</v>
      </c>
      <c r="H772" s="1">
        <v>1</v>
      </c>
      <c r="I772" s="1">
        <v>2</v>
      </c>
      <c r="J772" s="1">
        <v>1</v>
      </c>
    </row>
    <row r="773" spans="1:10" x14ac:dyDescent="0.2">
      <c r="A773" s="1">
        <v>1722</v>
      </c>
      <c r="B773" s="1">
        <v>0</v>
      </c>
      <c r="C773" s="1">
        <v>12</v>
      </c>
      <c r="D773" s="1">
        <v>1</v>
      </c>
      <c r="E773" s="1">
        <v>1</v>
      </c>
      <c r="F773" s="1">
        <v>4</v>
      </c>
      <c r="G773" s="1">
        <v>4</v>
      </c>
      <c r="H773" s="1">
        <v>1</v>
      </c>
      <c r="I773" s="1">
        <v>1</v>
      </c>
      <c r="J773" s="1">
        <v>1</v>
      </c>
    </row>
    <row r="774" spans="1:10" x14ac:dyDescent="0.2">
      <c r="A774" s="1">
        <v>1948</v>
      </c>
      <c r="B774" s="1">
        <v>0</v>
      </c>
      <c r="C774" s="1">
        <v>15</v>
      </c>
      <c r="D774" s="1">
        <v>5</v>
      </c>
      <c r="E774" s="1">
        <v>1</v>
      </c>
      <c r="F774" s="1">
        <v>4</v>
      </c>
      <c r="G774" s="1">
        <v>4</v>
      </c>
      <c r="H774" s="1">
        <v>1</v>
      </c>
      <c r="I774" s="1">
        <v>2</v>
      </c>
      <c r="J774" s="1">
        <v>1</v>
      </c>
    </row>
    <row r="775" spans="1:10" x14ac:dyDescent="0.2">
      <c r="A775" s="1">
        <v>1904</v>
      </c>
      <c r="B775" s="1">
        <v>0</v>
      </c>
      <c r="C775" s="1">
        <v>10</v>
      </c>
      <c r="D775" s="1">
        <v>4</v>
      </c>
      <c r="E775" s="1">
        <v>2</v>
      </c>
      <c r="F775" s="1">
        <v>4</v>
      </c>
      <c r="G775" s="1">
        <v>4</v>
      </c>
      <c r="H775" s="1">
        <v>0</v>
      </c>
      <c r="I775" s="1">
        <v>0</v>
      </c>
      <c r="J775" s="1">
        <v>1</v>
      </c>
    </row>
    <row r="776" spans="1:10" x14ac:dyDescent="0.2">
      <c r="A776" s="1">
        <v>1814</v>
      </c>
      <c r="B776" s="1">
        <v>0</v>
      </c>
      <c r="C776" s="1">
        <v>9</v>
      </c>
      <c r="D776" s="1">
        <v>1</v>
      </c>
      <c r="E776" s="1">
        <v>3</v>
      </c>
      <c r="F776" s="1">
        <v>4</v>
      </c>
      <c r="G776" s="1">
        <v>4</v>
      </c>
      <c r="H776" s="1">
        <v>1</v>
      </c>
      <c r="I776" s="1">
        <v>3</v>
      </c>
      <c r="J776" s="1">
        <v>1</v>
      </c>
    </row>
    <row r="777" spans="1:10" x14ac:dyDescent="0.2">
      <c r="A777" s="1">
        <v>1820</v>
      </c>
      <c r="B777" s="1">
        <v>0</v>
      </c>
      <c r="C777" s="1">
        <v>10</v>
      </c>
      <c r="D777" s="1">
        <v>4</v>
      </c>
      <c r="E777" s="1">
        <v>3</v>
      </c>
      <c r="F777" s="1">
        <v>4</v>
      </c>
      <c r="G777" s="1">
        <v>4</v>
      </c>
      <c r="H777" s="1">
        <v>1</v>
      </c>
      <c r="I777" s="1">
        <v>3</v>
      </c>
      <c r="J777" s="1">
        <v>1</v>
      </c>
    </row>
    <row r="778" spans="1:10" x14ac:dyDescent="0.2">
      <c r="A778" s="1">
        <v>1711</v>
      </c>
      <c r="B778" s="1">
        <v>0</v>
      </c>
      <c r="C778" s="1">
        <v>13</v>
      </c>
      <c r="D778" s="1">
        <v>1</v>
      </c>
      <c r="E778" s="1">
        <v>3</v>
      </c>
      <c r="F778" s="1">
        <v>4</v>
      </c>
      <c r="G778" s="1">
        <v>4</v>
      </c>
      <c r="H778" s="1">
        <v>1</v>
      </c>
      <c r="I778" s="1">
        <v>1</v>
      </c>
      <c r="J778" s="1">
        <v>1</v>
      </c>
    </row>
    <row r="779" spans="1:10" x14ac:dyDescent="0.2">
      <c r="A779" s="1">
        <v>1177</v>
      </c>
      <c r="B779" s="1">
        <v>0</v>
      </c>
      <c r="C779" s="1">
        <v>15</v>
      </c>
      <c r="D779" s="1">
        <v>4</v>
      </c>
      <c r="E779" s="1">
        <v>3</v>
      </c>
      <c r="F779" s="1">
        <v>4</v>
      </c>
      <c r="G779" s="1">
        <v>4</v>
      </c>
      <c r="H779" s="1">
        <v>0</v>
      </c>
      <c r="I779" s="1">
        <v>0</v>
      </c>
      <c r="J779" s="1">
        <v>1</v>
      </c>
    </row>
    <row r="780" spans="1:10" x14ac:dyDescent="0.2">
      <c r="A780" s="1">
        <v>1192</v>
      </c>
      <c r="B780" s="1">
        <v>0</v>
      </c>
      <c r="C780" s="1">
        <v>14</v>
      </c>
      <c r="D780" s="1">
        <v>4</v>
      </c>
      <c r="E780" s="1">
        <v>1</v>
      </c>
      <c r="F780" s="1">
        <v>5</v>
      </c>
      <c r="G780" s="1">
        <v>4</v>
      </c>
      <c r="H780" s="1">
        <v>0</v>
      </c>
      <c r="I780" s="1">
        <v>1</v>
      </c>
      <c r="J780" s="1">
        <v>1</v>
      </c>
    </row>
    <row r="781" spans="1:10" x14ac:dyDescent="0.2">
      <c r="A781" s="1">
        <v>1391</v>
      </c>
      <c r="B781" s="1">
        <v>0</v>
      </c>
      <c r="C781" s="1">
        <v>15</v>
      </c>
      <c r="D781" s="1">
        <v>2</v>
      </c>
      <c r="E781" s="1">
        <v>1</v>
      </c>
      <c r="F781" s="1">
        <v>5</v>
      </c>
      <c r="G781" s="1">
        <v>4</v>
      </c>
      <c r="H781" s="1">
        <v>0</v>
      </c>
      <c r="I781" s="1">
        <v>1</v>
      </c>
      <c r="J781" s="1">
        <v>1</v>
      </c>
    </row>
    <row r="782" spans="1:10" x14ac:dyDescent="0.2">
      <c r="A782" s="1">
        <v>1250</v>
      </c>
      <c r="B782" s="1">
        <v>0</v>
      </c>
      <c r="C782" s="1">
        <v>20</v>
      </c>
      <c r="D782" s="1">
        <v>4</v>
      </c>
      <c r="E782" s="1">
        <v>1</v>
      </c>
      <c r="F782" s="1">
        <v>5</v>
      </c>
      <c r="G782" s="1">
        <v>4</v>
      </c>
      <c r="H782" s="1">
        <v>1</v>
      </c>
      <c r="I782" s="1">
        <v>1</v>
      </c>
      <c r="J782" s="1">
        <v>1</v>
      </c>
    </row>
    <row r="783" spans="1:10" x14ac:dyDescent="0.2">
      <c r="A783" s="1">
        <v>2017</v>
      </c>
      <c r="B783" s="1">
        <v>0</v>
      </c>
      <c r="C783" s="1">
        <v>16</v>
      </c>
      <c r="D783" s="1">
        <v>2</v>
      </c>
      <c r="E783" s="1">
        <v>3</v>
      </c>
      <c r="F783" s="1">
        <v>5</v>
      </c>
      <c r="G783" s="1">
        <v>4</v>
      </c>
      <c r="H783" s="1">
        <v>1</v>
      </c>
      <c r="I783" s="1">
        <v>0</v>
      </c>
      <c r="J783" s="1">
        <v>1</v>
      </c>
    </row>
    <row r="784" spans="1:10" x14ac:dyDescent="0.2">
      <c r="A784" s="1">
        <v>408</v>
      </c>
      <c r="B784" s="1">
        <v>0</v>
      </c>
      <c r="C784" s="1">
        <v>19</v>
      </c>
      <c r="D784" s="1">
        <v>5</v>
      </c>
      <c r="E784" s="1">
        <v>3</v>
      </c>
      <c r="F784" s="1">
        <v>5</v>
      </c>
      <c r="G784" s="1">
        <v>4</v>
      </c>
      <c r="H784" s="1">
        <v>0</v>
      </c>
      <c r="I784" s="1">
        <v>3</v>
      </c>
      <c r="J784" s="1">
        <v>1</v>
      </c>
    </row>
    <row r="785" spans="1:10" x14ac:dyDescent="0.2">
      <c r="A785" s="1">
        <v>1450</v>
      </c>
      <c r="B785" s="1">
        <v>0</v>
      </c>
      <c r="C785" s="1">
        <v>13</v>
      </c>
      <c r="D785" s="1">
        <v>3</v>
      </c>
      <c r="E785" s="1">
        <v>1</v>
      </c>
      <c r="F785" s="1">
        <v>6</v>
      </c>
      <c r="G785" s="1">
        <v>4</v>
      </c>
      <c r="H785" s="1">
        <v>1</v>
      </c>
      <c r="I785" s="1">
        <v>2</v>
      </c>
      <c r="J785" s="1">
        <v>1</v>
      </c>
    </row>
    <row r="786" spans="1:10" x14ac:dyDescent="0.2">
      <c r="A786" s="1">
        <v>960</v>
      </c>
      <c r="B786" s="1">
        <v>0</v>
      </c>
      <c r="C786" s="1">
        <v>5</v>
      </c>
      <c r="D786" s="1">
        <v>4</v>
      </c>
      <c r="E786" s="1">
        <v>3</v>
      </c>
      <c r="F786" s="1">
        <v>6</v>
      </c>
      <c r="G786" s="1">
        <v>4</v>
      </c>
      <c r="H786" s="1">
        <v>0</v>
      </c>
      <c r="I786" s="1">
        <v>1</v>
      </c>
      <c r="J786" s="1">
        <v>1</v>
      </c>
    </row>
    <row r="787" spans="1:10" x14ac:dyDescent="0.2">
      <c r="A787" s="1">
        <v>302</v>
      </c>
      <c r="B787" s="1">
        <v>0</v>
      </c>
      <c r="C787" s="1">
        <v>5</v>
      </c>
      <c r="D787" s="1">
        <v>5</v>
      </c>
      <c r="E787" s="1">
        <v>1</v>
      </c>
      <c r="F787" s="1">
        <v>7</v>
      </c>
      <c r="G787" s="1">
        <v>4</v>
      </c>
      <c r="H787" s="1">
        <v>1</v>
      </c>
      <c r="I787" s="1">
        <v>1</v>
      </c>
      <c r="J787" s="1">
        <v>1</v>
      </c>
    </row>
    <row r="788" spans="1:10" x14ac:dyDescent="0.2">
      <c r="A788" s="1">
        <v>250</v>
      </c>
      <c r="B788" s="1">
        <v>0</v>
      </c>
      <c r="C788" s="1">
        <v>16</v>
      </c>
      <c r="D788" s="1">
        <v>2</v>
      </c>
      <c r="E788" s="1">
        <v>2</v>
      </c>
      <c r="F788" s="1">
        <v>7</v>
      </c>
      <c r="G788" s="1">
        <v>4</v>
      </c>
      <c r="H788" s="1">
        <v>0</v>
      </c>
      <c r="I788" s="1">
        <v>3</v>
      </c>
      <c r="J788" s="1">
        <v>1</v>
      </c>
    </row>
    <row r="789" spans="1:10" x14ac:dyDescent="0.2">
      <c r="A789" s="1">
        <v>366</v>
      </c>
      <c r="B789" s="1">
        <v>0</v>
      </c>
      <c r="C789" s="1">
        <v>16</v>
      </c>
      <c r="D789" s="1">
        <v>4</v>
      </c>
      <c r="E789" s="1">
        <v>2</v>
      </c>
      <c r="F789" s="1">
        <v>7</v>
      </c>
      <c r="G789" s="1">
        <v>4</v>
      </c>
      <c r="H789" s="1">
        <v>0</v>
      </c>
      <c r="I789" s="1">
        <v>1</v>
      </c>
      <c r="J789" s="1">
        <v>1</v>
      </c>
    </row>
    <row r="790" spans="1:10" x14ac:dyDescent="0.2">
      <c r="A790" s="1">
        <v>1340</v>
      </c>
      <c r="B790" s="1">
        <v>0</v>
      </c>
      <c r="C790" s="1">
        <v>20</v>
      </c>
      <c r="D790" s="1">
        <v>3</v>
      </c>
      <c r="E790" s="1">
        <v>2</v>
      </c>
      <c r="F790" s="1">
        <v>7</v>
      </c>
      <c r="G790" s="1">
        <v>4</v>
      </c>
      <c r="H790" s="1">
        <v>0</v>
      </c>
      <c r="I790" s="1">
        <v>0</v>
      </c>
      <c r="J790" s="1">
        <v>1</v>
      </c>
    </row>
    <row r="791" spans="1:10" x14ac:dyDescent="0.2">
      <c r="A791" s="1">
        <v>1264</v>
      </c>
      <c r="B791" s="1">
        <v>0</v>
      </c>
      <c r="C791" s="1">
        <v>18</v>
      </c>
      <c r="D791" s="1">
        <v>4</v>
      </c>
      <c r="E791" s="1">
        <v>3</v>
      </c>
      <c r="F791" s="1">
        <v>7</v>
      </c>
      <c r="G791" s="1">
        <v>4</v>
      </c>
      <c r="H791" s="1">
        <v>0</v>
      </c>
      <c r="I791" s="1">
        <v>2</v>
      </c>
      <c r="J791" s="1">
        <v>1</v>
      </c>
    </row>
    <row r="792" spans="1:10" x14ac:dyDescent="0.2">
      <c r="A792" s="1">
        <v>953</v>
      </c>
      <c r="B792" s="1">
        <v>0</v>
      </c>
      <c r="C792" s="1">
        <v>9</v>
      </c>
      <c r="D792" s="1">
        <v>4</v>
      </c>
      <c r="E792" s="1">
        <v>1</v>
      </c>
      <c r="F792" s="1">
        <v>8</v>
      </c>
      <c r="G792" s="1">
        <v>4</v>
      </c>
      <c r="H792" s="1">
        <v>1</v>
      </c>
      <c r="I792" s="1">
        <v>1</v>
      </c>
      <c r="J792" s="1">
        <v>1</v>
      </c>
    </row>
    <row r="793" spans="1:10" x14ac:dyDescent="0.2">
      <c r="A793" s="1">
        <v>768</v>
      </c>
      <c r="B793" s="1">
        <v>0</v>
      </c>
      <c r="C793" s="1">
        <v>9</v>
      </c>
      <c r="D793" s="1">
        <v>5</v>
      </c>
      <c r="E793" s="1">
        <v>3</v>
      </c>
      <c r="F793" s="1">
        <v>8</v>
      </c>
      <c r="G793" s="1">
        <v>4</v>
      </c>
      <c r="H793" s="1">
        <v>1</v>
      </c>
      <c r="I793" s="1">
        <v>0</v>
      </c>
      <c r="J793" s="1">
        <v>1</v>
      </c>
    </row>
    <row r="794" spans="1:10" x14ac:dyDescent="0.2">
      <c r="A794" s="1">
        <v>584</v>
      </c>
      <c r="B794" s="1">
        <v>0</v>
      </c>
      <c r="C794" s="1">
        <v>14</v>
      </c>
      <c r="D794" s="1">
        <v>4</v>
      </c>
      <c r="E794" s="1">
        <v>3</v>
      </c>
      <c r="F794" s="1">
        <v>8</v>
      </c>
      <c r="G794" s="1">
        <v>4</v>
      </c>
      <c r="H794" s="1">
        <v>0</v>
      </c>
      <c r="I794" s="1">
        <v>2</v>
      </c>
      <c r="J794" s="1">
        <v>1</v>
      </c>
    </row>
    <row r="795" spans="1:10" x14ac:dyDescent="0.2">
      <c r="A795" s="1">
        <v>874</v>
      </c>
      <c r="B795" s="1">
        <v>0</v>
      </c>
      <c r="C795" s="1">
        <v>5</v>
      </c>
      <c r="D795" s="1">
        <v>2</v>
      </c>
      <c r="E795" s="1">
        <v>3</v>
      </c>
      <c r="F795" s="1">
        <v>9</v>
      </c>
      <c r="G795" s="1">
        <v>4</v>
      </c>
      <c r="H795" s="1">
        <v>1</v>
      </c>
      <c r="I795" s="1">
        <v>0</v>
      </c>
      <c r="J795" s="1">
        <v>1</v>
      </c>
    </row>
    <row r="796" spans="1:10" x14ac:dyDescent="0.2">
      <c r="A796" s="1">
        <v>833</v>
      </c>
      <c r="B796" s="1">
        <v>0</v>
      </c>
      <c r="C796" s="1">
        <v>11</v>
      </c>
      <c r="D796" s="1">
        <v>1</v>
      </c>
      <c r="E796" s="1">
        <v>3</v>
      </c>
      <c r="F796" s="1">
        <v>9</v>
      </c>
      <c r="G796" s="1">
        <v>4</v>
      </c>
      <c r="H796" s="1">
        <v>0</v>
      </c>
      <c r="I796" s="1">
        <v>3</v>
      </c>
      <c r="J796" s="1">
        <v>1</v>
      </c>
    </row>
    <row r="797" spans="1:10" x14ac:dyDescent="0.2">
      <c r="A797" s="1">
        <v>845</v>
      </c>
      <c r="B797" s="1">
        <v>0</v>
      </c>
      <c r="C797" s="1">
        <v>18</v>
      </c>
      <c r="D797" s="1">
        <v>3</v>
      </c>
      <c r="E797" s="1">
        <v>3</v>
      </c>
      <c r="F797" s="1">
        <v>9</v>
      </c>
      <c r="G797" s="1">
        <v>4</v>
      </c>
      <c r="H797" s="1">
        <v>0</v>
      </c>
      <c r="I797" s="1">
        <v>0</v>
      </c>
      <c r="J797" s="1">
        <v>1</v>
      </c>
    </row>
    <row r="798" spans="1:10" x14ac:dyDescent="0.2">
      <c r="A798" s="1">
        <v>1833</v>
      </c>
      <c r="B798" s="1">
        <v>0</v>
      </c>
      <c r="C798" s="1">
        <v>16</v>
      </c>
      <c r="D798" s="1">
        <v>3</v>
      </c>
      <c r="E798" s="1">
        <v>1</v>
      </c>
      <c r="F798" s="1">
        <v>10</v>
      </c>
      <c r="G798" s="1">
        <v>4</v>
      </c>
      <c r="H798" s="1">
        <v>1</v>
      </c>
      <c r="I798" s="1">
        <v>1</v>
      </c>
      <c r="J798" s="1">
        <v>1</v>
      </c>
    </row>
    <row r="799" spans="1:10" x14ac:dyDescent="0.2">
      <c r="A799" s="1">
        <v>1936</v>
      </c>
      <c r="B799" s="1">
        <v>0</v>
      </c>
      <c r="C799" s="1">
        <v>5</v>
      </c>
      <c r="D799" s="1">
        <v>2</v>
      </c>
      <c r="E799" s="1">
        <v>2</v>
      </c>
      <c r="F799" s="1">
        <v>10</v>
      </c>
      <c r="G799" s="1">
        <v>4</v>
      </c>
      <c r="H799" s="1">
        <v>0</v>
      </c>
      <c r="I799" s="1">
        <v>2</v>
      </c>
      <c r="J799" s="1">
        <v>1</v>
      </c>
    </row>
    <row r="800" spans="1:10" x14ac:dyDescent="0.2">
      <c r="A800" s="1">
        <v>2078</v>
      </c>
      <c r="B800" s="1">
        <v>0</v>
      </c>
      <c r="C800" s="1">
        <v>5</v>
      </c>
      <c r="D800" s="1">
        <v>1</v>
      </c>
      <c r="E800" s="1">
        <v>3</v>
      </c>
      <c r="F800" s="1">
        <v>10</v>
      </c>
      <c r="G800" s="1">
        <v>4</v>
      </c>
      <c r="H800" s="1">
        <v>0</v>
      </c>
      <c r="I800" s="1">
        <v>0</v>
      </c>
      <c r="J800" s="1">
        <v>1</v>
      </c>
    </row>
    <row r="801" spans="1:10" x14ac:dyDescent="0.2">
      <c r="A801" s="1">
        <v>1571</v>
      </c>
      <c r="B801" s="1">
        <v>0</v>
      </c>
      <c r="C801" s="1">
        <v>6</v>
      </c>
      <c r="D801" s="1">
        <v>4</v>
      </c>
      <c r="E801" s="1">
        <v>3</v>
      </c>
      <c r="F801" s="1">
        <v>10</v>
      </c>
      <c r="G801" s="1">
        <v>4</v>
      </c>
      <c r="H801" s="1">
        <v>0</v>
      </c>
      <c r="I801" s="1">
        <v>2</v>
      </c>
      <c r="J801" s="1">
        <v>1</v>
      </c>
    </row>
    <row r="802" spans="1:10" x14ac:dyDescent="0.2">
      <c r="A802" s="1">
        <v>983</v>
      </c>
      <c r="B802" s="1">
        <v>0</v>
      </c>
      <c r="C802" s="1">
        <v>19</v>
      </c>
      <c r="D802" s="1">
        <v>3</v>
      </c>
      <c r="E802" s="1">
        <v>3</v>
      </c>
      <c r="F802" s="1">
        <v>10</v>
      </c>
      <c r="G802" s="1">
        <v>4</v>
      </c>
      <c r="H802" s="1">
        <v>1</v>
      </c>
      <c r="I802" s="1">
        <v>3</v>
      </c>
      <c r="J802" s="1">
        <v>1</v>
      </c>
    </row>
    <row r="803" spans="1:10" x14ac:dyDescent="0.2">
      <c r="A803" s="1">
        <v>1583</v>
      </c>
      <c r="B803" s="1">
        <v>0</v>
      </c>
      <c r="C803" s="1">
        <v>12</v>
      </c>
      <c r="D803" s="1">
        <v>3</v>
      </c>
      <c r="E803" s="1">
        <v>1</v>
      </c>
      <c r="F803" s="1">
        <v>1</v>
      </c>
      <c r="G803" s="1">
        <v>4</v>
      </c>
      <c r="H803" s="1">
        <v>1</v>
      </c>
      <c r="I803" s="1">
        <v>0</v>
      </c>
      <c r="J803" s="1">
        <v>2</v>
      </c>
    </row>
    <row r="804" spans="1:10" x14ac:dyDescent="0.2">
      <c r="A804" s="1">
        <v>1973</v>
      </c>
      <c r="B804" s="1">
        <v>0</v>
      </c>
      <c r="C804" s="1">
        <v>20</v>
      </c>
      <c r="D804" s="1">
        <v>1</v>
      </c>
      <c r="E804" s="1">
        <v>2</v>
      </c>
      <c r="F804" s="1">
        <v>1</v>
      </c>
      <c r="G804" s="1">
        <v>4</v>
      </c>
      <c r="H804" s="1">
        <v>0</v>
      </c>
      <c r="I804" s="1">
        <v>0</v>
      </c>
      <c r="J804" s="1">
        <v>2</v>
      </c>
    </row>
    <row r="805" spans="1:10" x14ac:dyDescent="0.2">
      <c r="A805" s="1">
        <v>1478</v>
      </c>
      <c r="B805" s="1">
        <v>0</v>
      </c>
      <c r="C805" s="1">
        <v>6</v>
      </c>
      <c r="D805" s="1">
        <v>2</v>
      </c>
      <c r="E805" s="1">
        <v>3</v>
      </c>
      <c r="F805" s="1">
        <v>1</v>
      </c>
      <c r="G805" s="1">
        <v>4</v>
      </c>
      <c r="H805" s="1">
        <v>0</v>
      </c>
      <c r="I805" s="1">
        <v>3</v>
      </c>
      <c r="J805" s="1">
        <v>2</v>
      </c>
    </row>
    <row r="806" spans="1:10" x14ac:dyDescent="0.2">
      <c r="A806" s="1">
        <v>2285</v>
      </c>
      <c r="B806" s="1">
        <v>0</v>
      </c>
      <c r="C806" s="1">
        <v>16</v>
      </c>
      <c r="D806" s="1">
        <v>4</v>
      </c>
      <c r="E806" s="1">
        <v>1</v>
      </c>
      <c r="F806" s="1">
        <v>2</v>
      </c>
      <c r="G806" s="1">
        <v>4</v>
      </c>
      <c r="H806" s="1">
        <v>0</v>
      </c>
      <c r="I806" s="1">
        <v>1</v>
      </c>
      <c r="J806" s="1">
        <v>2</v>
      </c>
    </row>
    <row r="807" spans="1:10" x14ac:dyDescent="0.2">
      <c r="A807" s="1">
        <v>224</v>
      </c>
      <c r="B807" s="1">
        <v>0</v>
      </c>
      <c r="C807" s="1">
        <v>6</v>
      </c>
      <c r="D807" s="1">
        <v>5</v>
      </c>
      <c r="E807" s="1">
        <v>2</v>
      </c>
      <c r="F807" s="1">
        <v>2</v>
      </c>
      <c r="G807" s="1">
        <v>4</v>
      </c>
      <c r="H807" s="1">
        <v>1</v>
      </c>
      <c r="I807" s="1">
        <v>1</v>
      </c>
      <c r="J807" s="1">
        <v>2</v>
      </c>
    </row>
    <row r="808" spans="1:10" x14ac:dyDescent="0.2">
      <c r="A808" s="1">
        <v>2244</v>
      </c>
      <c r="B808" s="1">
        <v>0</v>
      </c>
      <c r="C808" s="1">
        <v>7</v>
      </c>
      <c r="D808" s="1">
        <v>1</v>
      </c>
      <c r="E808" s="1">
        <v>2</v>
      </c>
      <c r="F808" s="1">
        <v>2</v>
      </c>
      <c r="G808" s="1">
        <v>4</v>
      </c>
      <c r="H808" s="1">
        <v>1</v>
      </c>
      <c r="I808" s="1">
        <v>0</v>
      </c>
      <c r="J808" s="1">
        <v>2</v>
      </c>
    </row>
    <row r="809" spans="1:10" x14ac:dyDescent="0.2">
      <c r="A809" s="1">
        <v>954</v>
      </c>
      <c r="B809" s="1">
        <v>0</v>
      </c>
      <c r="C809" s="1">
        <v>5</v>
      </c>
      <c r="D809" s="1">
        <v>4</v>
      </c>
      <c r="E809" s="1">
        <v>3</v>
      </c>
      <c r="F809" s="1">
        <v>2</v>
      </c>
      <c r="G809" s="1">
        <v>4</v>
      </c>
      <c r="H809" s="1">
        <v>1</v>
      </c>
      <c r="I809" s="1">
        <v>0</v>
      </c>
      <c r="J809" s="1">
        <v>2</v>
      </c>
    </row>
    <row r="810" spans="1:10" x14ac:dyDescent="0.2">
      <c r="A810" s="1">
        <v>1123</v>
      </c>
      <c r="B810" s="1">
        <v>0</v>
      </c>
      <c r="C810" s="1">
        <v>14</v>
      </c>
      <c r="D810" s="1">
        <v>1</v>
      </c>
      <c r="E810" s="1">
        <v>3</v>
      </c>
      <c r="F810" s="1">
        <v>2</v>
      </c>
      <c r="G810" s="1">
        <v>4</v>
      </c>
      <c r="H810" s="1">
        <v>0</v>
      </c>
      <c r="I810" s="1">
        <v>2</v>
      </c>
      <c r="J810" s="1">
        <v>2</v>
      </c>
    </row>
    <row r="811" spans="1:10" x14ac:dyDescent="0.2">
      <c r="A811" s="1">
        <v>2342</v>
      </c>
      <c r="B811" s="1">
        <v>0</v>
      </c>
      <c r="C811" s="1">
        <v>7</v>
      </c>
      <c r="D811" s="1">
        <v>5</v>
      </c>
      <c r="E811" s="1">
        <v>1</v>
      </c>
      <c r="F811" s="1">
        <v>3</v>
      </c>
      <c r="G811" s="1">
        <v>4</v>
      </c>
      <c r="H811" s="1">
        <v>1</v>
      </c>
      <c r="I811" s="1">
        <v>1</v>
      </c>
      <c r="J811" s="1">
        <v>2</v>
      </c>
    </row>
    <row r="812" spans="1:10" x14ac:dyDescent="0.2">
      <c r="A812" s="1">
        <v>1770</v>
      </c>
      <c r="B812" s="1">
        <v>0</v>
      </c>
      <c r="C812" s="1">
        <v>12</v>
      </c>
      <c r="D812" s="1">
        <v>3</v>
      </c>
      <c r="E812" s="1">
        <v>2</v>
      </c>
      <c r="F812" s="1">
        <v>3</v>
      </c>
      <c r="G812" s="1">
        <v>4</v>
      </c>
      <c r="H812" s="1">
        <v>1</v>
      </c>
      <c r="I812" s="1">
        <v>1</v>
      </c>
      <c r="J812" s="1">
        <v>2</v>
      </c>
    </row>
    <row r="813" spans="1:10" x14ac:dyDescent="0.2">
      <c r="A813" s="1">
        <v>313</v>
      </c>
      <c r="B813" s="1">
        <v>0</v>
      </c>
      <c r="C813" s="1">
        <v>18</v>
      </c>
      <c r="D813" s="1">
        <v>1</v>
      </c>
      <c r="E813" s="1">
        <v>3</v>
      </c>
      <c r="F813" s="1">
        <v>3</v>
      </c>
      <c r="G813" s="1">
        <v>4</v>
      </c>
      <c r="H813" s="1">
        <v>0</v>
      </c>
      <c r="I813" s="1">
        <v>2</v>
      </c>
      <c r="J813" s="1">
        <v>2</v>
      </c>
    </row>
    <row r="814" spans="1:10" x14ac:dyDescent="0.2">
      <c r="A814" s="1">
        <v>1928</v>
      </c>
      <c r="B814" s="1">
        <v>0</v>
      </c>
      <c r="C814" s="1">
        <v>16</v>
      </c>
      <c r="D814" s="1">
        <v>3</v>
      </c>
      <c r="E814" s="1">
        <v>2</v>
      </c>
      <c r="F814" s="1">
        <v>4</v>
      </c>
      <c r="G814" s="1">
        <v>4</v>
      </c>
      <c r="H814" s="1">
        <v>0</v>
      </c>
      <c r="I814" s="1">
        <v>1</v>
      </c>
      <c r="J814" s="1">
        <v>2</v>
      </c>
    </row>
    <row r="815" spans="1:10" x14ac:dyDescent="0.2">
      <c r="A815" s="1">
        <v>813</v>
      </c>
      <c r="B815" s="1">
        <v>0</v>
      </c>
      <c r="C815" s="1">
        <v>6</v>
      </c>
      <c r="D815" s="1">
        <v>2</v>
      </c>
      <c r="E815" s="1">
        <v>1</v>
      </c>
      <c r="F815" s="1">
        <v>5</v>
      </c>
      <c r="G815" s="1">
        <v>4</v>
      </c>
      <c r="H815" s="1">
        <v>0</v>
      </c>
      <c r="I815" s="1">
        <v>1</v>
      </c>
      <c r="J815" s="1">
        <v>2</v>
      </c>
    </row>
    <row r="816" spans="1:10" x14ac:dyDescent="0.2">
      <c r="A816" s="1">
        <v>2372</v>
      </c>
      <c r="B816" s="1">
        <v>0</v>
      </c>
      <c r="C816" s="1">
        <v>8</v>
      </c>
      <c r="D816" s="1">
        <v>5</v>
      </c>
      <c r="E816" s="1">
        <v>2</v>
      </c>
      <c r="F816" s="1">
        <v>5</v>
      </c>
      <c r="G816" s="1">
        <v>4</v>
      </c>
      <c r="H816" s="1">
        <v>1</v>
      </c>
      <c r="I816" s="1">
        <v>3</v>
      </c>
      <c r="J816" s="1">
        <v>2</v>
      </c>
    </row>
    <row r="817" spans="1:10" x14ac:dyDescent="0.2">
      <c r="A817" s="1">
        <v>2127</v>
      </c>
      <c r="B817" s="1">
        <v>0</v>
      </c>
      <c r="C817" s="1">
        <v>13</v>
      </c>
      <c r="D817" s="1">
        <v>1</v>
      </c>
      <c r="E817" s="1">
        <v>2</v>
      </c>
      <c r="F817" s="1">
        <v>5</v>
      </c>
      <c r="G817" s="1">
        <v>4</v>
      </c>
      <c r="H817" s="1">
        <v>0</v>
      </c>
      <c r="I817" s="1">
        <v>1</v>
      </c>
      <c r="J817" s="1">
        <v>2</v>
      </c>
    </row>
    <row r="818" spans="1:10" x14ac:dyDescent="0.2">
      <c r="A818" s="1">
        <v>1069</v>
      </c>
      <c r="B818" s="1">
        <v>0</v>
      </c>
      <c r="C818" s="1">
        <v>18</v>
      </c>
      <c r="D818" s="1">
        <v>4</v>
      </c>
      <c r="E818" s="1">
        <v>2</v>
      </c>
      <c r="F818" s="1">
        <v>5</v>
      </c>
      <c r="G818" s="1">
        <v>4</v>
      </c>
      <c r="H818" s="1">
        <v>1</v>
      </c>
      <c r="I818" s="1">
        <v>0</v>
      </c>
      <c r="J818" s="1">
        <v>2</v>
      </c>
    </row>
    <row r="819" spans="1:10" x14ac:dyDescent="0.2">
      <c r="A819" s="1">
        <v>2275</v>
      </c>
      <c r="B819" s="1">
        <v>0</v>
      </c>
      <c r="C819" s="1">
        <v>9</v>
      </c>
      <c r="D819" s="1">
        <v>3</v>
      </c>
      <c r="E819" s="1">
        <v>3</v>
      </c>
      <c r="F819" s="1">
        <v>5</v>
      </c>
      <c r="G819" s="1">
        <v>4</v>
      </c>
      <c r="H819" s="1">
        <v>0</v>
      </c>
      <c r="I819" s="1">
        <v>3</v>
      </c>
      <c r="J819" s="1">
        <v>2</v>
      </c>
    </row>
    <row r="820" spans="1:10" x14ac:dyDescent="0.2">
      <c r="A820" s="1">
        <v>1649</v>
      </c>
      <c r="B820" s="1">
        <v>0</v>
      </c>
      <c r="C820" s="1">
        <v>13</v>
      </c>
      <c r="D820" s="1">
        <v>4</v>
      </c>
      <c r="E820" s="1">
        <v>1</v>
      </c>
      <c r="F820" s="1">
        <v>6</v>
      </c>
      <c r="G820" s="1">
        <v>4</v>
      </c>
      <c r="H820" s="1">
        <v>0</v>
      </c>
      <c r="I820" s="1">
        <v>1</v>
      </c>
      <c r="J820" s="1">
        <v>2</v>
      </c>
    </row>
    <row r="821" spans="1:10" x14ac:dyDescent="0.2">
      <c r="A821" s="1">
        <v>1196</v>
      </c>
      <c r="B821" s="1">
        <v>0</v>
      </c>
      <c r="C821" s="1">
        <v>16</v>
      </c>
      <c r="D821" s="1">
        <v>1</v>
      </c>
      <c r="E821" s="1">
        <v>1</v>
      </c>
      <c r="F821" s="1">
        <v>6</v>
      </c>
      <c r="G821" s="1">
        <v>4</v>
      </c>
      <c r="H821" s="1">
        <v>0</v>
      </c>
      <c r="I821" s="1">
        <v>3</v>
      </c>
      <c r="J821" s="1">
        <v>2</v>
      </c>
    </row>
    <row r="822" spans="1:10" x14ac:dyDescent="0.2">
      <c r="A822" s="1">
        <v>1079</v>
      </c>
      <c r="B822" s="1">
        <v>0</v>
      </c>
      <c r="C822" s="1">
        <v>9</v>
      </c>
      <c r="D822" s="1">
        <v>4</v>
      </c>
      <c r="E822" s="1">
        <v>2</v>
      </c>
      <c r="F822" s="1">
        <v>6</v>
      </c>
      <c r="G822" s="1">
        <v>4</v>
      </c>
      <c r="H822" s="1">
        <v>0</v>
      </c>
      <c r="I822" s="1">
        <v>3</v>
      </c>
      <c r="J822" s="1">
        <v>2</v>
      </c>
    </row>
    <row r="823" spans="1:10" x14ac:dyDescent="0.2">
      <c r="A823" s="1">
        <v>950</v>
      </c>
      <c r="B823" s="1">
        <v>0</v>
      </c>
      <c r="C823" s="1">
        <v>9</v>
      </c>
      <c r="D823" s="1">
        <v>2</v>
      </c>
      <c r="E823" s="1">
        <v>3</v>
      </c>
      <c r="F823" s="1">
        <v>6</v>
      </c>
      <c r="G823" s="1">
        <v>4</v>
      </c>
      <c r="H823" s="1">
        <v>1</v>
      </c>
      <c r="I823" s="1">
        <v>2</v>
      </c>
      <c r="J823" s="1">
        <v>2</v>
      </c>
    </row>
    <row r="824" spans="1:10" x14ac:dyDescent="0.2">
      <c r="A824" s="1">
        <v>213</v>
      </c>
      <c r="B824" s="1">
        <v>0</v>
      </c>
      <c r="C824" s="1">
        <v>11</v>
      </c>
      <c r="D824" s="1">
        <v>5</v>
      </c>
      <c r="E824" s="1">
        <v>3</v>
      </c>
      <c r="F824" s="1">
        <v>6</v>
      </c>
      <c r="G824" s="1">
        <v>4</v>
      </c>
      <c r="H824" s="1">
        <v>1</v>
      </c>
      <c r="I824" s="1">
        <v>3</v>
      </c>
      <c r="J824" s="1">
        <v>2</v>
      </c>
    </row>
    <row r="825" spans="1:10" x14ac:dyDescent="0.2">
      <c r="A825" s="1">
        <v>1986</v>
      </c>
      <c r="B825" s="1">
        <v>0</v>
      </c>
      <c r="C825" s="1">
        <v>17</v>
      </c>
      <c r="D825" s="1">
        <v>1</v>
      </c>
      <c r="E825" s="1">
        <v>3</v>
      </c>
      <c r="F825" s="1">
        <v>6</v>
      </c>
      <c r="G825" s="1">
        <v>4</v>
      </c>
      <c r="H825" s="1">
        <v>1</v>
      </c>
      <c r="I825" s="1">
        <v>2</v>
      </c>
      <c r="J825" s="1">
        <v>2</v>
      </c>
    </row>
    <row r="826" spans="1:10" x14ac:dyDescent="0.2">
      <c r="A826" s="1">
        <v>2366</v>
      </c>
      <c r="B826" s="1">
        <v>0</v>
      </c>
      <c r="C826" s="1">
        <v>6</v>
      </c>
      <c r="D826" s="1">
        <v>3</v>
      </c>
      <c r="E826" s="1">
        <v>1</v>
      </c>
      <c r="F826" s="1">
        <v>7</v>
      </c>
      <c r="G826" s="1">
        <v>4</v>
      </c>
      <c r="H826" s="1">
        <v>0</v>
      </c>
      <c r="I826" s="1">
        <v>2</v>
      </c>
      <c r="J826" s="1">
        <v>2</v>
      </c>
    </row>
    <row r="827" spans="1:10" x14ac:dyDescent="0.2">
      <c r="A827" s="1">
        <v>104</v>
      </c>
      <c r="B827" s="1">
        <v>0</v>
      </c>
      <c r="C827" s="1">
        <v>13</v>
      </c>
      <c r="D827" s="1">
        <v>4</v>
      </c>
      <c r="E827" s="1">
        <v>1</v>
      </c>
      <c r="F827" s="1">
        <v>7</v>
      </c>
      <c r="G827" s="1">
        <v>4</v>
      </c>
      <c r="H827" s="1">
        <v>1</v>
      </c>
      <c r="I827" s="1">
        <v>0</v>
      </c>
      <c r="J827" s="1">
        <v>2</v>
      </c>
    </row>
    <row r="828" spans="1:10" x14ac:dyDescent="0.2">
      <c r="A828" s="1">
        <v>2025</v>
      </c>
      <c r="B828" s="1">
        <v>0</v>
      </c>
      <c r="C828" s="1">
        <v>12</v>
      </c>
      <c r="D828" s="1">
        <v>1</v>
      </c>
      <c r="E828" s="1">
        <v>2</v>
      </c>
      <c r="F828" s="1">
        <v>7</v>
      </c>
      <c r="G828" s="1">
        <v>4</v>
      </c>
      <c r="H828" s="1">
        <v>1</v>
      </c>
      <c r="I828" s="1">
        <v>0</v>
      </c>
      <c r="J828" s="1">
        <v>2</v>
      </c>
    </row>
    <row r="829" spans="1:10" x14ac:dyDescent="0.2">
      <c r="A829" s="1">
        <v>2170</v>
      </c>
      <c r="B829" s="1">
        <v>0</v>
      </c>
      <c r="C829" s="1">
        <v>12</v>
      </c>
      <c r="D829" s="1">
        <v>3</v>
      </c>
      <c r="E829" s="1">
        <v>2</v>
      </c>
      <c r="F829" s="1">
        <v>7</v>
      </c>
      <c r="G829" s="1">
        <v>4</v>
      </c>
      <c r="H829" s="1">
        <v>0</v>
      </c>
      <c r="I829" s="1">
        <v>3</v>
      </c>
      <c r="J829" s="1">
        <v>2</v>
      </c>
    </row>
    <row r="830" spans="1:10" x14ac:dyDescent="0.2">
      <c r="A830" s="1">
        <v>2245</v>
      </c>
      <c r="B830" s="1">
        <v>0</v>
      </c>
      <c r="C830" s="1">
        <v>15</v>
      </c>
      <c r="D830" s="1">
        <v>3</v>
      </c>
      <c r="E830" s="1">
        <v>2</v>
      </c>
      <c r="F830" s="1">
        <v>7</v>
      </c>
      <c r="G830" s="1">
        <v>4</v>
      </c>
      <c r="H830" s="1">
        <v>0</v>
      </c>
      <c r="I830" s="1">
        <v>1</v>
      </c>
      <c r="J830" s="1">
        <v>2</v>
      </c>
    </row>
    <row r="831" spans="1:10" x14ac:dyDescent="0.2">
      <c r="A831" s="1">
        <v>1600</v>
      </c>
      <c r="B831" s="1">
        <v>0</v>
      </c>
      <c r="C831" s="1">
        <v>12</v>
      </c>
      <c r="D831" s="1">
        <v>4</v>
      </c>
      <c r="E831" s="1">
        <v>3</v>
      </c>
      <c r="F831" s="1">
        <v>7</v>
      </c>
      <c r="G831" s="1">
        <v>4</v>
      </c>
      <c r="H831" s="1">
        <v>1</v>
      </c>
      <c r="I831" s="1">
        <v>1</v>
      </c>
      <c r="J831" s="1">
        <v>2</v>
      </c>
    </row>
    <row r="832" spans="1:10" x14ac:dyDescent="0.2">
      <c r="A832" s="1">
        <v>1412</v>
      </c>
      <c r="B832" s="1">
        <v>0</v>
      </c>
      <c r="C832" s="1">
        <v>7</v>
      </c>
      <c r="D832" s="1">
        <v>3</v>
      </c>
      <c r="E832" s="1">
        <v>1</v>
      </c>
      <c r="F832" s="1">
        <v>8</v>
      </c>
      <c r="G832" s="1">
        <v>4</v>
      </c>
      <c r="H832" s="1">
        <v>1</v>
      </c>
      <c r="I832" s="1">
        <v>2</v>
      </c>
      <c r="J832" s="1">
        <v>2</v>
      </c>
    </row>
    <row r="833" spans="1:10" x14ac:dyDescent="0.2">
      <c r="A833" s="1">
        <v>1107</v>
      </c>
      <c r="B833" s="1">
        <v>0</v>
      </c>
      <c r="C833" s="1">
        <v>11</v>
      </c>
      <c r="D833" s="1">
        <v>5</v>
      </c>
      <c r="E833" s="1">
        <v>1</v>
      </c>
      <c r="F833" s="1">
        <v>8</v>
      </c>
      <c r="G833" s="1">
        <v>4</v>
      </c>
      <c r="H833" s="1">
        <v>1</v>
      </c>
      <c r="I833" s="1">
        <v>2</v>
      </c>
      <c r="J833" s="1">
        <v>2</v>
      </c>
    </row>
    <row r="834" spans="1:10" x14ac:dyDescent="0.2">
      <c r="A834" s="1">
        <v>2077</v>
      </c>
      <c r="B834" s="1">
        <v>0</v>
      </c>
      <c r="C834" s="1">
        <v>19</v>
      </c>
      <c r="D834" s="1">
        <v>3</v>
      </c>
      <c r="E834" s="1">
        <v>1</v>
      </c>
      <c r="F834" s="1">
        <v>8</v>
      </c>
      <c r="G834" s="1">
        <v>4</v>
      </c>
      <c r="H834" s="1">
        <v>0</v>
      </c>
      <c r="I834" s="1">
        <v>3</v>
      </c>
      <c r="J834" s="1">
        <v>2</v>
      </c>
    </row>
    <row r="835" spans="1:10" x14ac:dyDescent="0.2">
      <c r="A835" s="1">
        <v>429</v>
      </c>
      <c r="B835" s="1">
        <v>0</v>
      </c>
      <c r="C835" s="1">
        <v>15</v>
      </c>
      <c r="D835" s="1">
        <v>3</v>
      </c>
      <c r="E835" s="1">
        <v>3</v>
      </c>
      <c r="F835" s="1">
        <v>8</v>
      </c>
      <c r="G835" s="1">
        <v>4</v>
      </c>
      <c r="H835" s="1">
        <v>1</v>
      </c>
      <c r="I835" s="1">
        <v>3</v>
      </c>
      <c r="J835" s="1">
        <v>2</v>
      </c>
    </row>
    <row r="836" spans="1:10" x14ac:dyDescent="0.2">
      <c r="A836" s="1">
        <v>459</v>
      </c>
      <c r="B836" s="1">
        <v>0</v>
      </c>
      <c r="C836" s="1">
        <v>10</v>
      </c>
      <c r="D836" s="1">
        <v>3</v>
      </c>
      <c r="E836" s="1">
        <v>1</v>
      </c>
      <c r="F836" s="1">
        <v>9</v>
      </c>
      <c r="G836" s="1">
        <v>4</v>
      </c>
      <c r="H836" s="1">
        <v>1</v>
      </c>
      <c r="I836" s="1">
        <v>0</v>
      </c>
      <c r="J836" s="1">
        <v>2</v>
      </c>
    </row>
    <row r="837" spans="1:10" x14ac:dyDescent="0.2">
      <c r="A837" s="1">
        <v>525</v>
      </c>
      <c r="B837" s="1">
        <v>0</v>
      </c>
      <c r="C837" s="1">
        <v>13</v>
      </c>
      <c r="D837" s="1">
        <v>2</v>
      </c>
      <c r="E837" s="1">
        <v>1</v>
      </c>
      <c r="F837" s="1">
        <v>9</v>
      </c>
      <c r="G837" s="1">
        <v>4</v>
      </c>
      <c r="H837" s="1">
        <v>0</v>
      </c>
      <c r="I837" s="1">
        <v>1</v>
      </c>
      <c r="J837" s="1">
        <v>2</v>
      </c>
    </row>
    <row r="838" spans="1:10" x14ac:dyDescent="0.2">
      <c r="A838" s="1">
        <v>414</v>
      </c>
      <c r="B838" s="1">
        <v>0</v>
      </c>
      <c r="C838" s="1">
        <v>8</v>
      </c>
      <c r="D838" s="1">
        <v>4</v>
      </c>
      <c r="E838" s="1">
        <v>2</v>
      </c>
      <c r="F838" s="1">
        <v>9</v>
      </c>
      <c r="G838" s="1">
        <v>4</v>
      </c>
      <c r="H838" s="1">
        <v>0</v>
      </c>
      <c r="I838" s="1">
        <v>3</v>
      </c>
      <c r="J838" s="1">
        <v>2</v>
      </c>
    </row>
    <row r="839" spans="1:10" x14ac:dyDescent="0.2">
      <c r="A839" s="1">
        <v>1182</v>
      </c>
      <c r="B839" s="1">
        <v>0</v>
      </c>
      <c r="C839" s="1">
        <v>5</v>
      </c>
      <c r="D839" s="1">
        <v>3</v>
      </c>
      <c r="E839" s="1">
        <v>2</v>
      </c>
      <c r="F839" s="1">
        <v>10</v>
      </c>
      <c r="G839" s="1">
        <v>4</v>
      </c>
      <c r="H839" s="1">
        <v>0</v>
      </c>
      <c r="I839" s="1">
        <v>2</v>
      </c>
      <c r="J839" s="1">
        <v>2</v>
      </c>
    </row>
    <row r="840" spans="1:10" x14ac:dyDescent="0.2">
      <c r="A840" s="1">
        <v>322</v>
      </c>
      <c r="B840" s="1">
        <v>0</v>
      </c>
      <c r="C840" s="1">
        <v>8</v>
      </c>
      <c r="D840" s="1">
        <v>4</v>
      </c>
      <c r="E840" s="1">
        <v>2</v>
      </c>
      <c r="F840" s="1">
        <v>10</v>
      </c>
      <c r="G840" s="1">
        <v>4</v>
      </c>
      <c r="H840" s="1">
        <v>1</v>
      </c>
      <c r="I840" s="1">
        <v>1</v>
      </c>
      <c r="J840" s="1">
        <v>2</v>
      </c>
    </row>
    <row r="841" spans="1:10" x14ac:dyDescent="0.2">
      <c r="A841" s="1">
        <v>2284</v>
      </c>
      <c r="B841" s="1">
        <v>0</v>
      </c>
      <c r="C841" s="1">
        <v>10</v>
      </c>
      <c r="D841" s="1">
        <v>5</v>
      </c>
      <c r="E841" s="1">
        <v>2</v>
      </c>
      <c r="F841" s="1">
        <v>10</v>
      </c>
      <c r="G841" s="1">
        <v>4</v>
      </c>
      <c r="H841" s="1">
        <v>0</v>
      </c>
      <c r="I841" s="1">
        <v>1</v>
      </c>
      <c r="J841" s="1">
        <v>2</v>
      </c>
    </row>
    <row r="842" spans="1:10" x14ac:dyDescent="0.2">
      <c r="A842" s="1">
        <v>1762</v>
      </c>
      <c r="B842" s="1">
        <v>0</v>
      </c>
      <c r="C842" s="1">
        <v>6</v>
      </c>
      <c r="D842" s="1">
        <v>2</v>
      </c>
      <c r="E842" s="1">
        <v>3</v>
      </c>
      <c r="F842" s="1">
        <v>10</v>
      </c>
      <c r="G842" s="1">
        <v>4</v>
      </c>
      <c r="H842" s="1">
        <v>0</v>
      </c>
      <c r="I842" s="1">
        <v>1</v>
      </c>
      <c r="J842" s="1">
        <v>2</v>
      </c>
    </row>
    <row r="843" spans="1:10" x14ac:dyDescent="0.2">
      <c r="A843" s="1">
        <v>1229</v>
      </c>
      <c r="B843" s="1">
        <v>0</v>
      </c>
      <c r="C843" s="1">
        <v>16</v>
      </c>
      <c r="D843" s="1">
        <v>5</v>
      </c>
      <c r="E843" s="1">
        <v>3</v>
      </c>
      <c r="F843" s="1">
        <v>10</v>
      </c>
      <c r="G843" s="1">
        <v>4</v>
      </c>
      <c r="H843" s="1">
        <v>1</v>
      </c>
      <c r="I843" s="1">
        <v>0</v>
      </c>
      <c r="J843" s="1">
        <v>2</v>
      </c>
    </row>
    <row r="844" spans="1:10" x14ac:dyDescent="0.2">
      <c r="A844" s="1">
        <v>785</v>
      </c>
      <c r="B844" s="1">
        <v>0</v>
      </c>
      <c r="C844" s="1">
        <v>6</v>
      </c>
      <c r="D844" s="1">
        <v>1</v>
      </c>
      <c r="E844" s="1">
        <v>1</v>
      </c>
      <c r="F844" s="1">
        <v>1</v>
      </c>
      <c r="G844" s="1">
        <v>4</v>
      </c>
      <c r="H844" s="1">
        <v>0</v>
      </c>
      <c r="I844" s="1">
        <v>0</v>
      </c>
      <c r="J844" s="1">
        <v>3</v>
      </c>
    </row>
    <row r="845" spans="1:10" x14ac:dyDescent="0.2">
      <c r="A845" s="1">
        <v>910</v>
      </c>
      <c r="B845" s="1">
        <v>0</v>
      </c>
      <c r="C845" s="1">
        <v>6</v>
      </c>
      <c r="D845" s="1">
        <v>4</v>
      </c>
      <c r="E845" s="1">
        <v>1</v>
      </c>
      <c r="F845" s="1">
        <v>1</v>
      </c>
      <c r="G845" s="1">
        <v>4</v>
      </c>
      <c r="H845" s="1">
        <v>0</v>
      </c>
      <c r="I845" s="1">
        <v>0</v>
      </c>
      <c r="J845" s="1">
        <v>3</v>
      </c>
    </row>
    <row r="846" spans="1:10" x14ac:dyDescent="0.2">
      <c r="A846" s="1">
        <v>2056</v>
      </c>
      <c r="B846" s="1">
        <v>0</v>
      </c>
      <c r="C846" s="1">
        <v>6</v>
      </c>
      <c r="D846" s="1">
        <v>4</v>
      </c>
      <c r="E846" s="1">
        <v>1</v>
      </c>
      <c r="F846" s="1">
        <v>1</v>
      </c>
      <c r="G846" s="1">
        <v>4</v>
      </c>
      <c r="H846" s="1">
        <v>1</v>
      </c>
      <c r="I846" s="1">
        <v>1</v>
      </c>
      <c r="J846" s="1">
        <v>3</v>
      </c>
    </row>
    <row r="847" spans="1:10" x14ac:dyDescent="0.2">
      <c r="A847" s="1">
        <v>341</v>
      </c>
      <c r="B847" s="1">
        <v>0</v>
      </c>
      <c r="C847" s="1">
        <v>17</v>
      </c>
      <c r="D847" s="1">
        <v>3</v>
      </c>
      <c r="E847" s="1">
        <v>1</v>
      </c>
      <c r="F847" s="1">
        <v>1</v>
      </c>
      <c r="G847" s="1">
        <v>4</v>
      </c>
      <c r="H847" s="1">
        <v>0</v>
      </c>
      <c r="I847" s="1">
        <v>3</v>
      </c>
      <c r="J847" s="1">
        <v>3</v>
      </c>
    </row>
    <row r="848" spans="1:10" x14ac:dyDescent="0.2">
      <c r="A848" s="1">
        <v>870</v>
      </c>
      <c r="B848" s="1">
        <v>0</v>
      </c>
      <c r="C848" s="1">
        <v>5</v>
      </c>
      <c r="D848" s="1">
        <v>1</v>
      </c>
      <c r="E848" s="1">
        <v>1</v>
      </c>
      <c r="F848" s="1">
        <v>2</v>
      </c>
      <c r="G848" s="1">
        <v>4</v>
      </c>
      <c r="H848" s="1">
        <v>0</v>
      </c>
      <c r="I848" s="1">
        <v>3</v>
      </c>
      <c r="J848" s="1">
        <v>3</v>
      </c>
    </row>
    <row r="849" spans="1:10" x14ac:dyDescent="0.2">
      <c r="A849" s="1">
        <v>1145</v>
      </c>
      <c r="B849" s="1">
        <v>0</v>
      </c>
      <c r="C849" s="1">
        <v>14</v>
      </c>
      <c r="D849" s="1">
        <v>4</v>
      </c>
      <c r="E849" s="1">
        <v>1</v>
      </c>
      <c r="F849" s="1">
        <v>2</v>
      </c>
      <c r="G849" s="1">
        <v>4</v>
      </c>
      <c r="H849" s="1">
        <v>1</v>
      </c>
      <c r="I849" s="1">
        <v>2</v>
      </c>
      <c r="J849" s="1">
        <v>3</v>
      </c>
    </row>
    <row r="850" spans="1:10" x14ac:dyDescent="0.2">
      <c r="A850" s="1">
        <v>1280</v>
      </c>
      <c r="B850" s="1">
        <v>0</v>
      </c>
      <c r="C850" s="1">
        <v>14</v>
      </c>
      <c r="D850" s="1">
        <v>5</v>
      </c>
      <c r="E850" s="1">
        <v>1</v>
      </c>
      <c r="F850" s="1">
        <v>2</v>
      </c>
      <c r="G850" s="1">
        <v>4</v>
      </c>
      <c r="H850" s="1">
        <v>0</v>
      </c>
      <c r="I850" s="1">
        <v>0</v>
      </c>
      <c r="J850" s="1">
        <v>3</v>
      </c>
    </row>
    <row r="851" spans="1:10" x14ac:dyDescent="0.2">
      <c r="A851" s="1">
        <v>2282</v>
      </c>
      <c r="B851" s="1">
        <v>0</v>
      </c>
      <c r="C851" s="1">
        <v>14</v>
      </c>
      <c r="D851" s="1">
        <v>3</v>
      </c>
      <c r="E851" s="1">
        <v>2</v>
      </c>
      <c r="F851" s="1">
        <v>2</v>
      </c>
      <c r="G851" s="1">
        <v>4</v>
      </c>
      <c r="H851" s="1">
        <v>1</v>
      </c>
      <c r="I851" s="1">
        <v>3</v>
      </c>
      <c r="J851" s="1">
        <v>3</v>
      </c>
    </row>
    <row r="852" spans="1:10" x14ac:dyDescent="0.2">
      <c r="A852" s="1">
        <v>2046</v>
      </c>
      <c r="B852" s="1">
        <v>0</v>
      </c>
      <c r="C852" s="1">
        <v>11</v>
      </c>
      <c r="D852" s="1">
        <v>2</v>
      </c>
      <c r="E852" s="1">
        <v>3</v>
      </c>
      <c r="F852" s="1">
        <v>2</v>
      </c>
      <c r="G852" s="1">
        <v>4</v>
      </c>
      <c r="H852" s="1">
        <v>0</v>
      </c>
      <c r="I852" s="1">
        <v>0</v>
      </c>
      <c r="J852" s="1">
        <v>3</v>
      </c>
    </row>
    <row r="853" spans="1:10" x14ac:dyDescent="0.2">
      <c r="A853" s="1">
        <v>1129</v>
      </c>
      <c r="B853" s="1">
        <v>0</v>
      </c>
      <c r="C853" s="1">
        <v>15</v>
      </c>
      <c r="D853" s="1">
        <v>3</v>
      </c>
      <c r="E853" s="1">
        <v>3</v>
      </c>
      <c r="F853" s="1">
        <v>2</v>
      </c>
      <c r="G853" s="1">
        <v>4</v>
      </c>
      <c r="H853" s="1">
        <v>0</v>
      </c>
      <c r="I853" s="1">
        <v>0</v>
      </c>
      <c r="J853" s="1">
        <v>3</v>
      </c>
    </row>
    <row r="854" spans="1:10" x14ac:dyDescent="0.2">
      <c r="A854" s="1">
        <v>258</v>
      </c>
      <c r="B854" s="1">
        <v>0</v>
      </c>
      <c r="C854" s="1">
        <v>8</v>
      </c>
      <c r="D854" s="1">
        <v>4</v>
      </c>
      <c r="E854" s="1">
        <v>2</v>
      </c>
      <c r="F854" s="1">
        <v>3</v>
      </c>
      <c r="G854" s="1">
        <v>4</v>
      </c>
      <c r="H854" s="1">
        <v>0</v>
      </c>
      <c r="I854" s="1">
        <v>3</v>
      </c>
      <c r="J854" s="1">
        <v>3</v>
      </c>
    </row>
    <row r="855" spans="1:10" x14ac:dyDescent="0.2">
      <c r="A855" s="1">
        <v>391</v>
      </c>
      <c r="B855" s="1">
        <v>0</v>
      </c>
      <c r="C855" s="1">
        <v>20</v>
      </c>
      <c r="D855" s="1">
        <v>3</v>
      </c>
      <c r="E855" s="1">
        <v>3</v>
      </c>
      <c r="F855" s="1">
        <v>3</v>
      </c>
      <c r="G855" s="1">
        <v>4</v>
      </c>
      <c r="H855" s="1">
        <v>1</v>
      </c>
      <c r="I855" s="1">
        <v>3</v>
      </c>
      <c r="J855" s="1">
        <v>3</v>
      </c>
    </row>
    <row r="856" spans="1:10" x14ac:dyDescent="0.2">
      <c r="A856" s="1">
        <v>1215</v>
      </c>
      <c r="B856" s="1">
        <v>0</v>
      </c>
      <c r="C856" s="1">
        <v>19</v>
      </c>
      <c r="D856" s="1">
        <v>5</v>
      </c>
      <c r="E856" s="1">
        <v>1</v>
      </c>
      <c r="F856" s="1">
        <v>4</v>
      </c>
      <c r="G856" s="1">
        <v>4</v>
      </c>
      <c r="H856" s="1">
        <v>0</v>
      </c>
      <c r="I856" s="1">
        <v>2</v>
      </c>
      <c r="J856" s="1">
        <v>3</v>
      </c>
    </row>
    <row r="857" spans="1:10" x14ac:dyDescent="0.2">
      <c r="A857" s="1">
        <v>609</v>
      </c>
      <c r="B857" s="1">
        <v>0</v>
      </c>
      <c r="C857" s="1">
        <v>12</v>
      </c>
      <c r="D857" s="1">
        <v>2</v>
      </c>
      <c r="E857" s="1">
        <v>1</v>
      </c>
      <c r="F857" s="1">
        <v>5</v>
      </c>
      <c r="G857" s="1">
        <v>4</v>
      </c>
      <c r="H857" s="1">
        <v>1</v>
      </c>
      <c r="I857" s="1">
        <v>1</v>
      </c>
      <c r="J857" s="1">
        <v>3</v>
      </c>
    </row>
    <row r="858" spans="1:10" x14ac:dyDescent="0.2">
      <c r="A858" s="1">
        <v>2377</v>
      </c>
      <c r="B858" s="1">
        <v>0</v>
      </c>
      <c r="C858" s="1">
        <v>20</v>
      </c>
      <c r="D858" s="1">
        <v>4</v>
      </c>
      <c r="E858" s="1">
        <v>2</v>
      </c>
      <c r="F858" s="1">
        <v>5</v>
      </c>
      <c r="G858" s="1">
        <v>4</v>
      </c>
      <c r="H858" s="1">
        <v>1</v>
      </c>
      <c r="I858" s="1">
        <v>2</v>
      </c>
      <c r="J858" s="1">
        <v>3</v>
      </c>
    </row>
    <row r="859" spans="1:10" x14ac:dyDescent="0.2">
      <c r="A859" s="1">
        <v>997</v>
      </c>
      <c r="B859" s="1">
        <v>0</v>
      </c>
      <c r="C859" s="1">
        <v>9</v>
      </c>
      <c r="D859" s="1">
        <v>5</v>
      </c>
      <c r="E859" s="1">
        <v>3</v>
      </c>
      <c r="F859" s="1">
        <v>5</v>
      </c>
      <c r="G859" s="1">
        <v>4</v>
      </c>
      <c r="H859" s="1">
        <v>0</v>
      </c>
      <c r="I859" s="1">
        <v>3</v>
      </c>
      <c r="J859" s="1">
        <v>3</v>
      </c>
    </row>
    <row r="860" spans="1:10" x14ac:dyDescent="0.2">
      <c r="A860" s="1">
        <v>693</v>
      </c>
      <c r="B860" s="1">
        <v>0</v>
      </c>
      <c r="C860" s="1">
        <v>17</v>
      </c>
      <c r="D860" s="1">
        <v>2</v>
      </c>
      <c r="E860" s="1">
        <v>3</v>
      </c>
      <c r="F860" s="1">
        <v>5</v>
      </c>
      <c r="G860" s="1">
        <v>4</v>
      </c>
      <c r="H860" s="1">
        <v>0</v>
      </c>
      <c r="I860" s="1">
        <v>2</v>
      </c>
      <c r="J860" s="1">
        <v>3</v>
      </c>
    </row>
    <row r="861" spans="1:10" x14ac:dyDescent="0.2">
      <c r="A861" s="1">
        <v>2042</v>
      </c>
      <c r="B861" s="1">
        <v>0</v>
      </c>
      <c r="C861" s="1">
        <v>9</v>
      </c>
      <c r="D861" s="1">
        <v>4</v>
      </c>
      <c r="E861" s="1">
        <v>1</v>
      </c>
      <c r="F861" s="1">
        <v>6</v>
      </c>
      <c r="G861" s="1">
        <v>4</v>
      </c>
      <c r="H861" s="1">
        <v>0</v>
      </c>
      <c r="I861" s="1">
        <v>3</v>
      </c>
      <c r="J861" s="1">
        <v>3</v>
      </c>
    </row>
    <row r="862" spans="1:10" x14ac:dyDescent="0.2">
      <c r="A862" s="1">
        <v>2105</v>
      </c>
      <c r="B862" s="1">
        <v>0</v>
      </c>
      <c r="C862" s="1">
        <v>10</v>
      </c>
      <c r="D862" s="1">
        <v>2</v>
      </c>
      <c r="E862" s="1">
        <v>1</v>
      </c>
      <c r="F862" s="1">
        <v>6</v>
      </c>
      <c r="G862" s="1">
        <v>4</v>
      </c>
      <c r="H862" s="1">
        <v>0</v>
      </c>
      <c r="I862" s="1">
        <v>1</v>
      </c>
      <c r="J862" s="1">
        <v>3</v>
      </c>
    </row>
    <row r="863" spans="1:10" x14ac:dyDescent="0.2">
      <c r="A863" s="1">
        <v>1080</v>
      </c>
      <c r="B863" s="1">
        <v>0</v>
      </c>
      <c r="C863" s="1">
        <v>10</v>
      </c>
      <c r="D863" s="1">
        <v>2</v>
      </c>
      <c r="E863" s="1">
        <v>2</v>
      </c>
      <c r="F863" s="1">
        <v>6</v>
      </c>
      <c r="G863" s="1">
        <v>4</v>
      </c>
      <c r="H863" s="1">
        <v>0</v>
      </c>
      <c r="I863" s="1">
        <v>2</v>
      </c>
      <c r="J863" s="1">
        <v>3</v>
      </c>
    </row>
    <row r="864" spans="1:10" x14ac:dyDescent="0.2">
      <c r="A864" s="1">
        <v>2182</v>
      </c>
      <c r="B864" s="1">
        <v>0</v>
      </c>
      <c r="C864" s="1">
        <v>19</v>
      </c>
      <c r="D864" s="1">
        <v>4</v>
      </c>
      <c r="E864" s="1">
        <v>2</v>
      </c>
      <c r="F864" s="1">
        <v>6</v>
      </c>
      <c r="G864" s="1">
        <v>4</v>
      </c>
      <c r="H864" s="1">
        <v>0</v>
      </c>
      <c r="I864" s="1">
        <v>1</v>
      </c>
      <c r="J864" s="1">
        <v>3</v>
      </c>
    </row>
    <row r="865" spans="1:10" x14ac:dyDescent="0.2">
      <c r="A865" s="1">
        <v>378</v>
      </c>
      <c r="B865" s="1">
        <v>0</v>
      </c>
      <c r="C865" s="1">
        <v>15</v>
      </c>
      <c r="D865" s="1">
        <v>2</v>
      </c>
      <c r="E865" s="1">
        <v>1</v>
      </c>
      <c r="F865" s="1">
        <v>7</v>
      </c>
      <c r="G865" s="1">
        <v>4</v>
      </c>
      <c r="H865" s="1">
        <v>1</v>
      </c>
      <c r="I865" s="1">
        <v>1</v>
      </c>
      <c r="J865" s="1">
        <v>3</v>
      </c>
    </row>
    <row r="866" spans="1:10" x14ac:dyDescent="0.2">
      <c r="A866" s="1">
        <v>1743</v>
      </c>
      <c r="B866" s="1">
        <v>0</v>
      </c>
      <c r="C866" s="1">
        <v>11</v>
      </c>
      <c r="D866" s="1">
        <v>5</v>
      </c>
      <c r="E866" s="1">
        <v>2</v>
      </c>
      <c r="F866" s="1">
        <v>7</v>
      </c>
      <c r="G866" s="1">
        <v>4</v>
      </c>
      <c r="H866" s="1">
        <v>0</v>
      </c>
      <c r="I866" s="1">
        <v>3</v>
      </c>
      <c r="J866" s="1">
        <v>3</v>
      </c>
    </row>
    <row r="867" spans="1:10" x14ac:dyDescent="0.2">
      <c r="A867" s="1">
        <v>309</v>
      </c>
      <c r="B867" s="1">
        <v>0</v>
      </c>
      <c r="C867" s="1">
        <v>15</v>
      </c>
      <c r="D867" s="1">
        <v>3</v>
      </c>
      <c r="E867" s="1">
        <v>2</v>
      </c>
      <c r="F867" s="1">
        <v>7</v>
      </c>
      <c r="G867" s="1">
        <v>4</v>
      </c>
      <c r="H867" s="1">
        <v>0</v>
      </c>
      <c r="I867" s="1">
        <v>2</v>
      </c>
      <c r="J867" s="1">
        <v>3</v>
      </c>
    </row>
    <row r="868" spans="1:10" x14ac:dyDescent="0.2">
      <c r="A868" s="1">
        <v>75</v>
      </c>
      <c r="B868" s="1">
        <v>0</v>
      </c>
      <c r="C868" s="1">
        <v>16</v>
      </c>
      <c r="D868" s="1">
        <v>2</v>
      </c>
      <c r="E868" s="1">
        <v>2</v>
      </c>
      <c r="F868" s="1">
        <v>7</v>
      </c>
      <c r="G868" s="1">
        <v>4</v>
      </c>
      <c r="H868" s="1">
        <v>0</v>
      </c>
      <c r="I868" s="1">
        <v>2</v>
      </c>
      <c r="J868" s="1">
        <v>3</v>
      </c>
    </row>
    <row r="869" spans="1:10" x14ac:dyDescent="0.2">
      <c r="A869" s="1">
        <v>442</v>
      </c>
      <c r="B869" s="1">
        <v>0</v>
      </c>
      <c r="C869" s="1">
        <v>20</v>
      </c>
      <c r="D869" s="1">
        <v>2</v>
      </c>
      <c r="E869" s="1">
        <v>2</v>
      </c>
      <c r="F869" s="1">
        <v>7</v>
      </c>
      <c r="G869" s="1">
        <v>4</v>
      </c>
      <c r="H869" s="1">
        <v>1</v>
      </c>
      <c r="I869" s="1">
        <v>2</v>
      </c>
      <c r="J869" s="1">
        <v>3</v>
      </c>
    </row>
    <row r="870" spans="1:10" x14ac:dyDescent="0.2">
      <c r="A870" s="1">
        <v>54</v>
      </c>
      <c r="B870" s="1">
        <v>0</v>
      </c>
      <c r="C870" s="1">
        <v>7</v>
      </c>
      <c r="D870" s="1">
        <v>2</v>
      </c>
      <c r="E870" s="1">
        <v>1</v>
      </c>
      <c r="F870" s="1">
        <v>8</v>
      </c>
      <c r="G870" s="1">
        <v>4</v>
      </c>
      <c r="H870" s="1">
        <v>0</v>
      </c>
      <c r="I870" s="1">
        <v>1</v>
      </c>
      <c r="J870" s="1">
        <v>3</v>
      </c>
    </row>
    <row r="871" spans="1:10" x14ac:dyDescent="0.2">
      <c r="A871" s="1">
        <v>592</v>
      </c>
      <c r="B871" s="1">
        <v>0</v>
      </c>
      <c r="C871" s="1">
        <v>12</v>
      </c>
      <c r="D871" s="1">
        <v>1</v>
      </c>
      <c r="E871" s="1">
        <v>1</v>
      </c>
      <c r="F871" s="1">
        <v>8</v>
      </c>
      <c r="G871" s="1">
        <v>4</v>
      </c>
      <c r="H871" s="1">
        <v>1</v>
      </c>
      <c r="I871" s="1">
        <v>1</v>
      </c>
      <c r="J871" s="1">
        <v>3</v>
      </c>
    </row>
    <row r="872" spans="1:10" x14ac:dyDescent="0.2">
      <c r="A872" s="1">
        <v>188</v>
      </c>
      <c r="B872" s="1">
        <v>0</v>
      </c>
      <c r="C872" s="1">
        <v>6</v>
      </c>
      <c r="D872" s="1">
        <v>4</v>
      </c>
      <c r="E872" s="1">
        <v>2</v>
      </c>
      <c r="F872" s="1">
        <v>8</v>
      </c>
      <c r="G872" s="1">
        <v>4</v>
      </c>
      <c r="H872" s="1">
        <v>0</v>
      </c>
      <c r="I872" s="1">
        <v>1</v>
      </c>
      <c r="J872" s="1">
        <v>3</v>
      </c>
    </row>
    <row r="873" spans="1:10" x14ac:dyDescent="0.2">
      <c r="A873" s="1">
        <v>571</v>
      </c>
      <c r="B873" s="1">
        <v>0</v>
      </c>
      <c r="C873" s="1">
        <v>5</v>
      </c>
      <c r="D873" s="1">
        <v>1</v>
      </c>
      <c r="E873" s="1">
        <v>3</v>
      </c>
      <c r="F873" s="1">
        <v>8</v>
      </c>
      <c r="G873" s="1">
        <v>4</v>
      </c>
      <c r="H873" s="1">
        <v>1</v>
      </c>
      <c r="I873" s="1">
        <v>2</v>
      </c>
      <c r="J873" s="1">
        <v>3</v>
      </c>
    </row>
    <row r="874" spans="1:10" x14ac:dyDescent="0.2">
      <c r="A874" s="1">
        <v>219</v>
      </c>
      <c r="B874" s="1">
        <v>0</v>
      </c>
      <c r="C874" s="1">
        <v>14</v>
      </c>
      <c r="D874" s="1">
        <v>2</v>
      </c>
      <c r="E874" s="1">
        <v>3</v>
      </c>
      <c r="F874" s="1">
        <v>8</v>
      </c>
      <c r="G874" s="1">
        <v>4</v>
      </c>
      <c r="H874" s="1">
        <v>0</v>
      </c>
      <c r="I874" s="1">
        <v>1</v>
      </c>
      <c r="J874" s="1">
        <v>3</v>
      </c>
    </row>
    <row r="875" spans="1:10" x14ac:dyDescent="0.2">
      <c r="A875" s="1">
        <v>1993</v>
      </c>
      <c r="B875" s="1">
        <v>0</v>
      </c>
      <c r="C875" s="1">
        <v>8</v>
      </c>
      <c r="D875" s="1">
        <v>4</v>
      </c>
      <c r="E875" s="1">
        <v>2</v>
      </c>
      <c r="F875" s="1">
        <v>9</v>
      </c>
      <c r="G875" s="1">
        <v>4</v>
      </c>
      <c r="H875" s="1">
        <v>0</v>
      </c>
      <c r="I875" s="1">
        <v>1</v>
      </c>
      <c r="J875" s="1">
        <v>3</v>
      </c>
    </row>
    <row r="876" spans="1:10" x14ac:dyDescent="0.2">
      <c r="A876" s="1">
        <v>475</v>
      </c>
      <c r="B876" s="1">
        <v>0</v>
      </c>
      <c r="C876" s="1">
        <v>8</v>
      </c>
      <c r="D876" s="1">
        <v>5</v>
      </c>
      <c r="E876" s="1">
        <v>3</v>
      </c>
      <c r="F876" s="1">
        <v>9</v>
      </c>
      <c r="G876" s="1">
        <v>4</v>
      </c>
      <c r="H876" s="1">
        <v>0</v>
      </c>
      <c r="I876" s="1">
        <v>0</v>
      </c>
      <c r="J876" s="1">
        <v>3</v>
      </c>
    </row>
    <row r="877" spans="1:10" x14ac:dyDescent="0.2">
      <c r="A877" s="1">
        <v>1030</v>
      </c>
      <c r="B877" s="1">
        <v>0</v>
      </c>
      <c r="C877" s="1">
        <v>19</v>
      </c>
      <c r="D877" s="1">
        <v>4</v>
      </c>
      <c r="E877" s="1">
        <v>3</v>
      </c>
      <c r="F877" s="1">
        <v>9</v>
      </c>
      <c r="G877" s="1">
        <v>4</v>
      </c>
      <c r="H877" s="1">
        <v>0</v>
      </c>
      <c r="I877" s="1">
        <v>3</v>
      </c>
      <c r="J877" s="1">
        <v>3</v>
      </c>
    </row>
    <row r="878" spans="1:10" x14ac:dyDescent="0.2">
      <c r="A878" s="1">
        <v>1613</v>
      </c>
      <c r="B878" s="1">
        <v>0</v>
      </c>
      <c r="C878" s="1">
        <v>10</v>
      </c>
      <c r="D878" s="1">
        <v>2</v>
      </c>
      <c r="E878" s="1">
        <v>2</v>
      </c>
      <c r="F878" s="1">
        <v>10</v>
      </c>
      <c r="G878" s="1">
        <v>4</v>
      </c>
      <c r="H878" s="1">
        <v>1</v>
      </c>
      <c r="I878" s="1">
        <v>0</v>
      </c>
      <c r="J878" s="1">
        <v>3</v>
      </c>
    </row>
    <row r="879" spans="1:10" x14ac:dyDescent="0.2">
      <c r="A879" s="1">
        <v>570</v>
      </c>
      <c r="B879" s="1">
        <v>0</v>
      </c>
      <c r="C879" s="1">
        <v>15</v>
      </c>
      <c r="D879" s="1">
        <v>1</v>
      </c>
      <c r="E879" s="1">
        <v>2</v>
      </c>
      <c r="F879" s="1">
        <v>10</v>
      </c>
      <c r="G879" s="1">
        <v>4</v>
      </c>
      <c r="H879" s="1">
        <v>0</v>
      </c>
      <c r="I879" s="1">
        <v>1</v>
      </c>
      <c r="J879" s="1">
        <v>3</v>
      </c>
    </row>
    <row r="880" spans="1:10" x14ac:dyDescent="0.2">
      <c r="A880" s="1">
        <v>1867</v>
      </c>
      <c r="B880" s="1">
        <v>0</v>
      </c>
      <c r="C880" s="1">
        <v>16</v>
      </c>
      <c r="D880" s="1">
        <v>1</v>
      </c>
      <c r="E880" s="1">
        <v>2</v>
      </c>
      <c r="F880" s="1">
        <v>10</v>
      </c>
      <c r="G880" s="1">
        <v>4</v>
      </c>
      <c r="H880" s="1">
        <v>0</v>
      </c>
      <c r="I880" s="1">
        <v>0</v>
      </c>
      <c r="J880" s="1">
        <v>3</v>
      </c>
    </row>
    <row r="881" spans="1:10" x14ac:dyDescent="0.2">
      <c r="A881" s="1">
        <v>1694</v>
      </c>
      <c r="B881" s="1">
        <v>0</v>
      </c>
      <c r="C881" s="1">
        <v>8</v>
      </c>
      <c r="D881" s="1">
        <v>5</v>
      </c>
      <c r="E881" s="1">
        <v>3</v>
      </c>
      <c r="F881" s="1">
        <v>10</v>
      </c>
      <c r="G881" s="1">
        <v>4</v>
      </c>
      <c r="H881" s="1">
        <v>0</v>
      </c>
      <c r="I881" s="1">
        <v>1</v>
      </c>
      <c r="J881" s="1">
        <v>3</v>
      </c>
    </row>
    <row r="882" spans="1:10" x14ac:dyDescent="0.2">
      <c r="A882" s="1">
        <v>1913</v>
      </c>
      <c r="B882" s="1">
        <v>0</v>
      </c>
      <c r="C882" s="1">
        <v>5</v>
      </c>
      <c r="D882" s="1">
        <v>2</v>
      </c>
      <c r="E882" s="1">
        <v>1</v>
      </c>
      <c r="F882" s="1">
        <v>1</v>
      </c>
      <c r="G882" s="1">
        <v>4</v>
      </c>
      <c r="H882" s="1">
        <v>0</v>
      </c>
      <c r="I882" s="1">
        <v>3</v>
      </c>
      <c r="J882" s="1">
        <v>4</v>
      </c>
    </row>
    <row r="883" spans="1:10" x14ac:dyDescent="0.2">
      <c r="A883" s="1">
        <v>51</v>
      </c>
      <c r="B883" s="1">
        <v>0</v>
      </c>
      <c r="C883" s="1">
        <v>14</v>
      </c>
      <c r="D883" s="1">
        <v>5</v>
      </c>
      <c r="E883" s="1">
        <v>1</v>
      </c>
      <c r="F883" s="1">
        <v>1</v>
      </c>
      <c r="G883" s="1">
        <v>4</v>
      </c>
      <c r="H883" s="1">
        <v>0</v>
      </c>
      <c r="I883" s="1">
        <v>2</v>
      </c>
      <c r="J883" s="1">
        <v>4</v>
      </c>
    </row>
    <row r="884" spans="1:10" x14ac:dyDescent="0.2">
      <c r="A884" s="1">
        <v>832</v>
      </c>
      <c r="B884" s="1">
        <v>0</v>
      </c>
      <c r="C884" s="1">
        <v>9</v>
      </c>
      <c r="D884" s="1">
        <v>1</v>
      </c>
      <c r="E884" s="1">
        <v>2</v>
      </c>
      <c r="F884" s="1">
        <v>1</v>
      </c>
      <c r="G884" s="1">
        <v>4</v>
      </c>
      <c r="H884" s="1">
        <v>0</v>
      </c>
      <c r="I884" s="1">
        <v>1</v>
      </c>
      <c r="J884" s="1">
        <v>4</v>
      </c>
    </row>
    <row r="885" spans="1:10" x14ac:dyDescent="0.2">
      <c r="A885" s="1">
        <v>2290</v>
      </c>
      <c r="B885" s="1">
        <v>0</v>
      </c>
      <c r="C885" s="1">
        <v>11</v>
      </c>
      <c r="D885" s="1">
        <v>2</v>
      </c>
      <c r="E885" s="1">
        <v>2</v>
      </c>
      <c r="F885" s="1">
        <v>1</v>
      </c>
      <c r="G885" s="1">
        <v>4</v>
      </c>
      <c r="H885" s="1">
        <v>0</v>
      </c>
      <c r="I885" s="1">
        <v>2</v>
      </c>
      <c r="J885" s="1">
        <v>4</v>
      </c>
    </row>
    <row r="886" spans="1:10" x14ac:dyDescent="0.2">
      <c r="A886" s="1">
        <v>2418</v>
      </c>
      <c r="B886" s="1">
        <v>0</v>
      </c>
      <c r="C886" s="1">
        <v>18</v>
      </c>
      <c r="D886" s="1">
        <v>1</v>
      </c>
      <c r="E886" s="1">
        <v>2</v>
      </c>
      <c r="F886" s="1">
        <v>1</v>
      </c>
      <c r="G886" s="1">
        <v>4</v>
      </c>
      <c r="H886" s="1">
        <v>0</v>
      </c>
      <c r="I886" s="1">
        <v>2</v>
      </c>
      <c r="J886" s="1">
        <v>4</v>
      </c>
    </row>
    <row r="887" spans="1:10" x14ac:dyDescent="0.2">
      <c r="A887" s="1">
        <v>1354</v>
      </c>
      <c r="B887" s="1">
        <v>0</v>
      </c>
      <c r="C887" s="1">
        <v>19</v>
      </c>
      <c r="D887" s="1">
        <v>5</v>
      </c>
      <c r="E887" s="1">
        <v>2</v>
      </c>
      <c r="F887" s="1">
        <v>1</v>
      </c>
      <c r="G887" s="1">
        <v>4</v>
      </c>
      <c r="H887" s="1">
        <v>1</v>
      </c>
      <c r="I887" s="1">
        <v>1</v>
      </c>
      <c r="J887" s="1">
        <v>4</v>
      </c>
    </row>
    <row r="888" spans="1:10" x14ac:dyDescent="0.2">
      <c r="A888" s="1">
        <v>44</v>
      </c>
      <c r="B888" s="1">
        <v>0</v>
      </c>
      <c r="C888" s="1">
        <v>5</v>
      </c>
      <c r="D888" s="1">
        <v>3</v>
      </c>
      <c r="E888" s="1">
        <v>3</v>
      </c>
      <c r="F888" s="1">
        <v>1</v>
      </c>
      <c r="G888" s="1">
        <v>4</v>
      </c>
      <c r="H888" s="1">
        <v>1</v>
      </c>
      <c r="I888" s="1">
        <v>1</v>
      </c>
      <c r="J888" s="1">
        <v>4</v>
      </c>
    </row>
    <row r="889" spans="1:10" x14ac:dyDescent="0.2">
      <c r="A889" s="1">
        <v>2106</v>
      </c>
      <c r="B889" s="1">
        <v>0</v>
      </c>
      <c r="C889" s="1">
        <v>5</v>
      </c>
      <c r="D889" s="1">
        <v>4</v>
      </c>
      <c r="E889" s="1">
        <v>3</v>
      </c>
      <c r="F889" s="1">
        <v>1</v>
      </c>
      <c r="G889" s="1">
        <v>4</v>
      </c>
      <c r="H889" s="1">
        <v>1</v>
      </c>
      <c r="I889" s="1">
        <v>1</v>
      </c>
      <c r="J889" s="1">
        <v>4</v>
      </c>
    </row>
    <row r="890" spans="1:10" x14ac:dyDescent="0.2">
      <c r="A890" s="1">
        <v>1180</v>
      </c>
      <c r="B890" s="1">
        <v>0</v>
      </c>
      <c r="C890" s="1">
        <v>15</v>
      </c>
      <c r="D890" s="1">
        <v>5</v>
      </c>
      <c r="E890" s="1">
        <v>3</v>
      </c>
      <c r="F890" s="1">
        <v>1</v>
      </c>
      <c r="G890" s="1">
        <v>4</v>
      </c>
      <c r="H890" s="1">
        <v>1</v>
      </c>
      <c r="I890" s="1">
        <v>3</v>
      </c>
      <c r="J890" s="1">
        <v>4</v>
      </c>
    </row>
    <row r="891" spans="1:10" x14ac:dyDescent="0.2">
      <c r="A891" s="1">
        <v>1278</v>
      </c>
      <c r="B891" s="1">
        <v>0</v>
      </c>
      <c r="C891" s="1">
        <v>6</v>
      </c>
      <c r="D891" s="1">
        <v>4</v>
      </c>
      <c r="E891" s="1">
        <v>2</v>
      </c>
      <c r="F891" s="1">
        <v>2</v>
      </c>
      <c r="G891" s="1">
        <v>4</v>
      </c>
      <c r="H891" s="1">
        <v>1</v>
      </c>
      <c r="I891" s="1">
        <v>0</v>
      </c>
      <c r="J891" s="1">
        <v>4</v>
      </c>
    </row>
    <row r="892" spans="1:10" x14ac:dyDescent="0.2">
      <c r="A892" s="1">
        <v>15</v>
      </c>
      <c r="B892" s="1">
        <v>0</v>
      </c>
      <c r="C892" s="1">
        <v>7</v>
      </c>
      <c r="D892" s="1">
        <v>2</v>
      </c>
      <c r="E892" s="1">
        <v>2</v>
      </c>
      <c r="F892" s="1">
        <v>2</v>
      </c>
      <c r="G892" s="1">
        <v>4</v>
      </c>
      <c r="H892" s="1">
        <v>0</v>
      </c>
      <c r="I892" s="1">
        <v>2</v>
      </c>
      <c r="J892" s="1">
        <v>4</v>
      </c>
    </row>
    <row r="893" spans="1:10" x14ac:dyDescent="0.2">
      <c r="A893" s="1">
        <v>491</v>
      </c>
      <c r="B893" s="1">
        <v>0</v>
      </c>
      <c r="C893" s="1">
        <v>7</v>
      </c>
      <c r="D893" s="1">
        <v>4</v>
      </c>
      <c r="E893" s="1">
        <v>2</v>
      </c>
      <c r="F893" s="1">
        <v>2</v>
      </c>
      <c r="G893" s="1">
        <v>4</v>
      </c>
      <c r="H893" s="1">
        <v>0</v>
      </c>
      <c r="I893" s="1">
        <v>1</v>
      </c>
      <c r="J893" s="1">
        <v>4</v>
      </c>
    </row>
    <row r="894" spans="1:10" x14ac:dyDescent="0.2">
      <c r="A894" s="1">
        <v>1000</v>
      </c>
      <c r="B894" s="1">
        <v>0</v>
      </c>
      <c r="C894" s="1">
        <v>10</v>
      </c>
      <c r="D894" s="1">
        <v>4</v>
      </c>
      <c r="E894" s="1">
        <v>3</v>
      </c>
      <c r="F894" s="1">
        <v>2</v>
      </c>
      <c r="G894" s="1">
        <v>4</v>
      </c>
      <c r="H894" s="1">
        <v>0</v>
      </c>
      <c r="I894" s="1">
        <v>2</v>
      </c>
      <c r="J894" s="1">
        <v>4</v>
      </c>
    </row>
    <row r="895" spans="1:10" x14ac:dyDescent="0.2">
      <c r="A895" s="1">
        <v>527</v>
      </c>
      <c r="B895" s="1">
        <v>0</v>
      </c>
      <c r="C895" s="1">
        <v>8</v>
      </c>
      <c r="D895" s="1">
        <v>2</v>
      </c>
      <c r="E895" s="1">
        <v>1</v>
      </c>
      <c r="F895" s="1">
        <v>3</v>
      </c>
      <c r="G895" s="1">
        <v>4</v>
      </c>
      <c r="H895" s="1">
        <v>0</v>
      </c>
      <c r="I895" s="1">
        <v>3</v>
      </c>
      <c r="J895" s="1">
        <v>4</v>
      </c>
    </row>
    <row r="896" spans="1:10" x14ac:dyDescent="0.2">
      <c r="A896" s="1">
        <v>1103</v>
      </c>
      <c r="B896" s="1">
        <v>0</v>
      </c>
      <c r="C896" s="1">
        <v>5</v>
      </c>
      <c r="D896" s="1">
        <v>4</v>
      </c>
      <c r="E896" s="1">
        <v>2</v>
      </c>
      <c r="F896" s="1">
        <v>3</v>
      </c>
      <c r="G896" s="1">
        <v>4</v>
      </c>
      <c r="H896" s="1">
        <v>0</v>
      </c>
      <c r="I896" s="1">
        <v>3</v>
      </c>
      <c r="J896" s="1">
        <v>4</v>
      </c>
    </row>
    <row r="897" spans="1:10" x14ac:dyDescent="0.2">
      <c r="A897" s="1">
        <v>1666</v>
      </c>
      <c r="B897" s="1">
        <v>0</v>
      </c>
      <c r="C897" s="1">
        <v>5</v>
      </c>
      <c r="D897" s="1">
        <v>4</v>
      </c>
      <c r="E897" s="1">
        <v>2</v>
      </c>
      <c r="F897" s="1">
        <v>3</v>
      </c>
      <c r="G897" s="1">
        <v>4</v>
      </c>
      <c r="H897" s="1">
        <v>1</v>
      </c>
      <c r="I897" s="1">
        <v>0</v>
      </c>
      <c r="J897" s="1">
        <v>4</v>
      </c>
    </row>
    <row r="898" spans="1:10" x14ac:dyDescent="0.2">
      <c r="A898" s="1">
        <v>1551</v>
      </c>
      <c r="B898" s="1">
        <v>0</v>
      </c>
      <c r="C898" s="1">
        <v>13</v>
      </c>
      <c r="D898" s="1">
        <v>1</v>
      </c>
      <c r="E898" s="1">
        <v>2</v>
      </c>
      <c r="F898" s="1">
        <v>3</v>
      </c>
      <c r="G898" s="1">
        <v>4</v>
      </c>
      <c r="H898" s="1">
        <v>0</v>
      </c>
      <c r="I898" s="1">
        <v>2</v>
      </c>
      <c r="J898" s="1">
        <v>4</v>
      </c>
    </row>
    <row r="899" spans="1:10" x14ac:dyDescent="0.2">
      <c r="A899" s="1">
        <v>2178</v>
      </c>
      <c r="B899" s="1">
        <v>0</v>
      </c>
      <c r="C899" s="1">
        <v>14</v>
      </c>
      <c r="D899" s="1">
        <v>5</v>
      </c>
      <c r="E899" s="1">
        <v>2</v>
      </c>
      <c r="F899" s="1">
        <v>3</v>
      </c>
      <c r="G899" s="1">
        <v>4</v>
      </c>
      <c r="H899" s="1">
        <v>1</v>
      </c>
      <c r="I899" s="1">
        <v>2</v>
      </c>
      <c r="J899" s="1">
        <v>4</v>
      </c>
    </row>
    <row r="900" spans="1:10" x14ac:dyDescent="0.2">
      <c r="A900" s="1">
        <v>2043</v>
      </c>
      <c r="B900" s="1">
        <v>0</v>
      </c>
      <c r="C900" s="1">
        <v>16</v>
      </c>
      <c r="D900" s="1">
        <v>1</v>
      </c>
      <c r="E900" s="1">
        <v>3</v>
      </c>
      <c r="F900" s="1">
        <v>3</v>
      </c>
      <c r="G900" s="1">
        <v>4</v>
      </c>
      <c r="H900" s="1">
        <v>0</v>
      </c>
      <c r="I900" s="1">
        <v>3</v>
      </c>
      <c r="J900" s="1">
        <v>4</v>
      </c>
    </row>
    <row r="901" spans="1:10" x14ac:dyDescent="0.2">
      <c r="A901" s="1">
        <v>1763</v>
      </c>
      <c r="B901" s="1">
        <v>0</v>
      </c>
      <c r="C901" s="1">
        <v>14</v>
      </c>
      <c r="D901" s="1">
        <v>4</v>
      </c>
      <c r="E901" s="1">
        <v>1</v>
      </c>
      <c r="F901" s="1">
        <v>4</v>
      </c>
      <c r="G901" s="1">
        <v>4</v>
      </c>
      <c r="H901" s="1">
        <v>1</v>
      </c>
      <c r="I901" s="1">
        <v>0</v>
      </c>
      <c r="J901" s="1">
        <v>4</v>
      </c>
    </row>
    <row r="902" spans="1:10" x14ac:dyDescent="0.2">
      <c r="A902" s="1">
        <v>736</v>
      </c>
      <c r="B902" s="1">
        <v>0</v>
      </c>
      <c r="C902" s="1">
        <v>16</v>
      </c>
      <c r="D902" s="1">
        <v>2</v>
      </c>
      <c r="E902" s="1">
        <v>1</v>
      </c>
      <c r="F902" s="1">
        <v>4</v>
      </c>
      <c r="G902" s="1">
        <v>4</v>
      </c>
      <c r="H902" s="1">
        <v>1</v>
      </c>
      <c r="I902" s="1">
        <v>0</v>
      </c>
      <c r="J902" s="1">
        <v>4</v>
      </c>
    </row>
    <row r="903" spans="1:10" x14ac:dyDescent="0.2">
      <c r="A903" s="1">
        <v>1366</v>
      </c>
      <c r="B903" s="1">
        <v>0</v>
      </c>
      <c r="C903" s="1">
        <v>18</v>
      </c>
      <c r="D903" s="1">
        <v>2</v>
      </c>
      <c r="E903" s="1">
        <v>1</v>
      </c>
      <c r="F903" s="1">
        <v>4</v>
      </c>
      <c r="G903" s="1">
        <v>4</v>
      </c>
      <c r="H903" s="1">
        <v>1</v>
      </c>
      <c r="I903" s="1">
        <v>2</v>
      </c>
      <c r="J903" s="1">
        <v>4</v>
      </c>
    </row>
    <row r="904" spans="1:10" x14ac:dyDescent="0.2">
      <c r="A904" s="1">
        <v>2197</v>
      </c>
      <c r="B904" s="1">
        <v>0</v>
      </c>
      <c r="C904" s="1">
        <v>18</v>
      </c>
      <c r="D904" s="1">
        <v>1</v>
      </c>
      <c r="E904" s="1">
        <v>2</v>
      </c>
      <c r="F904" s="1">
        <v>4</v>
      </c>
      <c r="G904" s="1">
        <v>4</v>
      </c>
      <c r="H904" s="1">
        <v>1</v>
      </c>
      <c r="I904" s="1">
        <v>2</v>
      </c>
      <c r="J904" s="1">
        <v>4</v>
      </c>
    </row>
    <row r="905" spans="1:10" x14ac:dyDescent="0.2">
      <c r="A905" s="1">
        <v>2294</v>
      </c>
      <c r="B905" s="1">
        <v>0</v>
      </c>
      <c r="C905" s="1">
        <v>8</v>
      </c>
      <c r="D905" s="1">
        <v>2</v>
      </c>
      <c r="E905" s="1">
        <v>3</v>
      </c>
      <c r="F905" s="1">
        <v>4</v>
      </c>
      <c r="G905" s="1">
        <v>4</v>
      </c>
      <c r="H905" s="1">
        <v>1</v>
      </c>
      <c r="I905" s="1">
        <v>0</v>
      </c>
      <c r="J905" s="1">
        <v>4</v>
      </c>
    </row>
    <row r="906" spans="1:10" x14ac:dyDescent="0.2">
      <c r="A906" s="1">
        <v>1419</v>
      </c>
      <c r="B906" s="1">
        <v>0</v>
      </c>
      <c r="C906" s="1">
        <v>19</v>
      </c>
      <c r="D906" s="1">
        <v>3</v>
      </c>
      <c r="E906" s="1">
        <v>3</v>
      </c>
      <c r="F906" s="1">
        <v>4</v>
      </c>
      <c r="G906" s="1">
        <v>4</v>
      </c>
      <c r="H906" s="1">
        <v>1</v>
      </c>
      <c r="I906" s="1">
        <v>2</v>
      </c>
      <c r="J906" s="1">
        <v>4</v>
      </c>
    </row>
    <row r="907" spans="1:10" x14ac:dyDescent="0.2">
      <c r="A907" s="1">
        <v>469</v>
      </c>
      <c r="B907" s="1">
        <v>0</v>
      </c>
      <c r="C907" s="1">
        <v>20</v>
      </c>
      <c r="D907" s="1">
        <v>1</v>
      </c>
      <c r="E907" s="1">
        <v>1</v>
      </c>
      <c r="F907" s="1">
        <v>5</v>
      </c>
      <c r="G907" s="1">
        <v>4</v>
      </c>
      <c r="H907" s="1">
        <v>1</v>
      </c>
      <c r="I907" s="1">
        <v>0</v>
      </c>
      <c r="J907" s="1">
        <v>4</v>
      </c>
    </row>
    <row r="908" spans="1:10" x14ac:dyDescent="0.2">
      <c r="A908" s="1">
        <v>1074</v>
      </c>
      <c r="B908" s="1">
        <v>0</v>
      </c>
      <c r="C908" s="1">
        <v>13</v>
      </c>
      <c r="D908" s="1">
        <v>1</v>
      </c>
      <c r="E908" s="1">
        <v>2</v>
      </c>
      <c r="F908" s="1">
        <v>5</v>
      </c>
      <c r="G908" s="1">
        <v>4</v>
      </c>
      <c r="H908" s="1">
        <v>1</v>
      </c>
      <c r="I908" s="1">
        <v>3</v>
      </c>
      <c r="J908" s="1">
        <v>4</v>
      </c>
    </row>
    <row r="909" spans="1:10" x14ac:dyDescent="0.2">
      <c r="A909" s="1">
        <v>2163</v>
      </c>
      <c r="B909" s="1">
        <v>0</v>
      </c>
      <c r="C909" s="1">
        <v>15</v>
      </c>
      <c r="D909" s="1">
        <v>5</v>
      </c>
      <c r="E909" s="1">
        <v>2</v>
      </c>
      <c r="F909" s="1">
        <v>5</v>
      </c>
      <c r="G909" s="1">
        <v>4</v>
      </c>
      <c r="H909" s="1">
        <v>1</v>
      </c>
      <c r="I909" s="1">
        <v>0</v>
      </c>
      <c r="J909" s="1">
        <v>4</v>
      </c>
    </row>
    <row r="910" spans="1:10" x14ac:dyDescent="0.2">
      <c r="A910" s="1">
        <v>1347</v>
      </c>
      <c r="B910" s="1">
        <v>0</v>
      </c>
      <c r="C910" s="1">
        <v>19</v>
      </c>
      <c r="D910" s="1">
        <v>4</v>
      </c>
      <c r="E910" s="1">
        <v>1</v>
      </c>
      <c r="F910" s="1">
        <v>6</v>
      </c>
      <c r="G910" s="1">
        <v>4</v>
      </c>
      <c r="H910" s="1">
        <v>0</v>
      </c>
      <c r="I910" s="1">
        <v>3</v>
      </c>
      <c r="J910" s="1">
        <v>4</v>
      </c>
    </row>
    <row r="911" spans="1:10" x14ac:dyDescent="0.2">
      <c r="A911" s="1">
        <v>1200</v>
      </c>
      <c r="B911" s="1">
        <v>0</v>
      </c>
      <c r="C911" s="1">
        <v>15</v>
      </c>
      <c r="D911" s="1">
        <v>5</v>
      </c>
      <c r="E911" s="1">
        <v>2</v>
      </c>
      <c r="F911" s="1">
        <v>6</v>
      </c>
      <c r="G911" s="1">
        <v>4</v>
      </c>
      <c r="H911" s="1">
        <v>1</v>
      </c>
      <c r="I911" s="1">
        <v>1</v>
      </c>
      <c r="J911" s="1">
        <v>4</v>
      </c>
    </row>
    <row r="912" spans="1:10" x14ac:dyDescent="0.2">
      <c r="A912" s="1">
        <v>1798</v>
      </c>
      <c r="B912" s="1">
        <v>0</v>
      </c>
      <c r="C912" s="1">
        <v>10</v>
      </c>
      <c r="D912" s="1">
        <v>4</v>
      </c>
      <c r="E912" s="1">
        <v>1</v>
      </c>
      <c r="F912" s="1">
        <v>7</v>
      </c>
      <c r="G912" s="1">
        <v>4</v>
      </c>
      <c r="H912" s="1">
        <v>1</v>
      </c>
      <c r="I912" s="1">
        <v>1</v>
      </c>
      <c r="J912" s="1">
        <v>4</v>
      </c>
    </row>
    <row r="913" spans="1:10" x14ac:dyDescent="0.2">
      <c r="A913" s="1">
        <v>60</v>
      </c>
      <c r="B913" s="1">
        <v>0</v>
      </c>
      <c r="C913" s="1">
        <v>18</v>
      </c>
      <c r="D913" s="1">
        <v>2</v>
      </c>
      <c r="E913" s="1">
        <v>1</v>
      </c>
      <c r="F913" s="1">
        <v>7</v>
      </c>
      <c r="G913" s="1">
        <v>4</v>
      </c>
      <c r="H913" s="1">
        <v>0</v>
      </c>
      <c r="I913" s="1">
        <v>3</v>
      </c>
      <c r="J913" s="1">
        <v>4</v>
      </c>
    </row>
    <row r="914" spans="1:10" x14ac:dyDescent="0.2">
      <c r="A914" s="1">
        <v>2344</v>
      </c>
      <c r="B914" s="1">
        <v>0</v>
      </c>
      <c r="C914" s="1">
        <v>10</v>
      </c>
      <c r="D914" s="1">
        <v>1</v>
      </c>
      <c r="E914" s="1">
        <v>3</v>
      </c>
      <c r="F914" s="1">
        <v>7</v>
      </c>
      <c r="G914" s="1">
        <v>4</v>
      </c>
      <c r="H914" s="1">
        <v>0</v>
      </c>
      <c r="I914" s="1">
        <v>1</v>
      </c>
      <c r="J914" s="1">
        <v>4</v>
      </c>
    </row>
    <row r="915" spans="1:10" x14ac:dyDescent="0.2">
      <c r="A915" s="1">
        <v>1395</v>
      </c>
      <c r="B915" s="1">
        <v>0</v>
      </c>
      <c r="C915" s="1">
        <v>12</v>
      </c>
      <c r="D915" s="1">
        <v>4</v>
      </c>
      <c r="E915" s="1">
        <v>3</v>
      </c>
      <c r="F915" s="1">
        <v>7</v>
      </c>
      <c r="G915" s="1">
        <v>4</v>
      </c>
      <c r="H915" s="1">
        <v>0</v>
      </c>
      <c r="I915" s="1">
        <v>3</v>
      </c>
      <c r="J915" s="1">
        <v>4</v>
      </c>
    </row>
    <row r="916" spans="1:10" x14ac:dyDescent="0.2">
      <c r="A916" s="1">
        <v>1533</v>
      </c>
      <c r="B916" s="1">
        <v>0</v>
      </c>
      <c r="C916" s="1">
        <v>14</v>
      </c>
      <c r="D916" s="1">
        <v>1</v>
      </c>
      <c r="E916" s="1">
        <v>3</v>
      </c>
      <c r="F916" s="1">
        <v>7</v>
      </c>
      <c r="G916" s="1">
        <v>4</v>
      </c>
      <c r="H916" s="1">
        <v>1</v>
      </c>
      <c r="I916" s="1">
        <v>1</v>
      </c>
      <c r="J916" s="1">
        <v>4</v>
      </c>
    </row>
    <row r="917" spans="1:10" x14ac:dyDescent="0.2">
      <c r="A917" s="1">
        <v>2263</v>
      </c>
      <c r="B917" s="1">
        <v>0</v>
      </c>
      <c r="C917" s="1">
        <v>16</v>
      </c>
      <c r="D917" s="1">
        <v>5</v>
      </c>
      <c r="E917" s="1">
        <v>3</v>
      </c>
      <c r="F917" s="1">
        <v>7</v>
      </c>
      <c r="G917" s="1">
        <v>4</v>
      </c>
      <c r="H917" s="1">
        <v>1</v>
      </c>
      <c r="I917" s="1">
        <v>3</v>
      </c>
      <c r="J917" s="1">
        <v>4</v>
      </c>
    </row>
    <row r="918" spans="1:10" x14ac:dyDescent="0.2">
      <c r="A918" s="1">
        <v>2088</v>
      </c>
      <c r="B918" s="1">
        <v>0</v>
      </c>
      <c r="C918" s="1">
        <v>18</v>
      </c>
      <c r="D918" s="1">
        <v>2</v>
      </c>
      <c r="E918" s="1">
        <v>3</v>
      </c>
      <c r="F918" s="1">
        <v>7</v>
      </c>
      <c r="G918" s="1">
        <v>4</v>
      </c>
      <c r="H918" s="1">
        <v>1</v>
      </c>
      <c r="I918" s="1">
        <v>1</v>
      </c>
      <c r="J918" s="1">
        <v>4</v>
      </c>
    </row>
    <row r="919" spans="1:10" x14ac:dyDescent="0.2">
      <c r="A919" s="1">
        <v>2411</v>
      </c>
      <c r="B919" s="1">
        <v>0</v>
      </c>
      <c r="C919" s="1">
        <v>12</v>
      </c>
      <c r="D919" s="1">
        <v>1</v>
      </c>
      <c r="E919" s="1">
        <v>2</v>
      </c>
      <c r="F919" s="1">
        <v>8</v>
      </c>
      <c r="G919" s="1">
        <v>4</v>
      </c>
      <c r="H919" s="1">
        <v>0</v>
      </c>
      <c r="I919" s="1">
        <v>0</v>
      </c>
      <c r="J919" s="1">
        <v>4</v>
      </c>
    </row>
    <row r="920" spans="1:10" x14ac:dyDescent="0.2">
      <c r="A920" s="1">
        <v>1473</v>
      </c>
      <c r="B920" s="1">
        <v>0</v>
      </c>
      <c r="C920" s="1">
        <v>15</v>
      </c>
      <c r="D920" s="1">
        <v>4</v>
      </c>
      <c r="E920" s="1">
        <v>2</v>
      </c>
      <c r="F920" s="1">
        <v>8</v>
      </c>
      <c r="G920" s="1">
        <v>4</v>
      </c>
      <c r="H920" s="1">
        <v>1</v>
      </c>
      <c r="I920" s="1">
        <v>2</v>
      </c>
      <c r="J920" s="1">
        <v>4</v>
      </c>
    </row>
    <row r="921" spans="1:10" x14ac:dyDescent="0.2">
      <c r="A921" s="1">
        <v>1578</v>
      </c>
      <c r="B921" s="1">
        <v>0</v>
      </c>
      <c r="C921" s="1">
        <v>17</v>
      </c>
      <c r="D921" s="1">
        <v>2</v>
      </c>
      <c r="E921" s="1">
        <v>2</v>
      </c>
      <c r="F921" s="1">
        <v>8</v>
      </c>
      <c r="G921" s="1">
        <v>4</v>
      </c>
      <c r="H921" s="1">
        <v>0</v>
      </c>
      <c r="I921" s="1">
        <v>0</v>
      </c>
      <c r="J921" s="1">
        <v>4</v>
      </c>
    </row>
    <row r="922" spans="1:10" x14ac:dyDescent="0.2">
      <c r="A922" s="1">
        <v>261</v>
      </c>
      <c r="B922" s="1">
        <v>0</v>
      </c>
      <c r="C922" s="1">
        <v>14</v>
      </c>
      <c r="D922" s="1">
        <v>1</v>
      </c>
      <c r="E922" s="1">
        <v>3</v>
      </c>
      <c r="F922" s="1">
        <v>8</v>
      </c>
      <c r="G922" s="1">
        <v>4</v>
      </c>
      <c r="H922" s="1">
        <v>1</v>
      </c>
      <c r="I922" s="1">
        <v>0</v>
      </c>
      <c r="J922" s="1">
        <v>4</v>
      </c>
    </row>
    <row r="923" spans="1:10" x14ac:dyDescent="0.2">
      <c r="A923" s="1">
        <v>607</v>
      </c>
      <c r="B923" s="1">
        <v>0</v>
      </c>
      <c r="C923" s="1">
        <v>7</v>
      </c>
      <c r="D923" s="1">
        <v>1</v>
      </c>
      <c r="E923" s="1">
        <v>3</v>
      </c>
      <c r="F923" s="1">
        <v>9</v>
      </c>
      <c r="G923" s="1">
        <v>4</v>
      </c>
      <c r="H923" s="1">
        <v>1</v>
      </c>
      <c r="I923" s="1">
        <v>1</v>
      </c>
      <c r="J923" s="1">
        <v>4</v>
      </c>
    </row>
    <row r="924" spans="1:10" x14ac:dyDescent="0.2">
      <c r="A924" s="1">
        <v>243</v>
      </c>
      <c r="B924" s="1">
        <v>0</v>
      </c>
      <c r="C924" s="1">
        <v>8</v>
      </c>
      <c r="D924" s="1">
        <v>2</v>
      </c>
      <c r="E924" s="1">
        <v>3</v>
      </c>
      <c r="F924" s="1">
        <v>9</v>
      </c>
      <c r="G924" s="1">
        <v>4</v>
      </c>
      <c r="H924" s="1">
        <v>0</v>
      </c>
      <c r="I924" s="1">
        <v>1</v>
      </c>
      <c r="J924" s="1">
        <v>4</v>
      </c>
    </row>
    <row r="925" spans="1:10" x14ac:dyDescent="0.2">
      <c r="A925" s="1">
        <v>2373</v>
      </c>
      <c r="B925" s="1">
        <v>0</v>
      </c>
      <c r="C925" s="1">
        <v>8</v>
      </c>
      <c r="D925" s="1">
        <v>5</v>
      </c>
      <c r="E925" s="1">
        <v>3</v>
      </c>
      <c r="F925" s="1">
        <v>9</v>
      </c>
      <c r="G925" s="1">
        <v>4</v>
      </c>
      <c r="H925" s="1">
        <v>1</v>
      </c>
      <c r="I925" s="1">
        <v>0</v>
      </c>
      <c r="J925" s="1">
        <v>4</v>
      </c>
    </row>
    <row r="926" spans="1:10" x14ac:dyDescent="0.2">
      <c r="A926" s="1">
        <v>2328</v>
      </c>
      <c r="B926" s="1">
        <v>0</v>
      </c>
      <c r="C926" s="1">
        <v>11</v>
      </c>
      <c r="D926" s="1">
        <v>3</v>
      </c>
      <c r="E926" s="1">
        <v>3</v>
      </c>
      <c r="F926" s="1">
        <v>10</v>
      </c>
      <c r="G926" s="1">
        <v>4</v>
      </c>
      <c r="H926" s="1">
        <v>0</v>
      </c>
      <c r="I926" s="1">
        <v>2</v>
      </c>
      <c r="J926" s="1">
        <v>4</v>
      </c>
    </row>
    <row r="927" spans="1:10" x14ac:dyDescent="0.2">
      <c r="A927" s="1">
        <v>111</v>
      </c>
      <c r="B927" s="1">
        <v>0</v>
      </c>
      <c r="C927" s="1">
        <v>13</v>
      </c>
      <c r="D927" s="1">
        <v>2</v>
      </c>
      <c r="E927" s="1">
        <v>1</v>
      </c>
      <c r="F927" s="1">
        <v>1</v>
      </c>
      <c r="G927" s="1">
        <v>4</v>
      </c>
      <c r="H927" s="1">
        <v>0</v>
      </c>
      <c r="I927" s="1">
        <v>0</v>
      </c>
      <c r="J927" s="1">
        <v>5</v>
      </c>
    </row>
    <row r="928" spans="1:10" x14ac:dyDescent="0.2">
      <c r="A928" s="1">
        <v>485</v>
      </c>
      <c r="B928" s="1">
        <v>0</v>
      </c>
      <c r="C928" s="1">
        <v>11</v>
      </c>
      <c r="D928" s="1">
        <v>2</v>
      </c>
      <c r="E928" s="1">
        <v>2</v>
      </c>
      <c r="F928" s="1">
        <v>1</v>
      </c>
      <c r="G928" s="1">
        <v>4</v>
      </c>
      <c r="H928" s="1">
        <v>1</v>
      </c>
      <c r="I928" s="1">
        <v>0</v>
      </c>
      <c r="J928" s="1">
        <v>5</v>
      </c>
    </row>
    <row r="929" spans="1:10" x14ac:dyDescent="0.2">
      <c r="A929" s="1">
        <v>1490</v>
      </c>
      <c r="B929" s="1">
        <v>0</v>
      </c>
      <c r="C929" s="1">
        <v>13</v>
      </c>
      <c r="D929" s="1">
        <v>4</v>
      </c>
      <c r="E929" s="1">
        <v>2</v>
      </c>
      <c r="F929" s="1">
        <v>1</v>
      </c>
      <c r="G929" s="1">
        <v>4</v>
      </c>
      <c r="H929" s="1">
        <v>0</v>
      </c>
      <c r="I929" s="1">
        <v>1</v>
      </c>
      <c r="J929" s="1">
        <v>5</v>
      </c>
    </row>
    <row r="930" spans="1:10" x14ac:dyDescent="0.2">
      <c r="A930" s="1">
        <v>643</v>
      </c>
      <c r="B930" s="1">
        <v>0</v>
      </c>
      <c r="C930" s="1">
        <v>15</v>
      </c>
      <c r="D930" s="1">
        <v>4</v>
      </c>
      <c r="E930" s="1">
        <v>2</v>
      </c>
      <c r="F930" s="1">
        <v>1</v>
      </c>
      <c r="G930" s="1">
        <v>4</v>
      </c>
      <c r="H930" s="1">
        <v>0</v>
      </c>
      <c r="I930" s="1">
        <v>3</v>
      </c>
      <c r="J930" s="1">
        <v>5</v>
      </c>
    </row>
    <row r="931" spans="1:10" x14ac:dyDescent="0.2">
      <c r="A931" s="1">
        <v>1752</v>
      </c>
      <c r="B931" s="1">
        <v>0</v>
      </c>
      <c r="C931" s="1">
        <v>8</v>
      </c>
      <c r="D931" s="1">
        <v>3</v>
      </c>
      <c r="E931" s="1">
        <v>3</v>
      </c>
      <c r="F931" s="1">
        <v>1</v>
      </c>
      <c r="G931" s="1">
        <v>4</v>
      </c>
      <c r="H931" s="1">
        <v>1</v>
      </c>
      <c r="I931" s="1">
        <v>0</v>
      </c>
      <c r="J931" s="1">
        <v>5</v>
      </c>
    </row>
    <row r="932" spans="1:10" x14ac:dyDescent="0.2">
      <c r="A932" s="1">
        <v>158</v>
      </c>
      <c r="B932" s="1">
        <v>0</v>
      </c>
      <c r="C932" s="1">
        <v>12</v>
      </c>
      <c r="D932" s="1">
        <v>5</v>
      </c>
      <c r="E932" s="1">
        <v>1</v>
      </c>
      <c r="F932" s="1">
        <v>2</v>
      </c>
      <c r="G932" s="1">
        <v>4</v>
      </c>
      <c r="H932" s="1">
        <v>0</v>
      </c>
      <c r="I932" s="1">
        <v>1</v>
      </c>
      <c r="J932" s="1">
        <v>5</v>
      </c>
    </row>
    <row r="933" spans="1:10" x14ac:dyDescent="0.2">
      <c r="A933" s="1">
        <v>2269</v>
      </c>
      <c r="B933" s="1">
        <v>0</v>
      </c>
      <c r="C933" s="1">
        <v>14</v>
      </c>
      <c r="D933" s="1">
        <v>5</v>
      </c>
      <c r="E933" s="1">
        <v>2</v>
      </c>
      <c r="F933" s="1">
        <v>2</v>
      </c>
      <c r="G933" s="1">
        <v>4</v>
      </c>
      <c r="H933" s="1">
        <v>1</v>
      </c>
      <c r="I933" s="1">
        <v>1</v>
      </c>
      <c r="J933" s="1">
        <v>5</v>
      </c>
    </row>
    <row r="934" spans="1:10" x14ac:dyDescent="0.2">
      <c r="A934" s="1">
        <v>443</v>
      </c>
      <c r="B934" s="1">
        <v>0</v>
      </c>
      <c r="C934" s="1">
        <v>10</v>
      </c>
      <c r="D934" s="1">
        <v>2</v>
      </c>
      <c r="E934" s="1">
        <v>3</v>
      </c>
      <c r="F934" s="1">
        <v>2</v>
      </c>
      <c r="G934" s="1">
        <v>4</v>
      </c>
      <c r="H934" s="1">
        <v>1</v>
      </c>
      <c r="I934" s="1">
        <v>2</v>
      </c>
      <c r="J934" s="1">
        <v>5</v>
      </c>
    </row>
    <row r="935" spans="1:10" x14ac:dyDescent="0.2">
      <c r="A935" s="1">
        <v>1710</v>
      </c>
      <c r="B935" s="1">
        <v>0</v>
      </c>
      <c r="C935" s="1">
        <v>9</v>
      </c>
      <c r="D935" s="1">
        <v>4</v>
      </c>
      <c r="E935" s="1">
        <v>1</v>
      </c>
      <c r="F935" s="1">
        <v>3</v>
      </c>
      <c r="G935" s="1">
        <v>4</v>
      </c>
      <c r="H935" s="1">
        <v>0</v>
      </c>
      <c r="I935" s="1">
        <v>2</v>
      </c>
      <c r="J935" s="1">
        <v>5</v>
      </c>
    </row>
    <row r="936" spans="1:10" x14ac:dyDescent="0.2">
      <c r="A936" s="1">
        <v>791</v>
      </c>
      <c r="B936" s="1">
        <v>0</v>
      </c>
      <c r="C936" s="1">
        <v>10</v>
      </c>
      <c r="D936" s="1">
        <v>2</v>
      </c>
      <c r="E936" s="1">
        <v>1</v>
      </c>
      <c r="F936" s="1">
        <v>3</v>
      </c>
      <c r="G936" s="1">
        <v>4</v>
      </c>
      <c r="H936" s="1">
        <v>0</v>
      </c>
      <c r="I936" s="1">
        <v>3</v>
      </c>
      <c r="J936" s="1">
        <v>5</v>
      </c>
    </row>
    <row r="937" spans="1:10" x14ac:dyDescent="0.2">
      <c r="A937" s="1">
        <v>2225</v>
      </c>
      <c r="B937" s="1">
        <v>0</v>
      </c>
      <c r="C937" s="1">
        <v>6</v>
      </c>
      <c r="D937" s="1">
        <v>4</v>
      </c>
      <c r="E937" s="1">
        <v>1</v>
      </c>
      <c r="F937" s="1">
        <v>4</v>
      </c>
      <c r="G937" s="1">
        <v>4</v>
      </c>
      <c r="H937" s="1">
        <v>1</v>
      </c>
      <c r="I937" s="1">
        <v>1</v>
      </c>
      <c r="J937" s="1">
        <v>5</v>
      </c>
    </row>
    <row r="938" spans="1:10" x14ac:dyDescent="0.2">
      <c r="A938" s="1">
        <v>1381</v>
      </c>
      <c r="B938" s="1">
        <v>0</v>
      </c>
      <c r="C938" s="1">
        <v>15</v>
      </c>
      <c r="D938" s="1">
        <v>2</v>
      </c>
      <c r="E938" s="1">
        <v>1</v>
      </c>
      <c r="F938" s="1">
        <v>4</v>
      </c>
      <c r="G938" s="1">
        <v>4</v>
      </c>
      <c r="H938" s="1">
        <v>1</v>
      </c>
      <c r="I938" s="1">
        <v>1</v>
      </c>
      <c r="J938" s="1">
        <v>5</v>
      </c>
    </row>
    <row r="939" spans="1:10" x14ac:dyDescent="0.2">
      <c r="A939" s="1">
        <v>292</v>
      </c>
      <c r="B939" s="1">
        <v>0</v>
      </c>
      <c r="C939" s="1">
        <v>16</v>
      </c>
      <c r="D939" s="1">
        <v>3</v>
      </c>
      <c r="E939" s="1">
        <v>2</v>
      </c>
      <c r="F939" s="1">
        <v>4</v>
      </c>
      <c r="G939" s="1">
        <v>4</v>
      </c>
      <c r="H939" s="1">
        <v>1</v>
      </c>
      <c r="I939" s="1">
        <v>2</v>
      </c>
      <c r="J939" s="1">
        <v>5</v>
      </c>
    </row>
    <row r="940" spans="1:10" x14ac:dyDescent="0.2">
      <c r="A940" s="1">
        <v>1877</v>
      </c>
      <c r="B940" s="1">
        <v>0</v>
      </c>
      <c r="C940" s="1">
        <v>20</v>
      </c>
      <c r="D940" s="1">
        <v>1</v>
      </c>
      <c r="E940" s="1">
        <v>2</v>
      </c>
      <c r="F940" s="1">
        <v>4</v>
      </c>
      <c r="G940" s="1">
        <v>4</v>
      </c>
      <c r="H940" s="1">
        <v>0</v>
      </c>
      <c r="I940" s="1">
        <v>1</v>
      </c>
      <c r="J940" s="1">
        <v>5</v>
      </c>
    </row>
    <row r="941" spans="1:10" x14ac:dyDescent="0.2">
      <c r="A941" s="1">
        <v>1119</v>
      </c>
      <c r="B941" s="1">
        <v>0</v>
      </c>
      <c r="C941" s="1">
        <v>6</v>
      </c>
      <c r="D941" s="1">
        <v>4</v>
      </c>
      <c r="E941" s="1">
        <v>3</v>
      </c>
      <c r="F941" s="1">
        <v>4</v>
      </c>
      <c r="G941" s="1">
        <v>4</v>
      </c>
      <c r="H941" s="1">
        <v>1</v>
      </c>
      <c r="I941" s="1">
        <v>3</v>
      </c>
      <c r="J941" s="1">
        <v>5</v>
      </c>
    </row>
    <row r="942" spans="1:10" x14ac:dyDescent="0.2">
      <c r="A942" s="1">
        <v>1463</v>
      </c>
      <c r="B942" s="1">
        <v>0</v>
      </c>
      <c r="C942" s="1">
        <v>15</v>
      </c>
      <c r="D942" s="1">
        <v>3</v>
      </c>
      <c r="E942" s="1">
        <v>3</v>
      </c>
      <c r="F942" s="1">
        <v>4</v>
      </c>
      <c r="G942" s="1">
        <v>4</v>
      </c>
      <c r="H942" s="1">
        <v>1</v>
      </c>
      <c r="I942" s="1">
        <v>1</v>
      </c>
      <c r="J942" s="1">
        <v>5</v>
      </c>
    </row>
    <row r="943" spans="1:10" x14ac:dyDescent="0.2">
      <c r="A943" s="1">
        <v>1086</v>
      </c>
      <c r="B943" s="1">
        <v>0</v>
      </c>
      <c r="C943" s="1">
        <v>13</v>
      </c>
      <c r="D943" s="1">
        <v>4</v>
      </c>
      <c r="E943" s="1">
        <v>2</v>
      </c>
      <c r="F943" s="1">
        <v>5</v>
      </c>
      <c r="G943" s="1">
        <v>4</v>
      </c>
      <c r="H943" s="1">
        <v>0</v>
      </c>
      <c r="I943" s="1">
        <v>0</v>
      </c>
      <c r="J943" s="1">
        <v>5</v>
      </c>
    </row>
    <row r="944" spans="1:10" x14ac:dyDescent="0.2">
      <c r="A944" s="1">
        <v>1461</v>
      </c>
      <c r="B944" s="1">
        <v>0</v>
      </c>
      <c r="C944" s="1">
        <v>15</v>
      </c>
      <c r="D944" s="1">
        <v>2</v>
      </c>
      <c r="E944" s="1">
        <v>2</v>
      </c>
      <c r="F944" s="1">
        <v>5</v>
      </c>
      <c r="G944" s="1">
        <v>4</v>
      </c>
      <c r="H944" s="1">
        <v>0</v>
      </c>
      <c r="I944" s="1">
        <v>2</v>
      </c>
      <c r="J944" s="1">
        <v>5</v>
      </c>
    </row>
    <row r="945" spans="1:10" x14ac:dyDescent="0.2">
      <c r="A945" s="1">
        <v>1428</v>
      </c>
      <c r="B945" s="1">
        <v>0</v>
      </c>
      <c r="C945" s="1">
        <v>16</v>
      </c>
      <c r="D945" s="1">
        <v>5</v>
      </c>
      <c r="E945" s="1">
        <v>2</v>
      </c>
      <c r="F945" s="1">
        <v>5</v>
      </c>
      <c r="G945" s="1">
        <v>4</v>
      </c>
      <c r="H945" s="1">
        <v>0</v>
      </c>
      <c r="I945" s="1">
        <v>3</v>
      </c>
      <c r="J945" s="1">
        <v>5</v>
      </c>
    </row>
    <row r="946" spans="1:10" x14ac:dyDescent="0.2">
      <c r="A946" s="1">
        <v>744</v>
      </c>
      <c r="B946" s="1">
        <v>0</v>
      </c>
      <c r="C946" s="1">
        <v>15</v>
      </c>
      <c r="D946" s="1">
        <v>4</v>
      </c>
      <c r="E946" s="1">
        <v>3</v>
      </c>
      <c r="F946" s="1">
        <v>5</v>
      </c>
      <c r="G946" s="1">
        <v>4</v>
      </c>
      <c r="H946" s="1">
        <v>1</v>
      </c>
      <c r="I946" s="1">
        <v>0</v>
      </c>
      <c r="J946" s="1">
        <v>5</v>
      </c>
    </row>
    <row r="947" spans="1:10" x14ac:dyDescent="0.2">
      <c r="A947" s="1">
        <v>535</v>
      </c>
      <c r="B947" s="1">
        <v>0</v>
      </c>
      <c r="C947" s="1">
        <v>11</v>
      </c>
      <c r="D947" s="1">
        <v>2</v>
      </c>
      <c r="E947" s="1">
        <v>1</v>
      </c>
      <c r="F947" s="1">
        <v>6</v>
      </c>
      <c r="G947" s="1">
        <v>4</v>
      </c>
      <c r="H947" s="1">
        <v>0</v>
      </c>
      <c r="I947" s="1">
        <v>2</v>
      </c>
      <c r="J947" s="1">
        <v>5</v>
      </c>
    </row>
    <row r="948" spans="1:10" x14ac:dyDescent="0.2">
      <c r="A948" s="1">
        <v>1487</v>
      </c>
      <c r="B948" s="1">
        <v>0</v>
      </c>
      <c r="C948" s="1">
        <v>11</v>
      </c>
      <c r="D948" s="1">
        <v>3</v>
      </c>
      <c r="E948" s="1">
        <v>1</v>
      </c>
      <c r="F948" s="1">
        <v>6</v>
      </c>
      <c r="G948" s="1">
        <v>4</v>
      </c>
      <c r="H948" s="1">
        <v>0</v>
      </c>
      <c r="I948" s="1">
        <v>2</v>
      </c>
      <c r="J948" s="1">
        <v>5</v>
      </c>
    </row>
    <row r="949" spans="1:10" x14ac:dyDescent="0.2">
      <c r="A949" s="1">
        <v>1073</v>
      </c>
      <c r="B949" s="1">
        <v>0</v>
      </c>
      <c r="C949" s="1">
        <v>11</v>
      </c>
      <c r="D949" s="1">
        <v>4</v>
      </c>
      <c r="E949" s="1">
        <v>3</v>
      </c>
      <c r="F949" s="1">
        <v>6</v>
      </c>
      <c r="G949" s="1">
        <v>4</v>
      </c>
      <c r="H949" s="1">
        <v>1</v>
      </c>
      <c r="I949" s="1">
        <v>0</v>
      </c>
      <c r="J949" s="1">
        <v>5</v>
      </c>
    </row>
    <row r="950" spans="1:10" x14ac:dyDescent="0.2">
      <c r="A950" s="1">
        <v>74</v>
      </c>
      <c r="B950" s="1">
        <v>0</v>
      </c>
      <c r="C950" s="1">
        <v>13</v>
      </c>
      <c r="D950" s="1">
        <v>5</v>
      </c>
      <c r="E950" s="1">
        <v>3</v>
      </c>
      <c r="F950" s="1">
        <v>6</v>
      </c>
      <c r="G950" s="1">
        <v>4</v>
      </c>
      <c r="H950" s="1">
        <v>1</v>
      </c>
      <c r="I950" s="1">
        <v>2</v>
      </c>
      <c r="J950" s="1">
        <v>5</v>
      </c>
    </row>
    <row r="951" spans="1:10" x14ac:dyDescent="0.2">
      <c r="A951" s="1">
        <v>2208</v>
      </c>
      <c r="B951" s="1">
        <v>0</v>
      </c>
      <c r="C951" s="1">
        <v>14</v>
      </c>
      <c r="D951" s="1">
        <v>1</v>
      </c>
      <c r="E951" s="1">
        <v>3</v>
      </c>
      <c r="F951" s="1">
        <v>7</v>
      </c>
      <c r="G951" s="1">
        <v>4</v>
      </c>
      <c r="H951" s="1">
        <v>0</v>
      </c>
      <c r="I951" s="1">
        <v>1</v>
      </c>
      <c r="J951" s="1">
        <v>5</v>
      </c>
    </row>
    <row r="952" spans="1:10" x14ac:dyDescent="0.2">
      <c r="A952" s="1">
        <v>1108</v>
      </c>
      <c r="B952" s="1">
        <v>0</v>
      </c>
      <c r="C952" s="1">
        <v>16</v>
      </c>
      <c r="D952" s="1">
        <v>4</v>
      </c>
      <c r="E952" s="1">
        <v>3</v>
      </c>
      <c r="F952" s="1">
        <v>7</v>
      </c>
      <c r="G952" s="1">
        <v>4</v>
      </c>
      <c r="H952" s="1">
        <v>0</v>
      </c>
      <c r="I952" s="1">
        <v>3</v>
      </c>
      <c r="J952" s="1">
        <v>5</v>
      </c>
    </row>
    <row r="953" spans="1:10" x14ac:dyDescent="0.2">
      <c r="A953" s="1">
        <v>1872</v>
      </c>
      <c r="B953" s="1">
        <v>0</v>
      </c>
      <c r="C953" s="1">
        <v>13</v>
      </c>
      <c r="D953" s="1">
        <v>4</v>
      </c>
      <c r="E953" s="1">
        <v>2</v>
      </c>
      <c r="F953" s="1">
        <v>8</v>
      </c>
      <c r="G953" s="1">
        <v>4</v>
      </c>
      <c r="H953" s="1">
        <v>1</v>
      </c>
      <c r="I953" s="1">
        <v>0</v>
      </c>
      <c r="J953" s="1">
        <v>5</v>
      </c>
    </row>
    <row r="954" spans="1:10" x14ac:dyDescent="0.2">
      <c r="A954" s="1">
        <v>964</v>
      </c>
      <c r="B954" s="1">
        <v>0</v>
      </c>
      <c r="C954" s="1">
        <v>19</v>
      </c>
      <c r="D954" s="1">
        <v>4</v>
      </c>
      <c r="E954" s="1">
        <v>2</v>
      </c>
      <c r="F954" s="1">
        <v>8</v>
      </c>
      <c r="G954" s="1">
        <v>4</v>
      </c>
      <c r="H954" s="1">
        <v>0</v>
      </c>
      <c r="I954" s="1">
        <v>3</v>
      </c>
      <c r="J954" s="1">
        <v>5</v>
      </c>
    </row>
    <row r="955" spans="1:10" x14ac:dyDescent="0.2">
      <c r="A955" s="1">
        <v>968</v>
      </c>
      <c r="B955" s="1">
        <v>0</v>
      </c>
      <c r="C955" s="1">
        <v>13</v>
      </c>
      <c r="D955" s="1">
        <v>1</v>
      </c>
      <c r="E955" s="1">
        <v>3</v>
      </c>
      <c r="F955" s="1">
        <v>8</v>
      </c>
      <c r="G955" s="1">
        <v>4</v>
      </c>
      <c r="H955" s="1">
        <v>1</v>
      </c>
      <c r="I955" s="1">
        <v>0</v>
      </c>
      <c r="J955" s="1">
        <v>5</v>
      </c>
    </row>
    <row r="956" spans="1:10" x14ac:dyDescent="0.2">
      <c r="A956" s="1">
        <v>1257</v>
      </c>
      <c r="B956" s="1">
        <v>0</v>
      </c>
      <c r="C956" s="1">
        <v>14</v>
      </c>
      <c r="D956" s="1">
        <v>1</v>
      </c>
      <c r="E956" s="1">
        <v>3</v>
      </c>
      <c r="F956" s="1">
        <v>8</v>
      </c>
      <c r="G956" s="1">
        <v>4</v>
      </c>
      <c r="H956" s="1">
        <v>1</v>
      </c>
      <c r="I956" s="1">
        <v>3</v>
      </c>
      <c r="J956" s="1">
        <v>5</v>
      </c>
    </row>
    <row r="957" spans="1:10" x14ac:dyDescent="0.2">
      <c r="A957" s="1">
        <v>1874</v>
      </c>
      <c r="B957" s="1">
        <v>0</v>
      </c>
      <c r="C957" s="1">
        <v>10</v>
      </c>
      <c r="D957" s="1">
        <v>1</v>
      </c>
      <c r="E957" s="1">
        <v>2</v>
      </c>
      <c r="F957" s="1">
        <v>9</v>
      </c>
      <c r="G957" s="1">
        <v>4</v>
      </c>
      <c r="H957" s="1">
        <v>0</v>
      </c>
      <c r="I957" s="1">
        <v>1</v>
      </c>
      <c r="J957" s="1">
        <v>5</v>
      </c>
    </row>
    <row r="958" spans="1:10" x14ac:dyDescent="0.2">
      <c r="A958" s="1">
        <v>193</v>
      </c>
      <c r="B958" s="1">
        <v>0</v>
      </c>
      <c r="C958" s="1">
        <v>12</v>
      </c>
      <c r="D958" s="1">
        <v>5</v>
      </c>
      <c r="E958" s="1">
        <v>2</v>
      </c>
      <c r="F958" s="1">
        <v>9</v>
      </c>
      <c r="G958" s="1">
        <v>4</v>
      </c>
      <c r="H958" s="1">
        <v>0</v>
      </c>
      <c r="I958" s="1">
        <v>3</v>
      </c>
      <c r="J958" s="1">
        <v>5</v>
      </c>
    </row>
    <row r="959" spans="1:10" x14ac:dyDescent="0.2">
      <c r="A959" s="1">
        <v>254</v>
      </c>
      <c r="B959" s="1">
        <v>0</v>
      </c>
      <c r="C959" s="1">
        <v>13</v>
      </c>
      <c r="D959" s="1">
        <v>1</v>
      </c>
      <c r="E959" s="1">
        <v>2</v>
      </c>
      <c r="F959" s="1">
        <v>9</v>
      </c>
      <c r="G959" s="1">
        <v>4</v>
      </c>
      <c r="H959" s="1">
        <v>0</v>
      </c>
      <c r="I959" s="1">
        <v>2</v>
      </c>
      <c r="J959" s="1">
        <v>5</v>
      </c>
    </row>
    <row r="960" spans="1:10" x14ac:dyDescent="0.2">
      <c r="A960" s="1">
        <v>1968</v>
      </c>
      <c r="B960" s="1">
        <v>0</v>
      </c>
      <c r="C960" s="1">
        <v>15</v>
      </c>
      <c r="D960" s="1">
        <v>2</v>
      </c>
      <c r="E960" s="1">
        <v>3</v>
      </c>
      <c r="F960" s="1">
        <v>9</v>
      </c>
      <c r="G960" s="1">
        <v>4</v>
      </c>
      <c r="H960" s="1">
        <v>1</v>
      </c>
      <c r="I960" s="1">
        <v>2</v>
      </c>
      <c r="J960" s="1">
        <v>5</v>
      </c>
    </row>
    <row r="961" spans="1:10" x14ac:dyDescent="0.2">
      <c r="A961" s="1">
        <v>1378</v>
      </c>
      <c r="B961" s="1">
        <v>0</v>
      </c>
      <c r="C961" s="1">
        <v>16</v>
      </c>
      <c r="D961" s="1">
        <v>5</v>
      </c>
      <c r="E961" s="1">
        <v>3</v>
      </c>
      <c r="F961" s="1">
        <v>9</v>
      </c>
      <c r="G961" s="1">
        <v>4</v>
      </c>
      <c r="H961" s="1">
        <v>0</v>
      </c>
      <c r="I961" s="1">
        <v>0</v>
      </c>
      <c r="J961" s="1">
        <v>5</v>
      </c>
    </row>
    <row r="962" spans="1:10" x14ac:dyDescent="0.2">
      <c r="A962" s="1">
        <v>680</v>
      </c>
      <c r="B962" s="1">
        <v>0</v>
      </c>
      <c r="C962" s="1">
        <v>17</v>
      </c>
      <c r="D962" s="1">
        <v>4</v>
      </c>
      <c r="E962" s="1">
        <v>3</v>
      </c>
      <c r="F962" s="1">
        <v>9</v>
      </c>
      <c r="G962" s="1">
        <v>4</v>
      </c>
      <c r="H962" s="1">
        <v>1</v>
      </c>
      <c r="I962" s="1">
        <v>0</v>
      </c>
      <c r="J962" s="1">
        <v>5</v>
      </c>
    </row>
    <row r="963" spans="1:10" x14ac:dyDescent="0.2">
      <c r="A963" s="1">
        <v>2395</v>
      </c>
      <c r="B963" s="1">
        <v>0</v>
      </c>
      <c r="C963" s="1">
        <v>19</v>
      </c>
      <c r="D963" s="1">
        <v>3</v>
      </c>
      <c r="E963" s="1">
        <v>2</v>
      </c>
      <c r="F963" s="1">
        <v>10</v>
      </c>
      <c r="G963" s="1">
        <v>4</v>
      </c>
      <c r="H963" s="1">
        <v>1</v>
      </c>
      <c r="I963" s="1">
        <v>2</v>
      </c>
      <c r="J963" s="1">
        <v>5</v>
      </c>
    </row>
    <row r="964" spans="1:10" x14ac:dyDescent="0.2">
      <c r="A964" s="1">
        <v>1389</v>
      </c>
      <c r="B964" s="1">
        <v>0</v>
      </c>
      <c r="C964" s="1">
        <v>20</v>
      </c>
      <c r="D964" s="1">
        <v>2</v>
      </c>
      <c r="E964" s="1">
        <v>2</v>
      </c>
      <c r="F964" s="1">
        <v>10</v>
      </c>
      <c r="G964" s="1">
        <v>4</v>
      </c>
      <c r="H964" s="1">
        <v>0</v>
      </c>
      <c r="I964" s="1">
        <v>3</v>
      </c>
      <c r="J964" s="1">
        <v>5</v>
      </c>
    </row>
    <row r="965" spans="1:10" x14ac:dyDescent="0.2">
      <c r="A965" s="1">
        <v>1231</v>
      </c>
      <c r="B965" s="1">
        <v>0</v>
      </c>
      <c r="C965" s="1">
        <v>9</v>
      </c>
      <c r="D965" s="1">
        <v>3</v>
      </c>
      <c r="E965" s="1">
        <v>3</v>
      </c>
      <c r="F965" s="1">
        <v>10</v>
      </c>
      <c r="G965" s="1">
        <v>4</v>
      </c>
      <c r="H965" s="1">
        <v>0</v>
      </c>
      <c r="I965" s="1">
        <v>0</v>
      </c>
      <c r="J965" s="1">
        <v>5</v>
      </c>
    </row>
    <row r="966" spans="1:10" x14ac:dyDescent="0.2">
      <c r="A966" s="1">
        <v>1387</v>
      </c>
      <c r="B966" s="1">
        <v>0</v>
      </c>
      <c r="C966" s="1">
        <v>13</v>
      </c>
      <c r="D966" s="1">
        <v>3</v>
      </c>
      <c r="E966" s="1">
        <v>3</v>
      </c>
      <c r="F966" s="1">
        <v>10</v>
      </c>
      <c r="G966" s="1">
        <v>4</v>
      </c>
      <c r="H966" s="1">
        <v>1</v>
      </c>
      <c r="I966" s="1">
        <v>3</v>
      </c>
      <c r="J966" s="1">
        <v>5</v>
      </c>
    </row>
    <row r="967" spans="1:10" x14ac:dyDescent="0.2">
      <c r="A967" s="1">
        <v>1426</v>
      </c>
      <c r="B967" s="1">
        <v>0</v>
      </c>
      <c r="C967" s="1">
        <v>16</v>
      </c>
      <c r="D967" s="1">
        <v>4</v>
      </c>
      <c r="E967" s="1">
        <v>3</v>
      </c>
      <c r="F967" s="1">
        <v>10</v>
      </c>
      <c r="G967" s="1">
        <v>4</v>
      </c>
      <c r="H967" s="1">
        <v>1</v>
      </c>
      <c r="I967" s="1">
        <v>0</v>
      </c>
      <c r="J967" s="1">
        <v>5</v>
      </c>
    </row>
    <row r="968" spans="1:10" x14ac:dyDescent="0.2">
      <c r="A968" s="1">
        <v>2484</v>
      </c>
      <c r="B968" s="1">
        <v>0</v>
      </c>
      <c r="C968" s="1">
        <v>8</v>
      </c>
      <c r="D968" s="1">
        <v>4</v>
      </c>
      <c r="E968" s="1">
        <v>1</v>
      </c>
      <c r="F968" s="1">
        <v>1</v>
      </c>
      <c r="G968" s="1">
        <v>5</v>
      </c>
      <c r="H968" s="1">
        <v>0</v>
      </c>
      <c r="I968" s="1">
        <v>0</v>
      </c>
      <c r="J968" s="1">
        <v>1</v>
      </c>
    </row>
    <row r="969" spans="1:10" x14ac:dyDescent="0.2">
      <c r="A969" s="1">
        <v>2171</v>
      </c>
      <c r="B969" s="1">
        <v>0</v>
      </c>
      <c r="C969" s="1">
        <v>9</v>
      </c>
      <c r="D969" s="1">
        <v>5</v>
      </c>
      <c r="E969" s="1">
        <v>3</v>
      </c>
      <c r="F969" s="1">
        <v>1</v>
      </c>
      <c r="G969" s="1">
        <v>5</v>
      </c>
      <c r="H969" s="1">
        <v>1</v>
      </c>
      <c r="I969" s="1">
        <v>2</v>
      </c>
      <c r="J969" s="1">
        <v>1</v>
      </c>
    </row>
    <row r="970" spans="1:10" x14ac:dyDescent="0.2">
      <c r="A970" s="1">
        <v>1195</v>
      </c>
      <c r="B970" s="1">
        <v>0</v>
      </c>
      <c r="C970" s="1">
        <v>15</v>
      </c>
      <c r="D970" s="1">
        <v>2</v>
      </c>
      <c r="E970" s="1">
        <v>3</v>
      </c>
      <c r="F970" s="1">
        <v>1</v>
      </c>
      <c r="G970" s="1">
        <v>5</v>
      </c>
      <c r="H970" s="1">
        <v>0</v>
      </c>
      <c r="I970" s="1">
        <v>2</v>
      </c>
      <c r="J970" s="1">
        <v>1</v>
      </c>
    </row>
    <row r="971" spans="1:10" x14ac:dyDescent="0.2">
      <c r="A971" s="1">
        <v>1781</v>
      </c>
      <c r="B971" s="1">
        <v>0</v>
      </c>
      <c r="C971" s="1">
        <v>15</v>
      </c>
      <c r="D971" s="1">
        <v>1</v>
      </c>
      <c r="E971" s="1">
        <v>1</v>
      </c>
      <c r="F971" s="1">
        <v>2</v>
      </c>
      <c r="G971" s="1">
        <v>5</v>
      </c>
      <c r="H971" s="1">
        <v>1</v>
      </c>
      <c r="I971" s="1">
        <v>0</v>
      </c>
      <c r="J971" s="1">
        <v>1</v>
      </c>
    </row>
    <row r="972" spans="1:10" x14ac:dyDescent="0.2">
      <c r="A972" s="1">
        <v>1706</v>
      </c>
      <c r="B972" s="1">
        <v>0</v>
      </c>
      <c r="C972" s="1">
        <v>18</v>
      </c>
      <c r="D972" s="1">
        <v>3</v>
      </c>
      <c r="E972" s="1">
        <v>1</v>
      </c>
      <c r="F972" s="1">
        <v>2</v>
      </c>
      <c r="G972" s="1">
        <v>5</v>
      </c>
      <c r="H972" s="1">
        <v>1</v>
      </c>
      <c r="I972" s="1">
        <v>2</v>
      </c>
      <c r="J972" s="1">
        <v>1</v>
      </c>
    </row>
    <row r="973" spans="1:10" x14ac:dyDescent="0.2">
      <c r="A973" s="1">
        <v>1637</v>
      </c>
      <c r="B973" s="1">
        <v>0</v>
      </c>
      <c r="C973" s="1">
        <v>20</v>
      </c>
      <c r="D973" s="1">
        <v>2</v>
      </c>
      <c r="E973" s="1">
        <v>2</v>
      </c>
      <c r="F973" s="1">
        <v>2</v>
      </c>
      <c r="G973" s="1">
        <v>5</v>
      </c>
      <c r="H973" s="1">
        <v>0</v>
      </c>
      <c r="I973" s="1">
        <v>0</v>
      </c>
      <c r="J973" s="1">
        <v>1</v>
      </c>
    </row>
    <row r="974" spans="1:10" x14ac:dyDescent="0.2">
      <c r="A974" s="1">
        <v>1906</v>
      </c>
      <c r="B974" s="1">
        <v>0</v>
      </c>
      <c r="C974" s="1">
        <v>6</v>
      </c>
      <c r="D974" s="1">
        <v>5</v>
      </c>
      <c r="E974" s="1">
        <v>1</v>
      </c>
      <c r="F974" s="1">
        <v>3</v>
      </c>
      <c r="G974" s="1">
        <v>5</v>
      </c>
      <c r="H974" s="1">
        <v>0</v>
      </c>
      <c r="I974" s="1">
        <v>3</v>
      </c>
      <c r="J974" s="1">
        <v>1</v>
      </c>
    </row>
    <row r="975" spans="1:10" x14ac:dyDescent="0.2">
      <c r="A975" s="1">
        <v>719</v>
      </c>
      <c r="B975" s="1">
        <v>0</v>
      </c>
      <c r="C975" s="1">
        <v>14</v>
      </c>
      <c r="D975" s="1">
        <v>1</v>
      </c>
      <c r="E975" s="1">
        <v>1</v>
      </c>
      <c r="F975" s="1">
        <v>3</v>
      </c>
      <c r="G975" s="1">
        <v>5</v>
      </c>
      <c r="H975" s="1">
        <v>0</v>
      </c>
      <c r="I975" s="1">
        <v>0</v>
      </c>
      <c r="J975" s="1">
        <v>1</v>
      </c>
    </row>
    <row r="976" spans="1:10" x14ac:dyDescent="0.2">
      <c r="A976" s="1">
        <v>1041</v>
      </c>
      <c r="B976" s="1">
        <v>0</v>
      </c>
      <c r="C976" s="1">
        <v>14</v>
      </c>
      <c r="D976" s="1">
        <v>4</v>
      </c>
      <c r="E976" s="1">
        <v>1</v>
      </c>
      <c r="F976" s="1">
        <v>3</v>
      </c>
      <c r="G976" s="1">
        <v>5</v>
      </c>
      <c r="H976" s="1">
        <v>1</v>
      </c>
      <c r="I976" s="1">
        <v>3</v>
      </c>
      <c r="J976" s="1">
        <v>1</v>
      </c>
    </row>
    <row r="977" spans="1:10" x14ac:dyDescent="0.2">
      <c r="A977" s="1">
        <v>2059</v>
      </c>
      <c r="B977" s="1">
        <v>0</v>
      </c>
      <c r="C977" s="1">
        <v>20</v>
      </c>
      <c r="D977" s="1">
        <v>5</v>
      </c>
      <c r="E977" s="1">
        <v>1</v>
      </c>
      <c r="F977" s="1">
        <v>3</v>
      </c>
      <c r="G977" s="1">
        <v>5</v>
      </c>
      <c r="H977" s="1">
        <v>0</v>
      </c>
      <c r="I977" s="1">
        <v>0</v>
      </c>
      <c r="J977" s="1">
        <v>1</v>
      </c>
    </row>
    <row r="978" spans="1:10" x14ac:dyDescent="0.2">
      <c r="A978" s="1">
        <v>1669</v>
      </c>
      <c r="B978" s="1">
        <v>0</v>
      </c>
      <c r="C978" s="1">
        <v>19</v>
      </c>
      <c r="D978" s="1">
        <v>5</v>
      </c>
      <c r="E978" s="1">
        <v>2</v>
      </c>
      <c r="F978" s="1">
        <v>3</v>
      </c>
      <c r="G978" s="1">
        <v>5</v>
      </c>
      <c r="H978" s="1">
        <v>1</v>
      </c>
      <c r="I978" s="1">
        <v>0</v>
      </c>
      <c r="J978" s="1">
        <v>1</v>
      </c>
    </row>
    <row r="979" spans="1:10" x14ac:dyDescent="0.2">
      <c r="A979" s="1">
        <v>1240</v>
      </c>
      <c r="B979" s="1">
        <v>0</v>
      </c>
      <c r="C979" s="1">
        <v>11</v>
      </c>
      <c r="D979" s="1">
        <v>2</v>
      </c>
      <c r="E979" s="1">
        <v>1</v>
      </c>
      <c r="F979" s="1">
        <v>4</v>
      </c>
      <c r="G979" s="1">
        <v>5</v>
      </c>
      <c r="H979" s="1">
        <v>1</v>
      </c>
      <c r="I979" s="1">
        <v>2</v>
      </c>
      <c r="J979" s="1">
        <v>1</v>
      </c>
    </row>
    <row r="980" spans="1:10" x14ac:dyDescent="0.2">
      <c r="A980" s="1">
        <v>2145</v>
      </c>
      <c r="B980" s="1">
        <v>0</v>
      </c>
      <c r="C980" s="1">
        <v>16</v>
      </c>
      <c r="D980" s="1">
        <v>4</v>
      </c>
      <c r="E980" s="1">
        <v>2</v>
      </c>
      <c r="F980" s="1">
        <v>4</v>
      </c>
      <c r="G980" s="1">
        <v>5</v>
      </c>
      <c r="H980" s="1">
        <v>1</v>
      </c>
      <c r="I980" s="1">
        <v>2</v>
      </c>
      <c r="J980" s="1">
        <v>1</v>
      </c>
    </row>
    <row r="981" spans="1:10" x14ac:dyDescent="0.2">
      <c r="A981" s="1">
        <v>1392</v>
      </c>
      <c r="B981" s="1">
        <v>0</v>
      </c>
      <c r="C981" s="1">
        <v>8</v>
      </c>
      <c r="D981" s="1">
        <v>5</v>
      </c>
      <c r="E981" s="1">
        <v>3</v>
      </c>
      <c r="F981" s="1">
        <v>4</v>
      </c>
      <c r="G981" s="1">
        <v>5</v>
      </c>
      <c r="H981" s="1">
        <v>1</v>
      </c>
      <c r="I981" s="1">
        <v>1</v>
      </c>
      <c r="J981" s="1">
        <v>1</v>
      </c>
    </row>
    <row r="982" spans="1:10" x14ac:dyDescent="0.2">
      <c r="A982" s="1">
        <v>1373</v>
      </c>
      <c r="B982" s="1">
        <v>0</v>
      </c>
      <c r="C982" s="1">
        <v>15</v>
      </c>
      <c r="D982" s="1">
        <v>5</v>
      </c>
      <c r="E982" s="1">
        <v>3</v>
      </c>
      <c r="F982" s="1">
        <v>4</v>
      </c>
      <c r="G982" s="1">
        <v>5</v>
      </c>
      <c r="H982" s="1">
        <v>0</v>
      </c>
      <c r="I982" s="1">
        <v>0</v>
      </c>
      <c r="J982" s="1">
        <v>1</v>
      </c>
    </row>
    <row r="983" spans="1:10" x14ac:dyDescent="0.2">
      <c r="A983" s="1">
        <v>446</v>
      </c>
      <c r="B983" s="1">
        <v>0</v>
      </c>
      <c r="C983" s="1">
        <v>16</v>
      </c>
      <c r="D983" s="1">
        <v>4</v>
      </c>
      <c r="E983" s="1">
        <v>3</v>
      </c>
      <c r="F983" s="1">
        <v>4</v>
      </c>
      <c r="G983" s="1">
        <v>5</v>
      </c>
      <c r="H983" s="1">
        <v>1</v>
      </c>
      <c r="I983" s="1">
        <v>1</v>
      </c>
      <c r="J983" s="1">
        <v>1</v>
      </c>
    </row>
    <row r="984" spans="1:10" x14ac:dyDescent="0.2">
      <c r="A984" s="1">
        <v>168</v>
      </c>
      <c r="B984" s="1">
        <v>0</v>
      </c>
      <c r="C984" s="1">
        <v>19</v>
      </c>
      <c r="D984" s="1">
        <v>1</v>
      </c>
      <c r="E984" s="1">
        <v>3</v>
      </c>
      <c r="F984" s="1">
        <v>4</v>
      </c>
      <c r="G984" s="1">
        <v>5</v>
      </c>
      <c r="H984" s="1">
        <v>1</v>
      </c>
      <c r="I984" s="1">
        <v>3</v>
      </c>
      <c r="J984" s="1">
        <v>1</v>
      </c>
    </row>
    <row r="985" spans="1:10" x14ac:dyDescent="0.2">
      <c r="A985" s="1">
        <v>1999</v>
      </c>
      <c r="B985" s="1">
        <v>0</v>
      </c>
      <c r="C985" s="1">
        <v>12</v>
      </c>
      <c r="D985" s="1">
        <v>3</v>
      </c>
      <c r="E985" s="1">
        <v>1</v>
      </c>
      <c r="F985" s="1">
        <v>5</v>
      </c>
      <c r="G985" s="1">
        <v>5</v>
      </c>
      <c r="H985" s="1">
        <v>0</v>
      </c>
      <c r="I985" s="1">
        <v>1</v>
      </c>
      <c r="J985" s="1">
        <v>1</v>
      </c>
    </row>
    <row r="986" spans="1:10" x14ac:dyDescent="0.2">
      <c r="A986" s="1">
        <v>1376</v>
      </c>
      <c r="B986" s="1">
        <v>0</v>
      </c>
      <c r="C986" s="1">
        <v>18</v>
      </c>
      <c r="D986" s="1">
        <v>4</v>
      </c>
      <c r="E986" s="1">
        <v>1</v>
      </c>
      <c r="F986" s="1">
        <v>5</v>
      </c>
      <c r="G986" s="1">
        <v>5</v>
      </c>
      <c r="H986" s="1">
        <v>0</v>
      </c>
      <c r="I986" s="1">
        <v>3</v>
      </c>
      <c r="J986" s="1">
        <v>1</v>
      </c>
    </row>
    <row r="987" spans="1:10" x14ac:dyDescent="0.2">
      <c r="A987" s="1">
        <v>1922</v>
      </c>
      <c r="B987" s="1">
        <v>0</v>
      </c>
      <c r="C987" s="1">
        <v>11</v>
      </c>
      <c r="D987" s="1">
        <v>1</v>
      </c>
      <c r="E987" s="1">
        <v>2</v>
      </c>
      <c r="F987" s="1">
        <v>5</v>
      </c>
      <c r="G987" s="1">
        <v>5</v>
      </c>
      <c r="H987" s="1">
        <v>0</v>
      </c>
      <c r="I987" s="1">
        <v>2</v>
      </c>
      <c r="J987" s="1">
        <v>1</v>
      </c>
    </row>
    <row r="988" spans="1:10" x14ac:dyDescent="0.2">
      <c r="A988" s="1">
        <v>435</v>
      </c>
      <c r="B988" s="1">
        <v>0</v>
      </c>
      <c r="C988" s="1">
        <v>17</v>
      </c>
      <c r="D988" s="1">
        <v>1</v>
      </c>
      <c r="E988" s="1">
        <v>2</v>
      </c>
      <c r="F988" s="1">
        <v>5</v>
      </c>
      <c r="G988" s="1">
        <v>5</v>
      </c>
      <c r="H988" s="1">
        <v>1</v>
      </c>
      <c r="I988" s="1">
        <v>3</v>
      </c>
      <c r="J988" s="1">
        <v>1</v>
      </c>
    </row>
    <row r="989" spans="1:10" x14ac:dyDescent="0.2">
      <c r="A989" s="1">
        <v>1128</v>
      </c>
      <c r="B989" s="1">
        <v>0</v>
      </c>
      <c r="C989" s="1">
        <v>18</v>
      </c>
      <c r="D989" s="1">
        <v>1</v>
      </c>
      <c r="E989" s="1">
        <v>2</v>
      </c>
      <c r="F989" s="1">
        <v>5</v>
      </c>
      <c r="G989" s="1">
        <v>5</v>
      </c>
      <c r="H989" s="1">
        <v>0</v>
      </c>
      <c r="I989" s="1">
        <v>0</v>
      </c>
      <c r="J989" s="1">
        <v>1</v>
      </c>
    </row>
    <row r="990" spans="1:10" x14ac:dyDescent="0.2">
      <c r="A990" s="1">
        <v>2108</v>
      </c>
      <c r="B990" s="1">
        <v>0</v>
      </c>
      <c r="C990" s="1">
        <v>11</v>
      </c>
      <c r="D990" s="1">
        <v>4</v>
      </c>
      <c r="E990" s="1">
        <v>3</v>
      </c>
      <c r="F990" s="1">
        <v>5</v>
      </c>
      <c r="G990" s="1">
        <v>5</v>
      </c>
      <c r="H990" s="1">
        <v>1</v>
      </c>
      <c r="I990" s="1">
        <v>3</v>
      </c>
      <c r="J990" s="1">
        <v>1</v>
      </c>
    </row>
    <row r="991" spans="1:10" x14ac:dyDescent="0.2">
      <c r="A991" s="1">
        <v>2423</v>
      </c>
      <c r="B991" s="1">
        <v>0</v>
      </c>
      <c r="C991" s="1">
        <v>6</v>
      </c>
      <c r="D991" s="1">
        <v>4</v>
      </c>
      <c r="E991" s="1">
        <v>1</v>
      </c>
      <c r="F991" s="1">
        <v>6</v>
      </c>
      <c r="G991" s="1">
        <v>5</v>
      </c>
      <c r="H991" s="1">
        <v>0</v>
      </c>
      <c r="I991" s="1">
        <v>3</v>
      </c>
      <c r="J991" s="1">
        <v>1</v>
      </c>
    </row>
    <row r="992" spans="1:10" x14ac:dyDescent="0.2">
      <c r="A992" s="1">
        <v>1431</v>
      </c>
      <c r="B992" s="1">
        <v>0</v>
      </c>
      <c r="C992" s="1">
        <v>7</v>
      </c>
      <c r="D992" s="1">
        <v>2</v>
      </c>
      <c r="E992" s="1">
        <v>1</v>
      </c>
      <c r="F992" s="1">
        <v>6</v>
      </c>
      <c r="G992" s="1">
        <v>5</v>
      </c>
      <c r="H992" s="1">
        <v>1</v>
      </c>
      <c r="I992" s="1">
        <v>2</v>
      </c>
      <c r="J992" s="1">
        <v>1</v>
      </c>
    </row>
    <row r="993" spans="1:10" x14ac:dyDescent="0.2">
      <c r="A993" s="1">
        <v>1908</v>
      </c>
      <c r="B993" s="1">
        <v>0</v>
      </c>
      <c r="C993" s="1">
        <v>15</v>
      </c>
      <c r="D993" s="1">
        <v>5</v>
      </c>
      <c r="E993" s="1">
        <v>1</v>
      </c>
      <c r="F993" s="1">
        <v>6</v>
      </c>
      <c r="G993" s="1">
        <v>5</v>
      </c>
      <c r="H993" s="1">
        <v>0</v>
      </c>
      <c r="I993" s="1">
        <v>0</v>
      </c>
      <c r="J993" s="1">
        <v>1</v>
      </c>
    </row>
    <row r="994" spans="1:10" x14ac:dyDescent="0.2">
      <c r="A994" s="1">
        <v>1197</v>
      </c>
      <c r="B994" s="1">
        <v>0</v>
      </c>
      <c r="C994" s="1">
        <v>18</v>
      </c>
      <c r="D994" s="1">
        <v>5</v>
      </c>
      <c r="E994" s="1">
        <v>1</v>
      </c>
      <c r="F994" s="1">
        <v>6</v>
      </c>
      <c r="G994" s="1">
        <v>5</v>
      </c>
      <c r="H994" s="1">
        <v>1</v>
      </c>
      <c r="I994" s="1">
        <v>1</v>
      </c>
      <c r="J994" s="1">
        <v>1</v>
      </c>
    </row>
    <row r="995" spans="1:10" x14ac:dyDescent="0.2">
      <c r="A995" s="1">
        <v>1385</v>
      </c>
      <c r="B995" s="1">
        <v>0</v>
      </c>
      <c r="C995" s="1">
        <v>8</v>
      </c>
      <c r="D995" s="1">
        <v>2</v>
      </c>
      <c r="E995" s="1">
        <v>2</v>
      </c>
      <c r="F995" s="1">
        <v>6</v>
      </c>
      <c r="G995" s="1">
        <v>5</v>
      </c>
      <c r="H995" s="1">
        <v>0</v>
      </c>
      <c r="I995" s="1">
        <v>2</v>
      </c>
      <c r="J995" s="1">
        <v>1</v>
      </c>
    </row>
    <row r="996" spans="1:10" x14ac:dyDescent="0.2">
      <c r="A996" s="1">
        <v>1009</v>
      </c>
      <c r="B996" s="1">
        <v>0</v>
      </c>
      <c r="C996" s="1">
        <v>17</v>
      </c>
      <c r="D996" s="1">
        <v>5</v>
      </c>
      <c r="E996" s="1">
        <v>2</v>
      </c>
      <c r="F996" s="1">
        <v>6</v>
      </c>
      <c r="G996" s="1">
        <v>5</v>
      </c>
      <c r="H996" s="1">
        <v>0</v>
      </c>
      <c r="I996" s="1">
        <v>3</v>
      </c>
      <c r="J996" s="1">
        <v>1</v>
      </c>
    </row>
    <row r="997" spans="1:10" x14ac:dyDescent="0.2">
      <c r="A997" s="1">
        <v>1784</v>
      </c>
      <c r="B997" s="1">
        <v>0</v>
      </c>
      <c r="C997" s="1">
        <v>14</v>
      </c>
      <c r="D997" s="1">
        <v>4</v>
      </c>
      <c r="E997" s="1">
        <v>3</v>
      </c>
      <c r="F997" s="1">
        <v>6</v>
      </c>
      <c r="G997" s="1">
        <v>5</v>
      </c>
      <c r="H997" s="1">
        <v>0</v>
      </c>
      <c r="I997" s="1">
        <v>2</v>
      </c>
      <c r="J997" s="1">
        <v>1</v>
      </c>
    </row>
    <row r="998" spans="1:10" x14ac:dyDescent="0.2">
      <c r="A998" s="1">
        <v>252</v>
      </c>
      <c r="B998" s="1">
        <v>0</v>
      </c>
      <c r="C998" s="1">
        <v>16</v>
      </c>
      <c r="D998" s="1">
        <v>3</v>
      </c>
      <c r="E998" s="1">
        <v>1</v>
      </c>
      <c r="F998" s="1">
        <v>7</v>
      </c>
      <c r="G998" s="1">
        <v>5</v>
      </c>
      <c r="H998" s="1">
        <v>0</v>
      </c>
      <c r="I998" s="1">
        <v>1</v>
      </c>
      <c r="J998" s="1">
        <v>1</v>
      </c>
    </row>
    <row r="999" spans="1:10" x14ac:dyDescent="0.2">
      <c r="A999" s="1">
        <v>1466</v>
      </c>
      <c r="B999" s="1">
        <v>0</v>
      </c>
      <c r="C999" s="1">
        <v>15</v>
      </c>
      <c r="D999" s="1">
        <v>4</v>
      </c>
      <c r="E999" s="1">
        <v>2</v>
      </c>
      <c r="F999" s="1">
        <v>7</v>
      </c>
      <c r="G999" s="1">
        <v>5</v>
      </c>
      <c r="H999" s="1">
        <v>0</v>
      </c>
      <c r="I999" s="1">
        <v>1</v>
      </c>
      <c r="J999" s="1">
        <v>1</v>
      </c>
    </row>
    <row r="1000" spans="1:10" x14ac:dyDescent="0.2">
      <c r="A1000" s="1">
        <v>16</v>
      </c>
      <c r="B1000" s="1">
        <v>0</v>
      </c>
      <c r="C1000" s="1">
        <v>17</v>
      </c>
      <c r="D1000" s="1">
        <v>3</v>
      </c>
      <c r="E1000" s="1">
        <v>2</v>
      </c>
      <c r="F1000" s="1">
        <v>7</v>
      </c>
      <c r="G1000" s="1">
        <v>5</v>
      </c>
      <c r="H1000" s="1">
        <v>1</v>
      </c>
      <c r="I1000" s="1">
        <v>3</v>
      </c>
      <c r="J1000" s="1">
        <v>1</v>
      </c>
    </row>
    <row r="1001" spans="1:10" x14ac:dyDescent="0.2">
      <c r="A1001" s="1">
        <v>1172</v>
      </c>
      <c r="B1001" s="1">
        <v>0</v>
      </c>
      <c r="C1001" s="1">
        <v>15</v>
      </c>
      <c r="D1001" s="1">
        <v>4</v>
      </c>
      <c r="E1001" s="1">
        <v>1</v>
      </c>
      <c r="F1001" s="1">
        <v>8</v>
      </c>
      <c r="G1001" s="1">
        <v>5</v>
      </c>
      <c r="H1001" s="1">
        <v>1</v>
      </c>
      <c r="I1001" s="1">
        <v>3</v>
      </c>
      <c r="J1001" s="1">
        <v>1</v>
      </c>
    </row>
    <row r="1002" spans="1:10" x14ac:dyDescent="0.2">
      <c r="A1002" s="1">
        <v>2114</v>
      </c>
      <c r="B1002" s="1">
        <v>0</v>
      </c>
      <c r="C1002" s="1">
        <v>16</v>
      </c>
      <c r="D1002" s="1">
        <v>2</v>
      </c>
      <c r="E1002" s="1">
        <v>1</v>
      </c>
      <c r="F1002" s="1">
        <v>8</v>
      </c>
      <c r="G1002" s="1">
        <v>5</v>
      </c>
      <c r="H1002" s="1">
        <v>0</v>
      </c>
      <c r="I1002" s="1">
        <v>0</v>
      </c>
      <c r="J1002" s="1">
        <v>1</v>
      </c>
    </row>
    <row r="1003" spans="1:10" x14ac:dyDescent="0.2">
      <c r="A1003" s="1">
        <v>205</v>
      </c>
      <c r="B1003" s="1">
        <v>0</v>
      </c>
      <c r="C1003" s="1">
        <v>5</v>
      </c>
      <c r="D1003" s="1">
        <v>3</v>
      </c>
      <c r="E1003" s="1">
        <v>2</v>
      </c>
      <c r="F1003" s="1">
        <v>8</v>
      </c>
      <c r="G1003" s="1">
        <v>5</v>
      </c>
      <c r="H1003" s="1">
        <v>0</v>
      </c>
      <c r="I1003" s="1">
        <v>3</v>
      </c>
      <c r="J1003" s="1">
        <v>1</v>
      </c>
    </row>
    <row r="1004" spans="1:10" x14ac:dyDescent="0.2">
      <c r="A1004" s="1">
        <v>1122</v>
      </c>
      <c r="B1004" s="1">
        <v>0</v>
      </c>
      <c r="C1004" s="1">
        <v>5</v>
      </c>
      <c r="D1004" s="1">
        <v>1</v>
      </c>
      <c r="E1004" s="1">
        <v>2</v>
      </c>
      <c r="F1004" s="1">
        <v>8</v>
      </c>
      <c r="G1004" s="1">
        <v>5</v>
      </c>
      <c r="H1004" s="1">
        <v>0</v>
      </c>
      <c r="I1004" s="1">
        <v>1</v>
      </c>
      <c r="J1004" s="1">
        <v>1</v>
      </c>
    </row>
    <row r="1005" spans="1:10" x14ac:dyDescent="0.2">
      <c r="A1005" s="1">
        <v>1015</v>
      </c>
      <c r="B1005" s="1">
        <v>0</v>
      </c>
      <c r="C1005" s="1">
        <v>9</v>
      </c>
      <c r="D1005" s="1">
        <v>4</v>
      </c>
      <c r="E1005" s="1">
        <v>2</v>
      </c>
      <c r="F1005" s="1">
        <v>8</v>
      </c>
      <c r="G1005" s="1">
        <v>5</v>
      </c>
      <c r="H1005" s="1">
        <v>1</v>
      </c>
      <c r="I1005" s="1">
        <v>2</v>
      </c>
      <c r="J1005" s="1">
        <v>1</v>
      </c>
    </row>
    <row r="1006" spans="1:10" x14ac:dyDescent="0.2">
      <c r="A1006" s="1">
        <v>1873</v>
      </c>
      <c r="B1006" s="1">
        <v>0</v>
      </c>
      <c r="C1006" s="1">
        <v>12</v>
      </c>
      <c r="D1006" s="1">
        <v>5</v>
      </c>
      <c r="E1006" s="1">
        <v>2</v>
      </c>
      <c r="F1006" s="1">
        <v>8</v>
      </c>
      <c r="G1006" s="1">
        <v>5</v>
      </c>
      <c r="H1006" s="1">
        <v>0</v>
      </c>
      <c r="I1006" s="1">
        <v>0</v>
      </c>
      <c r="J1006" s="1">
        <v>1</v>
      </c>
    </row>
    <row r="1007" spans="1:10" x14ac:dyDescent="0.2">
      <c r="A1007" s="1">
        <v>777</v>
      </c>
      <c r="B1007" s="1">
        <v>0</v>
      </c>
      <c r="C1007" s="1">
        <v>18</v>
      </c>
      <c r="D1007" s="1">
        <v>1</v>
      </c>
      <c r="E1007" s="1">
        <v>2</v>
      </c>
      <c r="F1007" s="1">
        <v>8</v>
      </c>
      <c r="G1007" s="1">
        <v>5</v>
      </c>
      <c r="H1007" s="1">
        <v>0</v>
      </c>
      <c r="I1007" s="1">
        <v>2</v>
      </c>
      <c r="J1007" s="1">
        <v>1</v>
      </c>
    </row>
    <row r="1008" spans="1:10" x14ac:dyDescent="0.2">
      <c r="A1008" s="1">
        <v>2458</v>
      </c>
      <c r="B1008" s="1">
        <v>0</v>
      </c>
      <c r="C1008" s="1">
        <v>11</v>
      </c>
      <c r="D1008" s="1">
        <v>3</v>
      </c>
      <c r="E1008" s="1">
        <v>3</v>
      </c>
      <c r="F1008" s="1">
        <v>8</v>
      </c>
      <c r="G1008" s="1">
        <v>5</v>
      </c>
      <c r="H1008" s="1">
        <v>0</v>
      </c>
      <c r="I1008" s="1">
        <v>0</v>
      </c>
      <c r="J1008" s="1">
        <v>1</v>
      </c>
    </row>
    <row r="1009" spans="1:10" x14ac:dyDescent="0.2">
      <c r="A1009" s="1">
        <v>453</v>
      </c>
      <c r="B1009" s="1">
        <v>0</v>
      </c>
      <c r="C1009" s="1">
        <v>13</v>
      </c>
      <c r="D1009" s="1">
        <v>2</v>
      </c>
      <c r="E1009" s="1">
        <v>3</v>
      </c>
      <c r="F1009" s="1">
        <v>8</v>
      </c>
      <c r="G1009" s="1">
        <v>5</v>
      </c>
      <c r="H1009" s="1">
        <v>0</v>
      </c>
      <c r="I1009" s="1">
        <v>0</v>
      </c>
      <c r="J1009" s="1">
        <v>1</v>
      </c>
    </row>
    <row r="1010" spans="1:10" x14ac:dyDescent="0.2">
      <c r="A1010" s="1">
        <v>1498</v>
      </c>
      <c r="B1010" s="1">
        <v>0</v>
      </c>
      <c r="C1010" s="1">
        <v>18</v>
      </c>
      <c r="D1010" s="1">
        <v>3</v>
      </c>
      <c r="E1010" s="1">
        <v>3</v>
      </c>
      <c r="F1010" s="1">
        <v>8</v>
      </c>
      <c r="G1010" s="1">
        <v>5</v>
      </c>
      <c r="H1010" s="1">
        <v>0</v>
      </c>
      <c r="I1010" s="1">
        <v>1</v>
      </c>
      <c r="J1010" s="1">
        <v>1</v>
      </c>
    </row>
    <row r="1011" spans="1:10" x14ac:dyDescent="0.2">
      <c r="A1011" s="1">
        <v>1997</v>
      </c>
      <c r="B1011" s="1">
        <v>0</v>
      </c>
      <c r="C1011" s="1">
        <v>5</v>
      </c>
      <c r="D1011" s="1">
        <v>3</v>
      </c>
      <c r="E1011" s="1">
        <v>2</v>
      </c>
      <c r="F1011" s="1">
        <v>9</v>
      </c>
      <c r="G1011" s="1">
        <v>5</v>
      </c>
      <c r="H1011" s="1">
        <v>0</v>
      </c>
      <c r="I1011" s="1">
        <v>3</v>
      </c>
      <c r="J1011" s="1">
        <v>1</v>
      </c>
    </row>
    <row r="1012" spans="1:10" x14ac:dyDescent="0.2">
      <c r="A1012" s="1">
        <v>538</v>
      </c>
      <c r="B1012" s="1">
        <v>0</v>
      </c>
      <c r="C1012" s="1">
        <v>5</v>
      </c>
      <c r="D1012" s="1">
        <v>1</v>
      </c>
      <c r="E1012" s="1">
        <v>1</v>
      </c>
      <c r="F1012" s="1">
        <v>10</v>
      </c>
      <c r="G1012" s="1">
        <v>5</v>
      </c>
      <c r="H1012" s="1">
        <v>1</v>
      </c>
      <c r="I1012" s="1">
        <v>2</v>
      </c>
      <c r="J1012" s="1">
        <v>1</v>
      </c>
    </row>
    <row r="1013" spans="1:10" x14ac:dyDescent="0.2">
      <c r="A1013" s="1">
        <v>1485</v>
      </c>
      <c r="B1013" s="1">
        <v>0</v>
      </c>
      <c r="C1013" s="1">
        <v>5</v>
      </c>
      <c r="D1013" s="1">
        <v>1</v>
      </c>
      <c r="E1013" s="1">
        <v>1</v>
      </c>
      <c r="F1013" s="1">
        <v>10</v>
      </c>
      <c r="G1013" s="1">
        <v>5</v>
      </c>
      <c r="H1013" s="1">
        <v>1</v>
      </c>
      <c r="I1013" s="1">
        <v>3</v>
      </c>
      <c r="J1013" s="1">
        <v>1</v>
      </c>
    </row>
    <row r="1014" spans="1:10" x14ac:dyDescent="0.2">
      <c r="A1014" s="1">
        <v>705</v>
      </c>
      <c r="B1014" s="1">
        <v>0</v>
      </c>
      <c r="C1014" s="1">
        <v>10</v>
      </c>
      <c r="D1014" s="1">
        <v>2</v>
      </c>
      <c r="E1014" s="1">
        <v>1</v>
      </c>
      <c r="F1014" s="1">
        <v>10</v>
      </c>
      <c r="G1014" s="1">
        <v>5</v>
      </c>
      <c r="H1014" s="1">
        <v>1</v>
      </c>
      <c r="I1014" s="1">
        <v>1</v>
      </c>
      <c r="J1014" s="1">
        <v>1</v>
      </c>
    </row>
    <row r="1015" spans="1:10" x14ac:dyDescent="0.2">
      <c r="A1015" s="1">
        <v>793</v>
      </c>
      <c r="B1015" s="1">
        <v>0</v>
      </c>
      <c r="C1015" s="1">
        <v>19</v>
      </c>
      <c r="D1015" s="1">
        <v>5</v>
      </c>
      <c r="E1015" s="1">
        <v>1</v>
      </c>
      <c r="F1015" s="1">
        <v>10</v>
      </c>
      <c r="G1015" s="1">
        <v>5</v>
      </c>
      <c r="H1015" s="1">
        <v>0</v>
      </c>
      <c r="I1015" s="1">
        <v>1</v>
      </c>
      <c r="J1015" s="1">
        <v>1</v>
      </c>
    </row>
    <row r="1016" spans="1:10" x14ac:dyDescent="0.2">
      <c r="A1016" s="1">
        <v>210</v>
      </c>
      <c r="B1016" s="1">
        <v>0</v>
      </c>
      <c r="C1016" s="1">
        <v>7</v>
      </c>
      <c r="D1016" s="1">
        <v>4</v>
      </c>
      <c r="E1016" s="1">
        <v>2</v>
      </c>
      <c r="F1016" s="1">
        <v>10</v>
      </c>
      <c r="G1016" s="1">
        <v>5</v>
      </c>
      <c r="H1016" s="1">
        <v>1</v>
      </c>
      <c r="I1016" s="1">
        <v>2</v>
      </c>
      <c r="J1016" s="1">
        <v>1</v>
      </c>
    </row>
    <row r="1017" spans="1:10" x14ac:dyDescent="0.2">
      <c r="A1017" s="1">
        <v>1480</v>
      </c>
      <c r="B1017" s="1">
        <v>0</v>
      </c>
      <c r="C1017" s="1">
        <v>8</v>
      </c>
      <c r="D1017" s="1">
        <v>2</v>
      </c>
      <c r="E1017" s="1">
        <v>2</v>
      </c>
      <c r="F1017" s="1">
        <v>10</v>
      </c>
      <c r="G1017" s="1">
        <v>5</v>
      </c>
      <c r="H1017" s="1">
        <v>1</v>
      </c>
      <c r="I1017" s="1">
        <v>0</v>
      </c>
      <c r="J1017" s="1">
        <v>1</v>
      </c>
    </row>
    <row r="1018" spans="1:10" x14ac:dyDescent="0.2">
      <c r="A1018" s="1">
        <v>975</v>
      </c>
      <c r="B1018" s="1">
        <v>0</v>
      </c>
      <c r="C1018" s="1">
        <v>10</v>
      </c>
      <c r="D1018" s="1">
        <v>2</v>
      </c>
      <c r="E1018" s="1">
        <v>2</v>
      </c>
      <c r="F1018" s="1">
        <v>10</v>
      </c>
      <c r="G1018" s="1">
        <v>5</v>
      </c>
      <c r="H1018" s="1">
        <v>0</v>
      </c>
      <c r="I1018" s="1">
        <v>1</v>
      </c>
      <c r="J1018" s="1">
        <v>1</v>
      </c>
    </row>
    <row r="1019" spans="1:10" x14ac:dyDescent="0.2">
      <c r="A1019" s="1">
        <v>280</v>
      </c>
      <c r="B1019" s="1">
        <v>0</v>
      </c>
      <c r="C1019" s="1">
        <v>8</v>
      </c>
      <c r="D1019" s="1">
        <v>1</v>
      </c>
      <c r="E1019" s="1">
        <v>3</v>
      </c>
      <c r="F1019" s="1">
        <v>10</v>
      </c>
      <c r="G1019" s="1">
        <v>5</v>
      </c>
      <c r="H1019" s="1">
        <v>0</v>
      </c>
      <c r="I1019" s="1">
        <v>3</v>
      </c>
      <c r="J1019" s="1">
        <v>1</v>
      </c>
    </row>
    <row r="1020" spans="1:10" x14ac:dyDescent="0.2">
      <c r="A1020" s="1">
        <v>556</v>
      </c>
      <c r="B1020" s="1">
        <v>0</v>
      </c>
      <c r="C1020" s="1">
        <v>17</v>
      </c>
      <c r="D1020" s="1">
        <v>4</v>
      </c>
      <c r="E1020" s="1">
        <v>1</v>
      </c>
      <c r="F1020" s="1">
        <v>1</v>
      </c>
      <c r="G1020" s="1">
        <v>5</v>
      </c>
      <c r="H1020" s="1">
        <v>0</v>
      </c>
      <c r="I1020" s="1">
        <v>1</v>
      </c>
      <c r="J1020" s="1">
        <v>2</v>
      </c>
    </row>
    <row r="1021" spans="1:10" x14ac:dyDescent="0.2">
      <c r="A1021" s="1">
        <v>52</v>
      </c>
      <c r="B1021" s="1">
        <v>0</v>
      </c>
      <c r="C1021" s="1">
        <v>6</v>
      </c>
      <c r="D1021" s="1">
        <v>4</v>
      </c>
      <c r="E1021" s="1">
        <v>2</v>
      </c>
      <c r="F1021" s="1">
        <v>1</v>
      </c>
      <c r="G1021" s="1">
        <v>5</v>
      </c>
      <c r="H1021" s="1">
        <v>0</v>
      </c>
      <c r="I1021" s="1">
        <v>3</v>
      </c>
      <c r="J1021" s="1">
        <v>2</v>
      </c>
    </row>
    <row r="1022" spans="1:10" x14ac:dyDescent="0.2">
      <c r="A1022" s="1">
        <v>1845</v>
      </c>
      <c r="B1022" s="1">
        <v>0</v>
      </c>
      <c r="C1022" s="1">
        <v>14</v>
      </c>
      <c r="D1022" s="1">
        <v>2</v>
      </c>
      <c r="E1022" s="1">
        <v>2</v>
      </c>
      <c r="F1022" s="1">
        <v>1</v>
      </c>
      <c r="G1022" s="1">
        <v>5</v>
      </c>
      <c r="H1022" s="1">
        <v>1</v>
      </c>
      <c r="I1022" s="1">
        <v>2</v>
      </c>
      <c r="J1022" s="1">
        <v>2</v>
      </c>
    </row>
    <row r="1023" spans="1:10" x14ac:dyDescent="0.2">
      <c r="A1023" s="1">
        <v>726</v>
      </c>
      <c r="B1023" s="1">
        <v>0</v>
      </c>
      <c r="C1023" s="1">
        <v>20</v>
      </c>
      <c r="D1023" s="1">
        <v>4</v>
      </c>
      <c r="E1023" s="1">
        <v>2</v>
      </c>
      <c r="F1023" s="1">
        <v>1</v>
      </c>
      <c r="G1023" s="1">
        <v>5</v>
      </c>
      <c r="H1023" s="1">
        <v>0</v>
      </c>
      <c r="I1023" s="1">
        <v>3</v>
      </c>
      <c r="J1023" s="1">
        <v>2</v>
      </c>
    </row>
    <row r="1024" spans="1:10" x14ac:dyDescent="0.2">
      <c r="A1024" s="1">
        <v>500</v>
      </c>
      <c r="B1024" s="1">
        <v>0</v>
      </c>
      <c r="C1024" s="1">
        <v>8</v>
      </c>
      <c r="D1024" s="1">
        <v>1</v>
      </c>
      <c r="E1024" s="1">
        <v>1</v>
      </c>
      <c r="F1024" s="1">
        <v>2</v>
      </c>
      <c r="G1024" s="1">
        <v>5</v>
      </c>
      <c r="H1024" s="1">
        <v>0</v>
      </c>
      <c r="I1024" s="1">
        <v>1</v>
      </c>
      <c r="J1024" s="1">
        <v>2</v>
      </c>
    </row>
    <row r="1025" spans="1:10" x14ac:dyDescent="0.2">
      <c r="A1025" s="1">
        <v>109</v>
      </c>
      <c r="B1025" s="1">
        <v>0</v>
      </c>
      <c r="C1025" s="1">
        <v>15</v>
      </c>
      <c r="D1025" s="1">
        <v>2</v>
      </c>
      <c r="E1025" s="1">
        <v>1</v>
      </c>
      <c r="F1025" s="1">
        <v>2</v>
      </c>
      <c r="G1025" s="1">
        <v>5</v>
      </c>
      <c r="H1025" s="1">
        <v>1</v>
      </c>
      <c r="I1025" s="1">
        <v>2</v>
      </c>
      <c r="J1025" s="1">
        <v>2</v>
      </c>
    </row>
    <row r="1026" spans="1:10" x14ac:dyDescent="0.2">
      <c r="A1026" s="1">
        <v>1164</v>
      </c>
      <c r="B1026" s="1">
        <v>0</v>
      </c>
      <c r="C1026" s="1">
        <v>12</v>
      </c>
      <c r="D1026" s="1">
        <v>4</v>
      </c>
      <c r="E1026" s="1">
        <v>2</v>
      </c>
      <c r="F1026" s="1">
        <v>2</v>
      </c>
      <c r="G1026" s="1">
        <v>5</v>
      </c>
      <c r="H1026" s="1">
        <v>0</v>
      </c>
      <c r="I1026" s="1">
        <v>1</v>
      </c>
      <c r="J1026" s="1">
        <v>2</v>
      </c>
    </row>
    <row r="1027" spans="1:10" x14ac:dyDescent="0.2">
      <c r="A1027" s="1">
        <v>1245</v>
      </c>
      <c r="B1027" s="1">
        <v>0</v>
      </c>
      <c r="C1027" s="1">
        <v>10</v>
      </c>
      <c r="D1027" s="1">
        <v>5</v>
      </c>
      <c r="E1027" s="1">
        <v>3</v>
      </c>
      <c r="F1027" s="1">
        <v>2</v>
      </c>
      <c r="G1027" s="1">
        <v>5</v>
      </c>
      <c r="H1027" s="1">
        <v>1</v>
      </c>
      <c r="I1027" s="1">
        <v>3</v>
      </c>
      <c r="J1027" s="1">
        <v>2</v>
      </c>
    </row>
    <row r="1028" spans="1:10" x14ac:dyDescent="0.2">
      <c r="A1028" s="1">
        <v>2364</v>
      </c>
      <c r="B1028" s="1">
        <v>0</v>
      </c>
      <c r="C1028" s="1">
        <v>12</v>
      </c>
      <c r="D1028" s="1">
        <v>2</v>
      </c>
      <c r="E1028" s="1">
        <v>3</v>
      </c>
      <c r="F1028" s="1">
        <v>2</v>
      </c>
      <c r="G1028" s="1">
        <v>5</v>
      </c>
      <c r="H1028" s="1">
        <v>1</v>
      </c>
      <c r="I1028" s="1">
        <v>0</v>
      </c>
      <c r="J1028" s="1">
        <v>2</v>
      </c>
    </row>
    <row r="1029" spans="1:10" x14ac:dyDescent="0.2">
      <c r="A1029" s="1">
        <v>2038</v>
      </c>
      <c r="B1029" s="1">
        <v>0</v>
      </c>
      <c r="C1029" s="1">
        <v>14</v>
      </c>
      <c r="D1029" s="1">
        <v>5</v>
      </c>
      <c r="E1029" s="1">
        <v>3</v>
      </c>
      <c r="F1029" s="1">
        <v>2</v>
      </c>
      <c r="G1029" s="1">
        <v>5</v>
      </c>
      <c r="H1029" s="1">
        <v>0</v>
      </c>
      <c r="I1029" s="1">
        <v>2</v>
      </c>
      <c r="J1029" s="1">
        <v>2</v>
      </c>
    </row>
    <row r="1030" spans="1:10" x14ac:dyDescent="0.2">
      <c r="A1030" s="1">
        <v>424</v>
      </c>
      <c r="B1030" s="1">
        <v>0</v>
      </c>
      <c r="C1030" s="1">
        <v>5</v>
      </c>
      <c r="D1030" s="1">
        <v>5</v>
      </c>
      <c r="E1030" s="1">
        <v>1</v>
      </c>
      <c r="F1030" s="1">
        <v>3</v>
      </c>
      <c r="G1030" s="1">
        <v>5</v>
      </c>
      <c r="H1030" s="1">
        <v>0</v>
      </c>
      <c r="I1030" s="1">
        <v>0</v>
      </c>
      <c r="J1030" s="1">
        <v>2</v>
      </c>
    </row>
    <row r="1031" spans="1:10" x14ac:dyDescent="0.2">
      <c r="A1031" s="1">
        <v>2047</v>
      </c>
      <c r="B1031" s="1">
        <v>0</v>
      </c>
      <c r="C1031" s="1">
        <v>7</v>
      </c>
      <c r="D1031" s="1">
        <v>3</v>
      </c>
      <c r="E1031" s="1">
        <v>1</v>
      </c>
      <c r="F1031" s="1">
        <v>3</v>
      </c>
      <c r="G1031" s="1">
        <v>5</v>
      </c>
      <c r="H1031" s="1">
        <v>0</v>
      </c>
      <c r="I1031" s="1">
        <v>0</v>
      </c>
      <c r="J1031" s="1">
        <v>2</v>
      </c>
    </row>
    <row r="1032" spans="1:10" x14ac:dyDescent="0.2">
      <c r="A1032" s="1">
        <v>1214</v>
      </c>
      <c r="B1032" s="1">
        <v>0</v>
      </c>
      <c r="C1032" s="1">
        <v>18</v>
      </c>
      <c r="D1032" s="1">
        <v>1</v>
      </c>
      <c r="E1032" s="1">
        <v>1</v>
      </c>
      <c r="F1032" s="1">
        <v>3</v>
      </c>
      <c r="G1032" s="1">
        <v>5</v>
      </c>
      <c r="H1032" s="1">
        <v>0</v>
      </c>
      <c r="I1032" s="1">
        <v>3</v>
      </c>
      <c r="J1032" s="1">
        <v>2</v>
      </c>
    </row>
    <row r="1033" spans="1:10" x14ac:dyDescent="0.2">
      <c r="A1033" s="1">
        <v>1243</v>
      </c>
      <c r="B1033" s="1">
        <v>0</v>
      </c>
      <c r="C1033" s="1">
        <v>20</v>
      </c>
      <c r="D1033" s="1">
        <v>2</v>
      </c>
      <c r="E1033" s="1">
        <v>1</v>
      </c>
      <c r="F1033" s="1">
        <v>3</v>
      </c>
      <c r="G1033" s="1">
        <v>5</v>
      </c>
      <c r="H1033" s="1">
        <v>0</v>
      </c>
      <c r="I1033" s="1">
        <v>1</v>
      </c>
      <c r="J1033" s="1">
        <v>2</v>
      </c>
    </row>
    <row r="1034" spans="1:10" x14ac:dyDescent="0.2">
      <c r="A1034" s="1">
        <v>721</v>
      </c>
      <c r="B1034" s="1">
        <v>0</v>
      </c>
      <c r="C1034" s="1">
        <v>10</v>
      </c>
      <c r="D1034" s="1">
        <v>2</v>
      </c>
      <c r="E1034" s="1">
        <v>2</v>
      </c>
      <c r="F1034" s="1">
        <v>3</v>
      </c>
      <c r="G1034" s="1">
        <v>5</v>
      </c>
      <c r="H1034" s="1">
        <v>1</v>
      </c>
      <c r="I1034" s="1">
        <v>1</v>
      </c>
      <c r="J1034" s="1">
        <v>2</v>
      </c>
    </row>
    <row r="1035" spans="1:10" x14ac:dyDescent="0.2">
      <c r="A1035" s="1">
        <v>2389</v>
      </c>
      <c r="B1035" s="1">
        <v>0</v>
      </c>
      <c r="C1035" s="1">
        <v>10</v>
      </c>
      <c r="D1035" s="1">
        <v>5</v>
      </c>
      <c r="E1035" s="1">
        <v>3</v>
      </c>
      <c r="F1035" s="1">
        <v>3</v>
      </c>
      <c r="G1035" s="1">
        <v>5</v>
      </c>
      <c r="H1035" s="1">
        <v>0</v>
      </c>
      <c r="I1035" s="1">
        <v>3</v>
      </c>
      <c r="J1035" s="1">
        <v>2</v>
      </c>
    </row>
    <row r="1036" spans="1:10" x14ac:dyDescent="0.2">
      <c r="A1036" s="1">
        <v>2072</v>
      </c>
      <c r="B1036" s="1">
        <v>0</v>
      </c>
      <c r="C1036" s="1">
        <v>16</v>
      </c>
      <c r="D1036" s="1">
        <v>2</v>
      </c>
      <c r="E1036" s="1">
        <v>3</v>
      </c>
      <c r="F1036" s="1">
        <v>3</v>
      </c>
      <c r="G1036" s="1">
        <v>5</v>
      </c>
      <c r="H1036" s="1">
        <v>0</v>
      </c>
      <c r="I1036" s="1">
        <v>3</v>
      </c>
      <c r="J1036" s="1">
        <v>2</v>
      </c>
    </row>
    <row r="1037" spans="1:10" x14ac:dyDescent="0.2">
      <c r="A1037" s="1">
        <v>1405</v>
      </c>
      <c r="B1037" s="1">
        <v>0</v>
      </c>
      <c r="C1037" s="1">
        <v>17</v>
      </c>
      <c r="D1037" s="1">
        <v>2</v>
      </c>
      <c r="E1037" s="1">
        <v>3</v>
      </c>
      <c r="F1037" s="1">
        <v>3</v>
      </c>
      <c r="G1037" s="1">
        <v>5</v>
      </c>
      <c r="H1037" s="1">
        <v>0</v>
      </c>
      <c r="I1037" s="1">
        <v>1</v>
      </c>
      <c r="J1037" s="1">
        <v>2</v>
      </c>
    </row>
    <row r="1038" spans="1:10" x14ac:dyDescent="0.2">
      <c r="A1038" s="1">
        <v>696</v>
      </c>
      <c r="B1038" s="1">
        <v>0</v>
      </c>
      <c r="C1038" s="1">
        <v>19</v>
      </c>
      <c r="D1038" s="1">
        <v>2</v>
      </c>
      <c r="E1038" s="1">
        <v>3</v>
      </c>
      <c r="F1038" s="1">
        <v>3</v>
      </c>
      <c r="G1038" s="1">
        <v>5</v>
      </c>
      <c r="H1038" s="1">
        <v>0</v>
      </c>
      <c r="I1038" s="1">
        <v>2</v>
      </c>
      <c r="J1038" s="1">
        <v>2</v>
      </c>
    </row>
    <row r="1039" spans="1:10" x14ac:dyDescent="0.2">
      <c r="A1039" s="1">
        <v>802</v>
      </c>
      <c r="B1039" s="1">
        <v>0</v>
      </c>
      <c r="C1039" s="1">
        <v>11</v>
      </c>
      <c r="D1039" s="1">
        <v>5</v>
      </c>
      <c r="E1039" s="1">
        <v>1</v>
      </c>
      <c r="F1039" s="1">
        <v>4</v>
      </c>
      <c r="G1039" s="1">
        <v>5</v>
      </c>
      <c r="H1039" s="1">
        <v>0</v>
      </c>
      <c r="I1039" s="1">
        <v>0</v>
      </c>
      <c r="J1039" s="1">
        <v>2</v>
      </c>
    </row>
    <row r="1040" spans="1:10" x14ac:dyDescent="0.2">
      <c r="A1040" s="1">
        <v>2212</v>
      </c>
      <c r="B1040" s="1">
        <v>0</v>
      </c>
      <c r="C1040" s="1">
        <v>19</v>
      </c>
      <c r="D1040" s="1">
        <v>5</v>
      </c>
      <c r="E1040" s="1">
        <v>1</v>
      </c>
      <c r="F1040" s="1">
        <v>4</v>
      </c>
      <c r="G1040" s="1">
        <v>5</v>
      </c>
      <c r="H1040" s="1">
        <v>1</v>
      </c>
      <c r="I1040" s="1">
        <v>2</v>
      </c>
      <c r="J1040" s="1">
        <v>2</v>
      </c>
    </row>
    <row r="1041" spans="1:10" x14ac:dyDescent="0.2">
      <c r="A1041" s="1">
        <v>733</v>
      </c>
      <c r="B1041" s="1">
        <v>0</v>
      </c>
      <c r="C1041" s="1">
        <v>8</v>
      </c>
      <c r="D1041" s="1">
        <v>2</v>
      </c>
      <c r="E1041" s="1">
        <v>2</v>
      </c>
      <c r="F1041" s="1">
        <v>4</v>
      </c>
      <c r="G1041" s="1">
        <v>5</v>
      </c>
      <c r="H1041" s="1">
        <v>0</v>
      </c>
      <c r="I1041" s="1">
        <v>0</v>
      </c>
      <c r="J1041" s="1">
        <v>2</v>
      </c>
    </row>
    <row r="1042" spans="1:10" x14ac:dyDescent="0.2">
      <c r="A1042" s="1">
        <v>2168</v>
      </c>
      <c r="B1042" s="1">
        <v>0</v>
      </c>
      <c r="C1042" s="1">
        <v>10</v>
      </c>
      <c r="D1042" s="1">
        <v>2</v>
      </c>
      <c r="E1042" s="1">
        <v>2</v>
      </c>
      <c r="F1042" s="1">
        <v>4</v>
      </c>
      <c r="G1042" s="1">
        <v>5</v>
      </c>
      <c r="H1042" s="1">
        <v>0</v>
      </c>
      <c r="I1042" s="1">
        <v>0</v>
      </c>
      <c r="J1042" s="1">
        <v>2</v>
      </c>
    </row>
    <row r="1043" spans="1:10" x14ac:dyDescent="0.2">
      <c r="A1043" s="1">
        <v>2110</v>
      </c>
      <c r="B1043" s="1">
        <v>0</v>
      </c>
      <c r="C1043" s="1">
        <v>19</v>
      </c>
      <c r="D1043" s="1">
        <v>5</v>
      </c>
      <c r="E1043" s="1">
        <v>1</v>
      </c>
      <c r="F1043" s="1">
        <v>5</v>
      </c>
      <c r="G1043" s="1">
        <v>5</v>
      </c>
      <c r="H1043" s="1">
        <v>0</v>
      </c>
      <c r="I1043" s="1">
        <v>1</v>
      </c>
      <c r="J1043" s="1">
        <v>2</v>
      </c>
    </row>
    <row r="1044" spans="1:10" x14ac:dyDescent="0.2">
      <c r="A1044" s="1">
        <v>1465</v>
      </c>
      <c r="B1044" s="1">
        <v>0</v>
      </c>
      <c r="C1044" s="1">
        <v>20</v>
      </c>
      <c r="D1044" s="1">
        <v>3</v>
      </c>
      <c r="E1044" s="1">
        <v>2</v>
      </c>
      <c r="F1044" s="1">
        <v>5</v>
      </c>
      <c r="G1044" s="1">
        <v>5</v>
      </c>
      <c r="H1044" s="1">
        <v>0</v>
      </c>
      <c r="I1044" s="1">
        <v>1</v>
      </c>
      <c r="J1044" s="1">
        <v>2</v>
      </c>
    </row>
    <row r="1045" spans="1:10" x14ac:dyDescent="0.2">
      <c r="A1045" s="1">
        <v>2325</v>
      </c>
      <c r="B1045" s="1">
        <v>0</v>
      </c>
      <c r="C1045" s="1">
        <v>10</v>
      </c>
      <c r="D1045" s="1">
        <v>3</v>
      </c>
      <c r="E1045" s="1">
        <v>3</v>
      </c>
      <c r="F1045" s="1">
        <v>5</v>
      </c>
      <c r="G1045" s="1">
        <v>5</v>
      </c>
      <c r="H1045" s="1">
        <v>1</v>
      </c>
      <c r="I1045" s="1">
        <v>2</v>
      </c>
      <c r="J1045" s="1">
        <v>2</v>
      </c>
    </row>
    <row r="1046" spans="1:10" x14ac:dyDescent="0.2">
      <c r="A1046" s="1">
        <v>600</v>
      </c>
      <c r="B1046" s="1">
        <v>0</v>
      </c>
      <c r="C1046" s="1">
        <v>10</v>
      </c>
      <c r="D1046" s="1">
        <v>1</v>
      </c>
      <c r="E1046" s="1">
        <v>1</v>
      </c>
      <c r="F1046" s="1">
        <v>6</v>
      </c>
      <c r="G1046" s="1">
        <v>5</v>
      </c>
      <c r="H1046" s="1">
        <v>1</v>
      </c>
      <c r="I1046" s="1">
        <v>2</v>
      </c>
      <c r="J1046" s="1">
        <v>2</v>
      </c>
    </row>
    <row r="1047" spans="1:10" x14ac:dyDescent="0.2">
      <c r="A1047" s="1">
        <v>2122</v>
      </c>
      <c r="B1047" s="1">
        <v>0</v>
      </c>
      <c r="C1047" s="1">
        <v>5</v>
      </c>
      <c r="D1047" s="1">
        <v>2</v>
      </c>
      <c r="E1047" s="1">
        <v>2</v>
      </c>
      <c r="F1047" s="1">
        <v>6</v>
      </c>
      <c r="G1047" s="1">
        <v>5</v>
      </c>
      <c r="H1047" s="1">
        <v>0</v>
      </c>
      <c r="I1047" s="1">
        <v>1</v>
      </c>
      <c r="J1047" s="1">
        <v>2</v>
      </c>
    </row>
    <row r="1048" spans="1:10" x14ac:dyDescent="0.2">
      <c r="A1048" s="1">
        <v>1093</v>
      </c>
      <c r="B1048" s="1">
        <v>0</v>
      </c>
      <c r="C1048" s="1">
        <v>16</v>
      </c>
      <c r="D1048" s="1">
        <v>2</v>
      </c>
      <c r="E1048" s="1">
        <v>2</v>
      </c>
      <c r="F1048" s="1">
        <v>6</v>
      </c>
      <c r="G1048" s="1">
        <v>5</v>
      </c>
      <c r="H1048" s="1">
        <v>1</v>
      </c>
      <c r="I1048" s="1">
        <v>2</v>
      </c>
      <c r="J1048" s="1">
        <v>2</v>
      </c>
    </row>
    <row r="1049" spans="1:10" x14ac:dyDescent="0.2">
      <c r="A1049" s="1">
        <v>690</v>
      </c>
      <c r="B1049" s="1">
        <v>0</v>
      </c>
      <c r="C1049" s="1">
        <v>20</v>
      </c>
      <c r="D1049" s="1">
        <v>5</v>
      </c>
      <c r="E1049" s="1">
        <v>2</v>
      </c>
      <c r="F1049" s="1">
        <v>6</v>
      </c>
      <c r="G1049" s="1">
        <v>5</v>
      </c>
      <c r="H1049" s="1">
        <v>1</v>
      </c>
      <c r="I1049" s="1">
        <v>0</v>
      </c>
      <c r="J1049" s="1">
        <v>2</v>
      </c>
    </row>
    <row r="1050" spans="1:10" x14ac:dyDescent="0.2">
      <c r="A1050" s="1">
        <v>1756</v>
      </c>
      <c r="B1050" s="1">
        <v>0</v>
      </c>
      <c r="C1050" s="1">
        <v>5</v>
      </c>
      <c r="D1050" s="1">
        <v>1</v>
      </c>
      <c r="E1050" s="1">
        <v>1</v>
      </c>
      <c r="F1050" s="1">
        <v>7</v>
      </c>
      <c r="G1050" s="1">
        <v>5</v>
      </c>
      <c r="H1050" s="1">
        <v>1</v>
      </c>
      <c r="I1050" s="1">
        <v>2</v>
      </c>
      <c r="J1050" s="1">
        <v>2</v>
      </c>
    </row>
    <row r="1051" spans="1:10" x14ac:dyDescent="0.2">
      <c r="A1051" s="1">
        <v>160</v>
      </c>
      <c r="B1051" s="1">
        <v>0</v>
      </c>
      <c r="C1051" s="1">
        <v>19</v>
      </c>
      <c r="D1051" s="1">
        <v>4</v>
      </c>
      <c r="E1051" s="1">
        <v>2</v>
      </c>
      <c r="F1051" s="1">
        <v>7</v>
      </c>
      <c r="G1051" s="1">
        <v>5</v>
      </c>
      <c r="H1051" s="1">
        <v>1</v>
      </c>
      <c r="I1051" s="1">
        <v>3</v>
      </c>
      <c r="J1051" s="1">
        <v>2</v>
      </c>
    </row>
    <row r="1052" spans="1:10" x14ac:dyDescent="0.2">
      <c r="A1052" s="1">
        <v>1537</v>
      </c>
      <c r="B1052" s="1">
        <v>0</v>
      </c>
      <c r="C1052" s="1">
        <v>7</v>
      </c>
      <c r="D1052" s="1">
        <v>4</v>
      </c>
      <c r="E1052" s="1">
        <v>3</v>
      </c>
      <c r="F1052" s="1">
        <v>7</v>
      </c>
      <c r="G1052" s="1">
        <v>5</v>
      </c>
      <c r="H1052" s="1">
        <v>1</v>
      </c>
      <c r="I1052" s="1">
        <v>2</v>
      </c>
      <c r="J1052" s="1">
        <v>2</v>
      </c>
    </row>
    <row r="1053" spans="1:10" x14ac:dyDescent="0.2">
      <c r="A1053" s="1">
        <v>2098</v>
      </c>
      <c r="B1053" s="1">
        <v>0</v>
      </c>
      <c r="C1053" s="1">
        <v>12</v>
      </c>
      <c r="D1053" s="1">
        <v>3</v>
      </c>
      <c r="E1053" s="1">
        <v>3</v>
      </c>
      <c r="F1053" s="1">
        <v>7</v>
      </c>
      <c r="G1053" s="1">
        <v>5</v>
      </c>
      <c r="H1053" s="1">
        <v>0</v>
      </c>
      <c r="I1053" s="1">
        <v>3</v>
      </c>
      <c r="J1053" s="1">
        <v>2</v>
      </c>
    </row>
    <row r="1054" spans="1:10" x14ac:dyDescent="0.2">
      <c r="A1054" s="1">
        <v>2493</v>
      </c>
      <c r="B1054" s="1">
        <v>0</v>
      </c>
      <c r="C1054" s="1">
        <v>20</v>
      </c>
      <c r="D1054" s="1">
        <v>3</v>
      </c>
      <c r="E1054" s="1">
        <v>3</v>
      </c>
      <c r="F1054" s="1">
        <v>7</v>
      </c>
      <c r="G1054" s="1">
        <v>5</v>
      </c>
      <c r="H1054" s="1">
        <v>0</v>
      </c>
      <c r="I1054" s="1">
        <v>0</v>
      </c>
      <c r="J1054" s="1">
        <v>2</v>
      </c>
    </row>
    <row r="1055" spans="1:10" x14ac:dyDescent="0.2">
      <c r="A1055" s="1">
        <v>420</v>
      </c>
      <c r="B1055" s="1">
        <v>0</v>
      </c>
      <c r="C1055" s="1">
        <v>13</v>
      </c>
      <c r="D1055" s="1">
        <v>4</v>
      </c>
      <c r="E1055" s="1">
        <v>1</v>
      </c>
      <c r="F1055" s="1">
        <v>9</v>
      </c>
      <c r="G1055" s="1">
        <v>5</v>
      </c>
      <c r="H1055" s="1">
        <v>0</v>
      </c>
      <c r="I1055" s="1">
        <v>3</v>
      </c>
      <c r="J1055" s="1">
        <v>2</v>
      </c>
    </row>
    <row r="1056" spans="1:10" x14ac:dyDescent="0.2">
      <c r="A1056" s="1">
        <v>2376</v>
      </c>
      <c r="B1056" s="1">
        <v>0</v>
      </c>
      <c r="C1056" s="1">
        <v>19</v>
      </c>
      <c r="D1056" s="1">
        <v>3</v>
      </c>
      <c r="E1056" s="1">
        <v>1</v>
      </c>
      <c r="F1056" s="1">
        <v>9</v>
      </c>
      <c r="G1056" s="1">
        <v>5</v>
      </c>
      <c r="H1056" s="1">
        <v>0</v>
      </c>
      <c r="I1056" s="1">
        <v>3</v>
      </c>
      <c r="J1056" s="1">
        <v>2</v>
      </c>
    </row>
    <row r="1057" spans="1:10" x14ac:dyDescent="0.2">
      <c r="A1057" s="1">
        <v>724</v>
      </c>
      <c r="B1057" s="1">
        <v>0</v>
      </c>
      <c r="C1057" s="1">
        <v>13</v>
      </c>
      <c r="D1057" s="1">
        <v>5</v>
      </c>
      <c r="E1057" s="1">
        <v>2</v>
      </c>
      <c r="F1057" s="1">
        <v>9</v>
      </c>
      <c r="G1057" s="1">
        <v>5</v>
      </c>
      <c r="H1057" s="1">
        <v>1</v>
      </c>
      <c r="I1057" s="1">
        <v>2</v>
      </c>
      <c r="J1057" s="1">
        <v>2</v>
      </c>
    </row>
    <row r="1058" spans="1:10" x14ac:dyDescent="0.2">
      <c r="A1058" s="1">
        <v>1302</v>
      </c>
      <c r="B1058" s="1">
        <v>0</v>
      </c>
      <c r="C1058" s="1">
        <v>7</v>
      </c>
      <c r="D1058" s="1">
        <v>2</v>
      </c>
      <c r="E1058" s="1">
        <v>3</v>
      </c>
      <c r="F1058" s="1">
        <v>9</v>
      </c>
      <c r="G1058" s="1">
        <v>5</v>
      </c>
      <c r="H1058" s="1">
        <v>0</v>
      </c>
      <c r="I1058" s="1">
        <v>3</v>
      </c>
      <c r="J1058" s="1">
        <v>2</v>
      </c>
    </row>
    <row r="1059" spans="1:10" x14ac:dyDescent="0.2">
      <c r="A1059" s="1">
        <v>826</v>
      </c>
      <c r="B1059" s="1">
        <v>0</v>
      </c>
      <c r="C1059" s="1">
        <v>6</v>
      </c>
      <c r="D1059" s="1">
        <v>1</v>
      </c>
      <c r="E1059" s="1">
        <v>2</v>
      </c>
      <c r="F1059" s="1">
        <v>10</v>
      </c>
      <c r="G1059" s="1">
        <v>5</v>
      </c>
      <c r="H1059" s="1">
        <v>0</v>
      </c>
      <c r="I1059" s="1">
        <v>0</v>
      </c>
      <c r="J1059" s="1">
        <v>2</v>
      </c>
    </row>
    <row r="1060" spans="1:10" x14ac:dyDescent="0.2">
      <c r="A1060" s="1">
        <v>2179</v>
      </c>
      <c r="B1060" s="1">
        <v>0</v>
      </c>
      <c r="C1060" s="1">
        <v>7</v>
      </c>
      <c r="D1060" s="1">
        <v>2</v>
      </c>
      <c r="E1060" s="1">
        <v>2</v>
      </c>
      <c r="F1060" s="1">
        <v>10</v>
      </c>
      <c r="G1060" s="1">
        <v>5</v>
      </c>
      <c r="H1060" s="1">
        <v>0</v>
      </c>
      <c r="I1060" s="1">
        <v>0</v>
      </c>
      <c r="J1060" s="1">
        <v>2</v>
      </c>
    </row>
    <row r="1061" spans="1:10" x14ac:dyDescent="0.2">
      <c r="A1061" s="1">
        <v>179</v>
      </c>
      <c r="B1061" s="1">
        <v>0</v>
      </c>
      <c r="C1061" s="1">
        <v>13</v>
      </c>
      <c r="D1061" s="1">
        <v>4</v>
      </c>
      <c r="E1061" s="1">
        <v>2</v>
      </c>
      <c r="F1061" s="1">
        <v>10</v>
      </c>
      <c r="G1061" s="1">
        <v>5</v>
      </c>
      <c r="H1061" s="1">
        <v>1</v>
      </c>
      <c r="I1061" s="1">
        <v>0</v>
      </c>
      <c r="J1061" s="1">
        <v>2</v>
      </c>
    </row>
    <row r="1062" spans="1:10" x14ac:dyDescent="0.2">
      <c r="A1062" s="1">
        <v>882</v>
      </c>
      <c r="B1062" s="1">
        <v>0</v>
      </c>
      <c r="C1062" s="1">
        <v>16</v>
      </c>
      <c r="D1062" s="1">
        <v>3</v>
      </c>
      <c r="E1062" s="1">
        <v>2</v>
      </c>
      <c r="F1062" s="1">
        <v>10</v>
      </c>
      <c r="G1062" s="1">
        <v>5</v>
      </c>
      <c r="H1062" s="1">
        <v>0</v>
      </c>
      <c r="I1062" s="1">
        <v>2</v>
      </c>
      <c r="J1062" s="1">
        <v>2</v>
      </c>
    </row>
    <row r="1063" spans="1:10" x14ac:dyDescent="0.2">
      <c r="A1063" s="1">
        <v>1495</v>
      </c>
      <c r="B1063" s="1">
        <v>0</v>
      </c>
      <c r="C1063" s="1">
        <v>17</v>
      </c>
      <c r="D1063" s="1">
        <v>3</v>
      </c>
      <c r="E1063" s="1">
        <v>2</v>
      </c>
      <c r="F1063" s="1">
        <v>10</v>
      </c>
      <c r="G1063" s="1">
        <v>5</v>
      </c>
      <c r="H1063" s="1">
        <v>1</v>
      </c>
      <c r="I1063" s="1">
        <v>0</v>
      </c>
      <c r="J1063" s="1">
        <v>2</v>
      </c>
    </row>
    <row r="1064" spans="1:10" x14ac:dyDescent="0.2">
      <c r="A1064" s="1">
        <v>1153</v>
      </c>
      <c r="B1064" s="1">
        <v>0</v>
      </c>
      <c r="C1064" s="1">
        <v>11</v>
      </c>
      <c r="D1064" s="1">
        <v>2</v>
      </c>
      <c r="E1064" s="1">
        <v>1</v>
      </c>
      <c r="F1064" s="1">
        <v>1</v>
      </c>
      <c r="G1064" s="1">
        <v>5</v>
      </c>
      <c r="H1064" s="1">
        <v>1</v>
      </c>
      <c r="I1064" s="1">
        <v>0</v>
      </c>
      <c r="J1064" s="1">
        <v>3</v>
      </c>
    </row>
    <row r="1065" spans="1:10" x14ac:dyDescent="0.2">
      <c r="A1065" s="1">
        <v>1591</v>
      </c>
      <c r="B1065" s="1">
        <v>0</v>
      </c>
      <c r="C1065" s="1">
        <v>6</v>
      </c>
      <c r="D1065" s="1">
        <v>4</v>
      </c>
      <c r="E1065" s="1">
        <v>3</v>
      </c>
      <c r="F1065" s="1">
        <v>1</v>
      </c>
      <c r="G1065" s="1">
        <v>5</v>
      </c>
      <c r="H1065" s="1">
        <v>1</v>
      </c>
      <c r="I1065" s="1">
        <v>0</v>
      </c>
      <c r="J1065" s="1">
        <v>3</v>
      </c>
    </row>
    <row r="1066" spans="1:10" x14ac:dyDescent="0.2">
      <c r="A1066" s="1">
        <v>1481</v>
      </c>
      <c r="B1066" s="1">
        <v>0</v>
      </c>
      <c r="C1066" s="1">
        <v>14</v>
      </c>
      <c r="D1066" s="1">
        <v>5</v>
      </c>
      <c r="E1066" s="1">
        <v>3</v>
      </c>
      <c r="F1066" s="1">
        <v>1</v>
      </c>
      <c r="G1066" s="1">
        <v>5</v>
      </c>
      <c r="H1066" s="1">
        <v>1</v>
      </c>
      <c r="I1066" s="1">
        <v>2</v>
      </c>
      <c r="J1066" s="1">
        <v>3</v>
      </c>
    </row>
    <row r="1067" spans="1:10" x14ac:dyDescent="0.2">
      <c r="A1067" s="1">
        <v>1101</v>
      </c>
      <c r="B1067" s="1">
        <v>0</v>
      </c>
      <c r="C1067" s="1">
        <v>6</v>
      </c>
      <c r="D1067" s="1">
        <v>3</v>
      </c>
      <c r="E1067" s="1">
        <v>3</v>
      </c>
      <c r="F1067" s="1">
        <v>2</v>
      </c>
      <c r="G1067" s="1">
        <v>5</v>
      </c>
      <c r="H1067" s="1">
        <v>0</v>
      </c>
      <c r="I1067" s="1">
        <v>1</v>
      </c>
      <c r="J1067" s="1">
        <v>3</v>
      </c>
    </row>
    <row r="1068" spans="1:10" x14ac:dyDescent="0.2">
      <c r="A1068" s="1">
        <v>1954</v>
      </c>
      <c r="B1068" s="1">
        <v>0</v>
      </c>
      <c r="C1068" s="1">
        <v>13</v>
      </c>
      <c r="D1068" s="1">
        <v>4</v>
      </c>
      <c r="E1068" s="1">
        <v>3</v>
      </c>
      <c r="F1068" s="1">
        <v>2</v>
      </c>
      <c r="G1068" s="1">
        <v>5</v>
      </c>
      <c r="H1068" s="1">
        <v>1</v>
      </c>
      <c r="I1068" s="1">
        <v>0</v>
      </c>
      <c r="J1068" s="1">
        <v>3</v>
      </c>
    </row>
    <row r="1069" spans="1:10" x14ac:dyDescent="0.2">
      <c r="A1069" s="1">
        <v>1961</v>
      </c>
      <c r="B1069" s="1">
        <v>0</v>
      </c>
      <c r="C1069" s="1">
        <v>18</v>
      </c>
      <c r="D1069" s="1">
        <v>2</v>
      </c>
      <c r="E1069" s="1">
        <v>1</v>
      </c>
      <c r="F1069" s="1">
        <v>3</v>
      </c>
      <c r="G1069" s="1">
        <v>5</v>
      </c>
      <c r="H1069" s="1">
        <v>0</v>
      </c>
      <c r="I1069" s="1">
        <v>2</v>
      </c>
      <c r="J1069" s="1">
        <v>3</v>
      </c>
    </row>
    <row r="1070" spans="1:10" x14ac:dyDescent="0.2">
      <c r="A1070" s="1">
        <v>393</v>
      </c>
      <c r="B1070" s="1">
        <v>0</v>
      </c>
      <c r="C1070" s="1">
        <v>8</v>
      </c>
      <c r="D1070" s="1">
        <v>3</v>
      </c>
      <c r="E1070" s="1">
        <v>2</v>
      </c>
      <c r="F1070" s="1">
        <v>3</v>
      </c>
      <c r="G1070" s="1">
        <v>5</v>
      </c>
      <c r="H1070" s="1">
        <v>0</v>
      </c>
      <c r="I1070" s="1">
        <v>3</v>
      </c>
      <c r="J1070" s="1">
        <v>3</v>
      </c>
    </row>
    <row r="1071" spans="1:10" x14ac:dyDescent="0.2">
      <c r="A1071" s="1">
        <v>1558</v>
      </c>
      <c r="B1071" s="1">
        <v>0</v>
      </c>
      <c r="C1071" s="1">
        <v>6</v>
      </c>
      <c r="D1071" s="1">
        <v>2</v>
      </c>
      <c r="E1071" s="1">
        <v>3</v>
      </c>
      <c r="F1071" s="1">
        <v>3</v>
      </c>
      <c r="G1071" s="1">
        <v>5</v>
      </c>
      <c r="H1071" s="1">
        <v>1</v>
      </c>
      <c r="I1071" s="1">
        <v>1</v>
      </c>
      <c r="J1071" s="1">
        <v>3</v>
      </c>
    </row>
    <row r="1072" spans="1:10" x14ac:dyDescent="0.2">
      <c r="A1072" s="1">
        <v>1275</v>
      </c>
      <c r="B1072" s="1">
        <v>0</v>
      </c>
      <c r="C1072" s="1">
        <v>12</v>
      </c>
      <c r="D1072" s="1">
        <v>4</v>
      </c>
      <c r="E1072" s="1">
        <v>1</v>
      </c>
      <c r="F1072" s="1">
        <v>4</v>
      </c>
      <c r="G1072" s="1">
        <v>5</v>
      </c>
      <c r="H1072" s="1">
        <v>1</v>
      </c>
      <c r="I1072" s="1">
        <v>3</v>
      </c>
      <c r="J1072" s="1">
        <v>3</v>
      </c>
    </row>
    <row r="1073" spans="1:10" x14ac:dyDescent="0.2">
      <c r="A1073" s="1">
        <v>739</v>
      </c>
      <c r="B1073" s="1">
        <v>0</v>
      </c>
      <c r="C1073" s="1">
        <v>13</v>
      </c>
      <c r="D1073" s="1">
        <v>5</v>
      </c>
      <c r="E1073" s="1">
        <v>1</v>
      </c>
      <c r="F1073" s="1">
        <v>4</v>
      </c>
      <c r="G1073" s="1">
        <v>5</v>
      </c>
      <c r="H1073" s="1">
        <v>1</v>
      </c>
      <c r="I1073" s="1">
        <v>2</v>
      </c>
      <c r="J1073" s="1">
        <v>3</v>
      </c>
    </row>
    <row r="1074" spans="1:10" x14ac:dyDescent="0.2">
      <c r="A1074" s="1">
        <v>567</v>
      </c>
      <c r="B1074" s="1">
        <v>0</v>
      </c>
      <c r="C1074" s="1">
        <v>14</v>
      </c>
      <c r="D1074" s="1">
        <v>1</v>
      </c>
      <c r="E1074" s="1">
        <v>1</v>
      </c>
      <c r="F1074" s="1">
        <v>4</v>
      </c>
      <c r="G1074" s="1">
        <v>5</v>
      </c>
      <c r="H1074" s="1">
        <v>1</v>
      </c>
      <c r="I1074" s="1">
        <v>1</v>
      </c>
      <c r="J1074" s="1">
        <v>3</v>
      </c>
    </row>
    <row r="1075" spans="1:10" x14ac:dyDescent="0.2">
      <c r="A1075" s="1">
        <v>55</v>
      </c>
      <c r="B1075" s="1">
        <v>0</v>
      </c>
      <c r="C1075" s="1">
        <v>16</v>
      </c>
      <c r="D1075" s="1">
        <v>3</v>
      </c>
      <c r="E1075" s="1">
        <v>1</v>
      </c>
      <c r="F1075" s="1">
        <v>4</v>
      </c>
      <c r="G1075" s="1">
        <v>5</v>
      </c>
      <c r="H1075" s="1">
        <v>1</v>
      </c>
      <c r="I1075" s="1">
        <v>1</v>
      </c>
      <c r="J1075" s="1">
        <v>3</v>
      </c>
    </row>
    <row r="1076" spans="1:10" x14ac:dyDescent="0.2">
      <c r="A1076" s="1">
        <v>1553</v>
      </c>
      <c r="B1076" s="1">
        <v>0</v>
      </c>
      <c r="C1076" s="1">
        <v>20</v>
      </c>
      <c r="D1076" s="1">
        <v>1</v>
      </c>
      <c r="E1076" s="1">
        <v>1</v>
      </c>
      <c r="F1076" s="1">
        <v>4</v>
      </c>
      <c r="G1076" s="1">
        <v>5</v>
      </c>
      <c r="H1076" s="1">
        <v>1</v>
      </c>
      <c r="I1076" s="1">
        <v>0</v>
      </c>
      <c r="J1076" s="1">
        <v>3</v>
      </c>
    </row>
    <row r="1077" spans="1:10" x14ac:dyDescent="0.2">
      <c r="A1077" s="1">
        <v>1422</v>
      </c>
      <c r="B1077" s="1">
        <v>0</v>
      </c>
      <c r="C1077" s="1">
        <v>19</v>
      </c>
      <c r="D1077" s="1">
        <v>3</v>
      </c>
      <c r="E1077" s="1">
        <v>2</v>
      </c>
      <c r="F1077" s="1">
        <v>4</v>
      </c>
      <c r="G1077" s="1">
        <v>5</v>
      </c>
      <c r="H1077" s="1">
        <v>1</v>
      </c>
      <c r="I1077" s="1">
        <v>3</v>
      </c>
      <c r="J1077" s="1">
        <v>3</v>
      </c>
    </row>
    <row r="1078" spans="1:10" x14ac:dyDescent="0.2">
      <c r="A1078" s="1">
        <v>421</v>
      </c>
      <c r="B1078" s="1">
        <v>0</v>
      </c>
      <c r="C1078" s="1">
        <v>7</v>
      </c>
      <c r="D1078" s="1">
        <v>3</v>
      </c>
      <c r="E1078" s="1">
        <v>3</v>
      </c>
      <c r="F1078" s="1">
        <v>4</v>
      </c>
      <c r="G1078" s="1">
        <v>5</v>
      </c>
      <c r="H1078" s="1">
        <v>0</v>
      </c>
      <c r="I1078" s="1">
        <v>2</v>
      </c>
      <c r="J1078" s="1">
        <v>3</v>
      </c>
    </row>
    <row r="1079" spans="1:10" x14ac:dyDescent="0.2">
      <c r="A1079" s="1">
        <v>86</v>
      </c>
      <c r="B1079" s="1">
        <v>0</v>
      </c>
      <c r="C1079" s="1">
        <v>15</v>
      </c>
      <c r="D1079" s="1">
        <v>5</v>
      </c>
      <c r="E1079" s="1">
        <v>1</v>
      </c>
      <c r="F1079" s="1">
        <v>5</v>
      </c>
      <c r="G1079" s="1">
        <v>5</v>
      </c>
      <c r="H1079" s="1">
        <v>0</v>
      </c>
      <c r="I1079" s="1">
        <v>3</v>
      </c>
      <c r="J1079" s="1">
        <v>3</v>
      </c>
    </row>
    <row r="1080" spans="1:10" x14ac:dyDescent="0.2">
      <c r="A1080" s="1">
        <v>1455</v>
      </c>
      <c r="B1080" s="1">
        <v>0</v>
      </c>
      <c r="C1080" s="1">
        <v>7</v>
      </c>
      <c r="D1080" s="1">
        <v>3</v>
      </c>
      <c r="E1080" s="1">
        <v>2</v>
      </c>
      <c r="F1080" s="1">
        <v>5</v>
      </c>
      <c r="G1080" s="1">
        <v>5</v>
      </c>
      <c r="H1080" s="1">
        <v>0</v>
      </c>
      <c r="I1080" s="1">
        <v>3</v>
      </c>
      <c r="J1080" s="1">
        <v>3</v>
      </c>
    </row>
    <row r="1081" spans="1:10" x14ac:dyDescent="0.2">
      <c r="A1081" s="1">
        <v>747</v>
      </c>
      <c r="B1081" s="1">
        <v>0</v>
      </c>
      <c r="C1081" s="1">
        <v>8</v>
      </c>
      <c r="D1081" s="1">
        <v>1</v>
      </c>
      <c r="E1081" s="1">
        <v>3</v>
      </c>
      <c r="F1081" s="1">
        <v>5</v>
      </c>
      <c r="G1081" s="1">
        <v>5</v>
      </c>
      <c r="H1081" s="1">
        <v>0</v>
      </c>
      <c r="I1081" s="1">
        <v>3</v>
      </c>
      <c r="J1081" s="1">
        <v>3</v>
      </c>
    </row>
    <row r="1082" spans="1:10" x14ac:dyDescent="0.2">
      <c r="A1082" s="1">
        <v>504</v>
      </c>
      <c r="B1082" s="1">
        <v>0</v>
      </c>
      <c r="C1082" s="1">
        <v>13</v>
      </c>
      <c r="D1082" s="1">
        <v>1</v>
      </c>
      <c r="E1082" s="1">
        <v>3</v>
      </c>
      <c r="F1082" s="1">
        <v>5</v>
      </c>
      <c r="G1082" s="1">
        <v>5</v>
      </c>
      <c r="H1082" s="1">
        <v>0</v>
      </c>
      <c r="I1082" s="1">
        <v>0</v>
      </c>
      <c r="J1082" s="1">
        <v>3</v>
      </c>
    </row>
    <row r="1083" spans="1:10" x14ac:dyDescent="0.2">
      <c r="A1083" s="1">
        <v>1545</v>
      </c>
      <c r="B1083" s="1">
        <v>0</v>
      </c>
      <c r="C1083" s="1">
        <v>13</v>
      </c>
      <c r="D1083" s="1">
        <v>2</v>
      </c>
      <c r="E1083" s="1">
        <v>3</v>
      </c>
      <c r="F1083" s="1">
        <v>5</v>
      </c>
      <c r="G1083" s="1">
        <v>5</v>
      </c>
      <c r="H1083" s="1">
        <v>1</v>
      </c>
      <c r="I1083" s="1">
        <v>0</v>
      </c>
      <c r="J1083" s="1">
        <v>3</v>
      </c>
    </row>
    <row r="1084" spans="1:10" x14ac:dyDescent="0.2">
      <c r="A1084" s="1">
        <v>1949</v>
      </c>
      <c r="B1084" s="1">
        <v>0</v>
      </c>
      <c r="C1084" s="1">
        <v>18</v>
      </c>
      <c r="D1084" s="1">
        <v>1</v>
      </c>
      <c r="E1084" s="1">
        <v>1</v>
      </c>
      <c r="F1084" s="1">
        <v>6</v>
      </c>
      <c r="G1084" s="1">
        <v>5</v>
      </c>
      <c r="H1084" s="1">
        <v>0</v>
      </c>
      <c r="I1084" s="1">
        <v>3</v>
      </c>
      <c r="J1084" s="1">
        <v>3</v>
      </c>
    </row>
    <row r="1085" spans="1:10" x14ac:dyDescent="0.2">
      <c r="A1085" s="1">
        <v>2354</v>
      </c>
      <c r="B1085" s="1">
        <v>0</v>
      </c>
      <c r="C1085" s="1">
        <v>18</v>
      </c>
      <c r="D1085" s="1">
        <v>5</v>
      </c>
      <c r="E1085" s="1">
        <v>1</v>
      </c>
      <c r="F1085" s="1">
        <v>6</v>
      </c>
      <c r="G1085" s="1">
        <v>5</v>
      </c>
      <c r="H1085" s="1">
        <v>0</v>
      </c>
      <c r="I1085" s="1">
        <v>2</v>
      </c>
      <c r="J1085" s="1">
        <v>3</v>
      </c>
    </row>
    <row r="1086" spans="1:10" x14ac:dyDescent="0.2">
      <c r="A1086" s="1">
        <v>1188</v>
      </c>
      <c r="B1086" s="1">
        <v>0</v>
      </c>
      <c r="C1086" s="1">
        <v>5</v>
      </c>
      <c r="D1086" s="1">
        <v>5</v>
      </c>
      <c r="E1086" s="1">
        <v>2</v>
      </c>
      <c r="F1086" s="1">
        <v>6</v>
      </c>
      <c r="G1086" s="1">
        <v>5</v>
      </c>
      <c r="H1086" s="1">
        <v>1</v>
      </c>
      <c r="I1086" s="1">
        <v>1</v>
      </c>
      <c r="J1086" s="1">
        <v>3</v>
      </c>
    </row>
    <row r="1087" spans="1:10" x14ac:dyDescent="0.2">
      <c r="A1087" s="1">
        <v>1720</v>
      </c>
      <c r="B1087" s="1">
        <v>0</v>
      </c>
      <c r="C1087" s="1">
        <v>17</v>
      </c>
      <c r="D1087" s="1">
        <v>2</v>
      </c>
      <c r="E1087" s="1">
        <v>2</v>
      </c>
      <c r="F1087" s="1">
        <v>6</v>
      </c>
      <c r="G1087" s="1">
        <v>5</v>
      </c>
      <c r="H1087" s="1">
        <v>0</v>
      </c>
      <c r="I1087" s="1">
        <v>0</v>
      </c>
      <c r="J1087" s="1">
        <v>3</v>
      </c>
    </row>
    <row r="1088" spans="1:10" x14ac:dyDescent="0.2">
      <c r="A1088" s="1">
        <v>2305</v>
      </c>
      <c r="B1088" s="1">
        <v>0</v>
      </c>
      <c r="C1088" s="1">
        <v>11</v>
      </c>
      <c r="D1088" s="1">
        <v>4</v>
      </c>
      <c r="E1088" s="1">
        <v>3</v>
      </c>
      <c r="F1088" s="1">
        <v>6</v>
      </c>
      <c r="G1088" s="1">
        <v>5</v>
      </c>
      <c r="H1088" s="1">
        <v>0</v>
      </c>
      <c r="I1088" s="1">
        <v>0</v>
      </c>
      <c r="J1088" s="1">
        <v>3</v>
      </c>
    </row>
    <row r="1089" spans="1:10" x14ac:dyDescent="0.2">
      <c r="A1089" s="1">
        <v>462</v>
      </c>
      <c r="B1089" s="1">
        <v>0</v>
      </c>
      <c r="C1089" s="1">
        <v>13</v>
      </c>
      <c r="D1089" s="1">
        <v>5</v>
      </c>
      <c r="E1089" s="1">
        <v>3</v>
      </c>
      <c r="F1089" s="1">
        <v>6</v>
      </c>
      <c r="G1089" s="1">
        <v>5</v>
      </c>
      <c r="H1089" s="1">
        <v>1</v>
      </c>
      <c r="I1089" s="1">
        <v>1</v>
      </c>
      <c r="J1089" s="1">
        <v>3</v>
      </c>
    </row>
    <row r="1090" spans="1:10" x14ac:dyDescent="0.2">
      <c r="A1090" s="1">
        <v>64</v>
      </c>
      <c r="B1090" s="1">
        <v>0</v>
      </c>
      <c r="C1090" s="1">
        <v>20</v>
      </c>
      <c r="D1090" s="1">
        <v>1</v>
      </c>
      <c r="E1090" s="1">
        <v>3</v>
      </c>
      <c r="F1090" s="1">
        <v>6</v>
      </c>
      <c r="G1090" s="1">
        <v>5</v>
      </c>
      <c r="H1090" s="1">
        <v>0</v>
      </c>
      <c r="I1090" s="1">
        <v>1</v>
      </c>
      <c r="J1090" s="1">
        <v>3</v>
      </c>
    </row>
    <row r="1091" spans="1:10" x14ac:dyDescent="0.2">
      <c r="A1091" s="1">
        <v>2323</v>
      </c>
      <c r="B1091" s="1">
        <v>0</v>
      </c>
      <c r="C1091" s="1">
        <v>17</v>
      </c>
      <c r="D1091" s="1">
        <v>1</v>
      </c>
      <c r="E1091" s="1">
        <v>1</v>
      </c>
      <c r="F1091" s="1">
        <v>7</v>
      </c>
      <c r="G1091" s="1">
        <v>5</v>
      </c>
      <c r="H1091" s="1">
        <v>0</v>
      </c>
      <c r="I1091" s="1">
        <v>0</v>
      </c>
      <c r="J1091" s="1">
        <v>3</v>
      </c>
    </row>
    <row r="1092" spans="1:10" x14ac:dyDescent="0.2">
      <c r="A1092" s="1">
        <v>1648</v>
      </c>
      <c r="B1092" s="1">
        <v>0</v>
      </c>
      <c r="C1092" s="1">
        <v>8</v>
      </c>
      <c r="D1092" s="1">
        <v>3</v>
      </c>
      <c r="E1092" s="1">
        <v>2</v>
      </c>
      <c r="F1092" s="1">
        <v>7</v>
      </c>
      <c r="G1092" s="1">
        <v>5</v>
      </c>
      <c r="H1092" s="1">
        <v>1</v>
      </c>
      <c r="I1092" s="1">
        <v>1</v>
      </c>
      <c r="J1092" s="1">
        <v>3</v>
      </c>
    </row>
    <row r="1093" spans="1:10" x14ac:dyDescent="0.2">
      <c r="A1093" s="1">
        <v>2434</v>
      </c>
      <c r="B1093" s="1">
        <v>0</v>
      </c>
      <c r="C1093" s="1">
        <v>13</v>
      </c>
      <c r="D1093" s="1">
        <v>5</v>
      </c>
      <c r="E1093" s="1">
        <v>2</v>
      </c>
      <c r="F1093" s="1">
        <v>7</v>
      </c>
      <c r="G1093" s="1">
        <v>5</v>
      </c>
      <c r="H1093" s="1">
        <v>0</v>
      </c>
      <c r="I1093" s="1">
        <v>3</v>
      </c>
      <c r="J1093" s="1">
        <v>3</v>
      </c>
    </row>
    <row r="1094" spans="1:10" x14ac:dyDescent="0.2">
      <c r="A1094" s="1">
        <v>662</v>
      </c>
      <c r="B1094" s="1">
        <v>0</v>
      </c>
      <c r="C1094" s="1">
        <v>17</v>
      </c>
      <c r="D1094" s="1">
        <v>5</v>
      </c>
      <c r="E1094" s="1">
        <v>3</v>
      </c>
      <c r="F1094" s="1">
        <v>7</v>
      </c>
      <c r="G1094" s="1">
        <v>5</v>
      </c>
      <c r="H1094" s="1">
        <v>0</v>
      </c>
      <c r="I1094" s="1">
        <v>0</v>
      </c>
      <c r="J1094" s="1">
        <v>3</v>
      </c>
    </row>
    <row r="1095" spans="1:10" x14ac:dyDescent="0.2">
      <c r="A1095" s="1">
        <v>208</v>
      </c>
      <c r="B1095" s="1">
        <v>0</v>
      </c>
      <c r="C1095" s="1">
        <v>5</v>
      </c>
      <c r="D1095" s="1">
        <v>1</v>
      </c>
      <c r="E1095" s="1">
        <v>3</v>
      </c>
      <c r="F1095" s="1">
        <v>8</v>
      </c>
      <c r="G1095" s="1">
        <v>5</v>
      </c>
      <c r="H1095" s="1">
        <v>0</v>
      </c>
      <c r="I1095" s="1">
        <v>0</v>
      </c>
      <c r="J1095" s="1">
        <v>3</v>
      </c>
    </row>
    <row r="1096" spans="1:10" x14ac:dyDescent="0.2">
      <c r="A1096" s="1">
        <v>2401</v>
      </c>
      <c r="B1096" s="1">
        <v>0</v>
      </c>
      <c r="C1096" s="1">
        <v>9</v>
      </c>
      <c r="D1096" s="1">
        <v>3</v>
      </c>
      <c r="E1096" s="1">
        <v>3</v>
      </c>
      <c r="F1096" s="1">
        <v>9</v>
      </c>
      <c r="G1096" s="1">
        <v>5</v>
      </c>
      <c r="H1096" s="1">
        <v>0</v>
      </c>
      <c r="I1096" s="1">
        <v>3</v>
      </c>
      <c r="J1096" s="1">
        <v>3</v>
      </c>
    </row>
    <row r="1097" spans="1:10" x14ac:dyDescent="0.2">
      <c r="A1097" s="1">
        <v>1055</v>
      </c>
      <c r="B1097" s="1">
        <v>0</v>
      </c>
      <c r="C1097" s="1">
        <v>16</v>
      </c>
      <c r="D1097" s="1">
        <v>4</v>
      </c>
      <c r="E1097" s="1">
        <v>3</v>
      </c>
      <c r="F1097" s="1">
        <v>9</v>
      </c>
      <c r="G1097" s="1">
        <v>5</v>
      </c>
      <c r="H1097" s="1">
        <v>1</v>
      </c>
      <c r="I1097" s="1">
        <v>0</v>
      </c>
      <c r="J1097" s="1">
        <v>3</v>
      </c>
    </row>
    <row r="1098" spans="1:10" x14ac:dyDescent="0.2">
      <c r="A1098" s="1">
        <v>2330</v>
      </c>
      <c r="B1098" s="1">
        <v>0</v>
      </c>
      <c r="C1098" s="1">
        <v>16</v>
      </c>
      <c r="D1098" s="1">
        <v>2</v>
      </c>
      <c r="E1098" s="1">
        <v>2</v>
      </c>
      <c r="F1098" s="1">
        <v>10</v>
      </c>
      <c r="G1098" s="1">
        <v>5</v>
      </c>
      <c r="H1098" s="1">
        <v>0</v>
      </c>
      <c r="I1098" s="1">
        <v>0</v>
      </c>
      <c r="J1098" s="1">
        <v>3</v>
      </c>
    </row>
    <row r="1099" spans="1:10" x14ac:dyDescent="0.2">
      <c r="A1099" s="1">
        <v>566</v>
      </c>
      <c r="B1099" s="1">
        <v>0</v>
      </c>
      <c r="C1099" s="1">
        <v>17</v>
      </c>
      <c r="D1099" s="1">
        <v>4</v>
      </c>
      <c r="E1099" s="1">
        <v>2</v>
      </c>
      <c r="F1099" s="1">
        <v>10</v>
      </c>
      <c r="G1099" s="1">
        <v>5</v>
      </c>
      <c r="H1099" s="1">
        <v>0</v>
      </c>
      <c r="I1099" s="1">
        <v>0</v>
      </c>
      <c r="J1099" s="1">
        <v>3</v>
      </c>
    </row>
    <row r="1100" spans="1:10" x14ac:dyDescent="0.2">
      <c r="A1100" s="1">
        <v>1141</v>
      </c>
      <c r="B1100" s="1">
        <v>0</v>
      </c>
      <c r="C1100" s="1">
        <v>17</v>
      </c>
      <c r="D1100" s="1">
        <v>1</v>
      </c>
      <c r="E1100" s="1">
        <v>2</v>
      </c>
      <c r="F1100" s="1">
        <v>10</v>
      </c>
      <c r="G1100" s="1">
        <v>5</v>
      </c>
      <c r="H1100" s="1">
        <v>0</v>
      </c>
      <c r="I1100" s="1">
        <v>3</v>
      </c>
      <c r="J1100" s="1">
        <v>3</v>
      </c>
    </row>
    <row r="1101" spans="1:10" x14ac:dyDescent="0.2">
      <c r="A1101" s="1">
        <v>1581</v>
      </c>
      <c r="B1101" s="1">
        <v>0</v>
      </c>
      <c r="C1101" s="1">
        <v>17</v>
      </c>
      <c r="D1101" s="1">
        <v>2</v>
      </c>
      <c r="E1101" s="1">
        <v>2</v>
      </c>
      <c r="F1101" s="1">
        <v>10</v>
      </c>
      <c r="G1101" s="1">
        <v>5</v>
      </c>
      <c r="H1101" s="1">
        <v>1</v>
      </c>
      <c r="I1101" s="1">
        <v>0</v>
      </c>
      <c r="J1101" s="1">
        <v>3</v>
      </c>
    </row>
    <row r="1102" spans="1:10" x14ac:dyDescent="0.2">
      <c r="A1102" s="1">
        <v>499</v>
      </c>
      <c r="B1102" s="1">
        <v>0</v>
      </c>
      <c r="C1102" s="1">
        <v>6</v>
      </c>
      <c r="D1102" s="1">
        <v>3</v>
      </c>
      <c r="E1102" s="1">
        <v>3</v>
      </c>
      <c r="F1102" s="1">
        <v>10</v>
      </c>
      <c r="G1102" s="1">
        <v>5</v>
      </c>
      <c r="H1102" s="1">
        <v>1</v>
      </c>
      <c r="I1102" s="1">
        <v>3</v>
      </c>
      <c r="J1102" s="1">
        <v>3</v>
      </c>
    </row>
    <row r="1103" spans="1:10" x14ac:dyDescent="0.2">
      <c r="A1103" s="1">
        <v>1150</v>
      </c>
      <c r="B1103" s="1">
        <v>0</v>
      </c>
      <c r="C1103" s="1">
        <v>6</v>
      </c>
      <c r="D1103" s="1">
        <v>5</v>
      </c>
      <c r="E1103" s="1">
        <v>3</v>
      </c>
      <c r="F1103" s="1">
        <v>10</v>
      </c>
      <c r="G1103" s="1">
        <v>5</v>
      </c>
      <c r="H1103" s="1">
        <v>0</v>
      </c>
      <c r="I1103" s="1">
        <v>1</v>
      </c>
      <c r="J1103" s="1">
        <v>3</v>
      </c>
    </row>
    <row r="1104" spans="1:10" x14ac:dyDescent="0.2">
      <c r="A1104" s="1">
        <v>966</v>
      </c>
      <c r="B1104" s="1">
        <v>0</v>
      </c>
      <c r="C1104" s="1">
        <v>8</v>
      </c>
      <c r="D1104" s="1">
        <v>5</v>
      </c>
      <c r="E1104" s="1">
        <v>3</v>
      </c>
      <c r="F1104" s="1">
        <v>10</v>
      </c>
      <c r="G1104" s="1">
        <v>5</v>
      </c>
      <c r="H1104" s="1">
        <v>1</v>
      </c>
      <c r="I1104" s="1">
        <v>2</v>
      </c>
      <c r="J1104" s="1">
        <v>3</v>
      </c>
    </row>
    <row r="1105" spans="1:10" x14ac:dyDescent="0.2">
      <c r="A1105" s="1">
        <v>2003</v>
      </c>
      <c r="B1105" s="1">
        <v>0</v>
      </c>
      <c r="C1105" s="1">
        <v>9</v>
      </c>
      <c r="D1105" s="1">
        <v>1</v>
      </c>
      <c r="E1105" s="1">
        <v>1</v>
      </c>
      <c r="F1105" s="1">
        <v>1</v>
      </c>
      <c r="G1105" s="1">
        <v>5</v>
      </c>
      <c r="H1105" s="1">
        <v>1</v>
      </c>
      <c r="I1105" s="1">
        <v>3</v>
      </c>
      <c r="J1105" s="1">
        <v>4</v>
      </c>
    </row>
    <row r="1106" spans="1:10" x14ac:dyDescent="0.2">
      <c r="A1106" s="1">
        <v>1416</v>
      </c>
      <c r="B1106" s="1">
        <v>0</v>
      </c>
      <c r="C1106" s="1">
        <v>14</v>
      </c>
      <c r="D1106" s="1">
        <v>2</v>
      </c>
      <c r="E1106" s="1">
        <v>1</v>
      </c>
      <c r="F1106" s="1">
        <v>1</v>
      </c>
      <c r="G1106" s="1">
        <v>5</v>
      </c>
      <c r="H1106" s="1">
        <v>1</v>
      </c>
      <c r="I1106" s="1">
        <v>0</v>
      </c>
      <c r="J1106" s="1">
        <v>4</v>
      </c>
    </row>
    <row r="1107" spans="1:10" x14ac:dyDescent="0.2">
      <c r="A1107" s="1">
        <v>1739</v>
      </c>
      <c r="B1107" s="1">
        <v>0</v>
      </c>
      <c r="C1107" s="1">
        <v>14</v>
      </c>
      <c r="D1107" s="1">
        <v>1</v>
      </c>
      <c r="E1107" s="1">
        <v>1</v>
      </c>
      <c r="F1107" s="1">
        <v>1</v>
      </c>
      <c r="G1107" s="1">
        <v>5</v>
      </c>
      <c r="H1107" s="1">
        <v>1</v>
      </c>
      <c r="I1107" s="1">
        <v>0</v>
      </c>
      <c r="J1107" s="1">
        <v>4</v>
      </c>
    </row>
    <row r="1108" spans="1:10" x14ac:dyDescent="0.2">
      <c r="A1108" s="1">
        <v>555</v>
      </c>
      <c r="B1108" s="1">
        <v>0</v>
      </c>
      <c r="C1108" s="1">
        <v>5</v>
      </c>
      <c r="D1108" s="1">
        <v>4</v>
      </c>
      <c r="E1108" s="1">
        <v>2</v>
      </c>
      <c r="F1108" s="1">
        <v>1</v>
      </c>
      <c r="G1108" s="1">
        <v>5</v>
      </c>
      <c r="H1108" s="1">
        <v>0</v>
      </c>
      <c r="I1108" s="1">
        <v>3</v>
      </c>
      <c r="J1108" s="1">
        <v>4</v>
      </c>
    </row>
    <row r="1109" spans="1:10" x14ac:dyDescent="0.2">
      <c r="A1109" s="1">
        <v>1281</v>
      </c>
      <c r="B1109" s="1">
        <v>0</v>
      </c>
      <c r="C1109" s="1">
        <v>15</v>
      </c>
      <c r="D1109" s="1">
        <v>2</v>
      </c>
      <c r="E1109" s="1">
        <v>2</v>
      </c>
      <c r="F1109" s="1">
        <v>1</v>
      </c>
      <c r="G1109" s="1">
        <v>5</v>
      </c>
      <c r="H1109" s="1">
        <v>1</v>
      </c>
      <c r="I1109" s="1">
        <v>1</v>
      </c>
      <c r="J1109" s="1">
        <v>4</v>
      </c>
    </row>
    <row r="1110" spans="1:10" x14ac:dyDescent="0.2">
      <c r="A1110" s="1">
        <v>2221</v>
      </c>
      <c r="B1110" s="1">
        <v>0</v>
      </c>
      <c r="C1110" s="1">
        <v>14</v>
      </c>
      <c r="D1110" s="1">
        <v>5</v>
      </c>
      <c r="E1110" s="1">
        <v>3</v>
      </c>
      <c r="F1110" s="1">
        <v>1</v>
      </c>
      <c r="G1110" s="1">
        <v>5</v>
      </c>
      <c r="H1110" s="1">
        <v>0</v>
      </c>
      <c r="I1110" s="1">
        <v>0</v>
      </c>
      <c r="J1110" s="1">
        <v>4</v>
      </c>
    </row>
    <row r="1111" spans="1:10" x14ac:dyDescent="0.2">
      <c r="A1111" s="1">
        <v>2250</v>
      </c>
      <c r="B1111" s="1">
        <v>0</v>
      </c>
      <c r="C1111" s="1">
        <v>19</v>
      </c>
      <c r="D1111" s="1">
        <v>1</v>
      </c>
      <c r="E1111" s="1">
        <v>3</v>
      </c>
      <c r="F1111" s="1">
        <v>1</v>
      </c>
      <c r="G1111" s="1">
        <v>5</v>
      </c>
      <c r="H1111" s="1">
        <v>0</v>
      </c>
      <c r="I1111" s="1">
        <v>1</v>
      </c>
      <c r="J1111" s="1">
        <v>4</v>
      </c>
    </row>
    <row r="1112" spans="1:10" x14ac:dyDescent="0.2">
      <c r="A1112" s="1">
        <v>1118</v>
      </c>
      <c r="B1112" s="1">
        <v>0</v>
      </c>
      <c r="C1112" s="1">
        <v>14</v>
      </c>
      <c r="D1112" s="1">
        <v>4</v>
      </c>
      <c r="E1112" s="1">
        <v>1</v>
      </c>
      <c r="F1112" s="1">
        <v>2</v>
      </c>
      <c r="G1112" s="1">
        <v>5</v>
      </c>
      <c r="H1112" s="1">
        <v>0</v>
      </c>
      <c r="I1112" s="1">
        <v>2</v>
      </c>
      <c r="J1112" s="1">
        <v>4</v>
      </c>
    </row>
    <row r="1113" spans="1:10" x14ac:dyDescent="0.2">
      <c r="A1113" s="1">
        <v>311</v>
      </c>
      <c r="B1113" s="1">
        <v>0</v>
      </c>
      <c r="C1113" s="1">
        <v>7</v>
      </c>
      <c r="D1113" s="1">
        <v>2</v>
      </c>
      <c r="E1113" s="1">
        <v>2</v>
      </c>
      <c r="F1113" s="1">
        <v>2</v>
      </c>
      <c r="G1113" s="1">
        <v>5</v>
      </c>
      <c r="H1113" s="1">
        <v>1</v>
      </c>
      <c r="I1113" s="1">
        <v>2</v>
      </c>
      <c r="J1113" s="1">
        <v>4</v>
      </c>
    </row>
    <row r="1114" spans="1:10" x14ac:dyDescent="0.2">
      <c r="A1114" s="1">
        <v>103</v>
      </c>
      <c r="B1114" s="1">
        <v>0</v>
      </c>
      <c r="C1114" s="1">
        <v>15</v>
      </c>
      <c r="D1114" s="1">
        <v>3</v>
      </c>
      <c r="E1114" s="1">
        <v>2</v>
      </c>
      <c r="F1114" s="1">
        <v>2</v>
      </c>
      <c r="G1114" s="1">
        <v>5</v>
      </c>
      <c r="H1114" s="1">
        <v>0</v>
      </c>
      <c r="I1114" s="1">
        <v>3</v>
      </c>
      <c r="J1114" s="1">
        <v>4</v>
      </c>
    </row>
    <row r="1115" spans="1:10" x14ac:dyDescent="0.2">
      <c r="A1115" s="1">
        <v>28</v>
      </c>
      <c r="B1115" s="1">
        <v>0</v>
      </c>
      <c r="C1115" s="1">
        <v>16</v>
      </c>
      <c r="D1115" s="1">
        <v>4</v>
      </c>
      <c r="E1115" s="1">
        <v>1</v>
      </c>
      <c r="F1115" s="1">
        <v>3</v>
      </c>
      <c r="G1115" s="1">
        <v>5</v>
      </c>
      <c r="H1115" s="1">
        <v>0</v>
      </c>
      <c r="I1115" s="1">
        <v>0</v>
      </c>
      <c r="J1115" s="1">
        <v>4</v>
      </c>
    </row>
    <row r="1116" spans="1:10" x14ac:dyDescent="0.2">
      <c r="A1116" s="1">
        <v>284</v>
      </c>
      <c r="B1116" s="1">
        <v>0</v>
      </c>
      <c r="C1116" s="1">
        <v>12</v>
      </c>
      <c r="D1116" s="1">
        <v>3</v>
      </c>
      <c r="E1116" s="1">
        <v>2</v>
      </c>
      <c r="F1116" s="1">
        <v>3</v>
      </c>
      <c r="G1116" s="1">
        <v>5</v>
      </c>
      <c r="H1116" s="1">
        <v>1</v>
      </c>
      <c r="I1116" s="1">
        <v>0</v>
      </c>
      <c r="J1116" s="1">
        <v>4</v>
      </c>
    </row>
    <row r="1117" spans="1:10" x14ac:dyDescent="0.2">
      <c r="A1117" s="1">
        <v>1509</v>
      </c>
      <c r="B1117" s="1">
        <v>0</v>
      </c>
      <c r="C1117" s="1">
        <v>16</v>
      </c>
      <c r="D1117" s="1">
        <v>5</v>
      </c>
      <c r="E1117" s="1">
        <v>2</v>
      </c>
      <c r="F1117" s="1">
        <v>3</v>
      </c>
      <c r="G1117" s="1">
        <v>5</v>
      </c>
      <c r="H1117" s="1">
        <v>0</v>
      </c>
      <c r="I1117" s="1">
        <v>2</v>
      </c>
      <c r="J1117" s="1">
        <v>4</v>
      </c>
    </row>
    <row r="1118" spans="1:10" x14ac:dyDescent="0.2">
      <c r="A1118" s="1">
        <v>1605</v>
      </c>
      <c r="B1118" s="1">
        <v>0</v>
      </c>
      <c r="C1118" s="1">
        <v>17</v>
      </c>
      <c r="D1118" s="1">
        <v>4</v>
      </c>
      <c r="E1118" s="1">
        <v>3</v>
      </c>
      <c r="F1118" s="1">
        <v>3</v>
      </c>
      <c r="G1118" s="1">
        <v>5</v>
      </c>
      <c r="H1118" s="1">
        <v>0</v>
      </c>
      <c r="I1118" s="1">
        <v>3</v>
      </c>
      <c r="J1118" s="1">
        <v>4</v>
      </c>
    </row>
    <row r="1119" spans="1:10" x14ac:dyDescent="0.2">
      <c r="A1119" s="1">
        <v>163</v>
      </c>
      <c r="B1119" s="1">
        <v>0</v>
      </c>
      <c r="C1119" s="1">
        <v>6</v>
      </c>
      <c r="D1119" s="1">
        <v>4</v>
      </c>
      <c r="E1119" s="1">
        <v>1</v>
      </c>
      <c r="F1119" s="1">
        <v>4</v>
      </c>
      <c r="G1119" s="1">
        <v>5</v>
      </c>
      <c r="H1119" s="1">
        <v>0</v>
      </c>
      <c r="I1119" s="1">
        <v>2</v>
      </c>
      <c r="J1119" s="1">
        <v>4</v>
      </c>
    </row>
    <row r="1120" spans="1:10" x14ac:dyDescent="0.2">
      <c r="A1120" s="1">
        <v>1834</v>
      </c>
      <c r="B1120" s="1">
        <v>0</v>
      </c>
      <c r="C1120" s="1">
        <v>20</v>
      </c>
      <c r="D1120" s="1">
        <v>5</v>
      </c>
      <c r="E1120" s="1">
        <v>1</v>
      </c>
      <c r="F1120" s="1">
        <v>4</v>
      </c>
      <c r="G1120" s="1">
        <v>5</v>
      </c>
      <c r="H1120" s="1">
        <v>1</v>
      </c>
      <c r="I1120" s="1">
        <v>0</v>
      </c>
      <c r="J1120" s="1">
        <v>4</v>
      </c>
    </row>
    <row r="1121" spans="1:10" x14ac:dyDescent="0.2">
      <c r="A1121" s="1">
        <v>24</v>
      </c>
      <c r="B1121" s="1">
        <v>0</v>
      </c>
      <c r="C1121" s="1">
        <v>5</v>
      </c>
      <c r="D1121" s="1">
        <v>2</v>
      </c>
      <c r="E1121" s="1">
        <v>2</v>
      </c>
      <c r="F1121" s="1">
        <v>4</v>
      </c>
      <c r="G1121" s="1">
        <v>5</v>
      </c>
      <c r="H1121" s="1">
        <v>0</v>
      </c>
      <c r="I1121" s="1">
        <v>2</v>
      </c>
      <c r="J1121" s="1">
        <v>4</v>
      </c>
    </row>
    <row r="1122" spans="1:10" x14ac:dyDescent="0.2">
      <c r="A1122" s="1">
        <v>2280</v>
      </c>
      <c r="B1122" s="1">
        <v>0</v>
      </c>
      <c r="C1122" s="1">
        <v>11</v>
      </c>
      <c r="D1122" s="1">
        <v>5</v>
      </c>
      <c r="E1122" s="1">
        <v>2</v>
      </c>
      <c r="F1122" s="1">
        <v>4</v>
      </c>
      <c r="G1122" s="1">
        <v>5</v>
      </c>
      <c r="H1122" s="1">
        <v>0</v>
      </c>
      <c r="I1122" s="1">
        <v>1</v>
      </c>
      <c r="J1122" s="1">
        <v>4</v>
      </c>
    </row>
    <row r="1123" spans="1:10" x14ac:dyDescent="0.2">
      <c r="A1123" s="1">
        <v>1771</v>
      </c>
      <c r="B1123" s="1">
        <v>0</v>
      </c>
      <c r="C1123" s="1">
        <v>10</v>
      </c>
      <c r="D1123" s="1">
        <v>5</v>
      </c>
      <c r="E1123" s="1">
        <v>3</v>
      </c>
      <c r="F1123" s="1">
        <v>4</v>
      </c>
      <c r="G1123" s="1">
        <v>5</v>
      </c>
      <c r="H1123" s="1">
        <v>1</v>
      </c>
      <c r="I1123" s="1">
        <v>3</v>
      </c>
      <c r="J1123" s="1">
        <v>4</v>
      </c>
    </row>
    <row r="1124" spans="1:10" x14ac:dyDescent="0.2">
      <c r="A1124" s="1">
        <v>1778</v>
      </c>
      <c r="B1124" s="1">
        <v>0</v>
      </c>
      <c r="C1124" s="1">
        <v>11</v>
      </c>
      <c r="D1124" s="1">
        <v>4</v>
      </c>
      <c r="E1124" s="1">
        <v>3</v>
      </c>
      <c r="F1124" s="1">
        <v>4</v>
      </c>
      <c r="G1124" s="1">
        <v>5</v>
      </c>
      <c r="H1124" s="1">
        <v>1</v>
      </c>
      <c r="I1124" s="1">
        <v>2</v>
      </c>
      <c r="J1124" s="1">
        <v>4</v>
      </c>
    </row>
    <row r="1125" spans="1:10" x14ac:dyDescent="0.2">
      <c r="A1125" s="1">
        <v>928</v>
      </c>
      <c r="B1125" s="1">
        <v>0</v>
      </c>
      <c r="C1125" s="1">
        <v>17</v>
      </c>
      <c r="D1125" s="1">
        <v>3</v>
      </c>
      <c r="E1125" s="1">
        <v>2</v>
      </c>
      <c r="F1125" s="1">
        <v>5</v>
      </c>
      <c r="G1125" s="1">
        <v>5</v>
      </c>
      <c r="H1125" s="1">
        <v>1</v>
      </c>
      <c r="I1125" s="1">
        <v>3</v>
      </c>
      <c r="J1125" s="1">
        <v>4</v>
      </c>
    </row>
    <row r="1126" spans="1:10" x14ac:dyDescent="0.2">
      <c r="A1126" s="1">
        <v>1050</v>
      </c>
      <c r="B1126" s="1">
        <v>0</v>
      </c>
      <c r="C1126" s="1">
        <v>8</v>
      </c>
      <c r="D1126" s="1">
        <v>4</v>
      </c>
      <c r="E1126" s="1">
        <v>3</v>
      </c>
      <c r="F1126" s="1">
        <v>5</v>
      </c>
      <c r="G1126" s="1">
        <v>5</v>
      </c>
      <c r="H1126" s="1">
        <v>1</v>
      </c>
      <c r="I1126" s="1">
        <v>1</v>
      </c>
      <c r="J1126" s="1">
        <v>4</v>
      </c>
    </row>
    <row r="1127" spans="1:10" x14ac:dyDescent="0.2">
      <c r="A1127" s="1">
        <v>1300</v>
      </c>
      <c r="B1127" s="1">
        <v>0</v>
      </c>
      <c r="C1127" s="1">
        <v>20</v>
      </c>
      <c r="D1127" s="1">
        <v>4</v>
      </c>
      <c r="E1127" s="1">
        <v>3</v>
      </c>
      <c r="F1127" s="1">
        <v>5</v>
      </c>
      <c r="G1127" s="1">
        <v>5</v>
      </c>
      <c r="H1127" s="1">
        <v>0</v>
      </c>
      <c r="I1127" s="1">
        <v>0</v>
      </c>
      <c r="J1127" s="1">
        <v>4</v>
      </c>
    </row>
    <row r="1128" spans="1:10" x14ac:dyDescent="0.2">
      <c r="A1128" s="1">
        <v>1541</v>
      </c>
      <c r="B1128" s="1">
        <v>0</v>
      </c>
      <c r="C1128" s="1">
        <v>12</v>
      </c>
      <c r="D1128" s="1">
        <v>1</v>
      </c>
      <c r="E1128" s="1">
        <v>1</v>
      </c>
      <c r="F1128" s="1">
        <v>6</v>
      </c>
      <c r="G1128" s="1">
        <v>5</v>
      </c>
      <c r="H1128" s="1">
        <v>1</v>
      </c>
      <c r="I1128" s="1">
        <v>3</v>
      </c>
      <c r="J1128" s="1">
        <v>4</v>
      </c>
    </row>
    <row r="1129" spans="1:10" x14ac:dyDescent="0.2">
      <c r="A1129" s="1">
        <v>963</v>
      </c>
      <c r="B1129" s="1">
        <v>0</v>
      </c>
      <c r="C1129" s="1">
        <v>17</v>
      </c>
      <c r="D1129" s="1">
        <v>1</v>
      </c>
      <c r="E1129" s="1">
        <v>1</v>
      </c>
      <c r="F1129" s="1">
        <v>6</v>
      </c>
      <c r="G1129" s="1">
        <v>5</v>
      </c>
      <c r="H1129" s="1">
        <v>1</v>
      </c>
      <c r="I1129" s="1">
        <v>3</v>
      </c>
      <c r="J1129" s="1">
        <v>4</v>
      </c>
    </row>
    <row r="1130" spans="1:10" x14ac:dyDescent="0.2">
      <c r="A1130" s="1">
        <v>1595</v>
      </c>
      <c r="B1130" s="1">
        <v>0</v>
      </c>
      <c r="C1130" s="1">
        <v>17</v>
      </c>
      <c r="D1130" s="1">
        <v>4</v>
      </c>
      <c r="E1130" s="1">
        <v>1</v>
      </c>
      <c r="F1130" s="1">
        <v>6</v>
      </c>
      <c r="G1130" s="1">
        <v>5</v>
      </c>
      <c r="H1130" s="1">
        <v>1</v>
      </c>
      <c r="I1130" s="1">
        <v>0</v>
      </c>
      <c r="J1130" s="1">
        <v>4</v>
      </c>
    </row>
    <row r="1131" spans="1:10" x14ac:dyDescent="0.2">
      <c r="A1131" s="1">
        <v>2184</v>
      </c>
      <c r="B1131" s="1">
        <v>0</v>
      </c>
      <c r="C1131" s="1">
        <v>5</v>
      </c>
      <c r="D1131" s="1">
        <v>4</v>
      </c>
      <c r="E1131" s="1">
        <v>2</v>
      </c>
      <c r="F1131" s="1">
        <v>6</v>
      </c>
      <c r="G1131" s="1">
        <v>5</v>
      </c>
      <c r="H1131" s="1">
        <v>0</v>
      </c>
      <c r="I1131" s="1">
        <v>0</v>
      </c>
      <c r="J1131" s="1">
        <v>4</v>
      </c>
    </row>
    <row r="1132" spans="1:10" x14ac:dyDescent="0.2">
      <c r="A1132" s="1">
        <v>1604</v>
      </c>
      <c r="B1132" s="1">
        <v>0</v>
      </c>
      <c r="C1132" s="1">
        <v>6</v>
      </c>
      <c r="D1132" s="1">
        <v>2</v>
      </c>
      <c r="E1132" s="1">
        <v>2</v>
      </c>
      <c r="F1132" s="1">
        <v>6</v>
      </c>
      <c r="G1132" s="1">
        <v>5</v>
      </c>
      <c r="H1132" s="1">
        <v>1</v>
      </c>
      <c r="I1132" s="1">
        <v>1</v>
      </c>
      <c r="J1132" s="1">
        <v>4</v>
      </c>
    </row>
    <row r="1133" spans="1:10" x14ac:dyDescent="0.2">
      <c r="A1133" s="1">
        <v>1514</v>
      </c>
      <c r="B1133" s="1">
        <v>0</v>
      </c>
      <c r="C1133" s="1">
        <v>20</v>
      </c>
      <c r="D1133" s="1">
        <v>3</v>
      </c>
      <c r="E1133" s="1">
        <v>2</v>
      </c>
      <c r="F1133" s="1">
        <v>6</v>
      </c>
      <c r="G1133" s="1">
        <v>5</v>
      </c>
      <c r="H1133" s="1">
        <v>1</v>
      </c>
      <c r="I1133" s="1">
        <v>0</v>
      </c>
      <c r="J1133" s="1">
        <v>4</v>
      </c>
    </row>
    <row r="1134" spans="1:10" x14ac:dyDescent="0.2">
      <c r="A1134" s="1">
        <v>1907</v>
      </c>
      <c r="B1134" s="1">
        <v>0</v>
      </c>
      <c r="C1134" s="1">
        <v>6</v>
      </c>
      <c r="D1134" s="1">
        <v>2</v>
      </c>
      <c r="E1134" s="1">
        <v>3</v>
      </c>
      <c r="F1134" s="1">
        <v>6</v>
      </c>
      <c r="G1134" s="1">
        <v>5</v>
      </c>
      <c r="H1134" s="1">
        <v>0</v>
      </c>
      <c r="I1134" s="1">
        <v>3</v>
      </c>
      <c r="J1134" s="1">
        <v>4</v>
      </c>
    </row>
    <row r="1135" spans="1:10" x14ac:dyDescent="0.2">
      <c r="A1135" s="1">
        <v>1632</v>
      </c>
      <c r="B1135" s="1">
        <v>0</v>
      </c>
      <c r="C1135" s="1">
        <v>6</v>
      </c>
      <c r="D1135" s="1">
        <v>3</v>
      </c>
      <c r="E1135" s="1">
        <v>2</v>
      </c>
      <c r="F1135" s="1">
        <v>7</v>
      </c>
      <c r="G1135" s="1">
        <v>5</v>
      </c>
      <c r="H1135" s="1">
        <v>1</v>
      </c>
      <c r="I1135" s="1">
        <v>3</v>
      </c>
      <c r="J1135" s="1">
        <v>4</v>
      </c>
    </row>
    <row r="1136" spans="1:10" x14ac:dyDescent="0.2">
      <c r="A1136" s="1">
        <v>1748</v>
      </c>
      <c r="B1136" s="1">
        <v>0</v>
      </c>
      <c r="C1136" s="1">
        <v>11</v>
      </c>
      <c r="D1136" s="1">
        <v>4</v>
      </c>
      <c r="E1136" s="1">
        <v>2</v>
      </c>
      <c r="F1136" s="1">
        <v>7</v>
      </c>
      <c r="G1136" s="1">
        <v>5</v>
      </c>
      <c r="H1136" s="1">
        <v>0</v>
      </c>
      <c r="I1136" s="1">
        <v>0</v>
      </c>
      <c r="J1136" s="1">
        <v>4</v>
      </c>
    </row>
    <row r="1137" spans="1:10" x14ac:dyDescent="0.2">
      <c r="A1137" s="1">
        <v>1638</v>
      </c>
      <c r="B1137" s="1">
        <v>0</v>
      </c>
      <c r="C1137" s="1">
        <v>18</v>
      </c>
      <c r="D1137" s="1">
        <v>5</v>
      </c>
      <c r="E1137" s="1">
        <v>3</v>
      </c>
      <c r="F1137" s="1">
        <v>7</v>
      </c>
      <c r="G1137" s="1">
        <v>5</v>
      </c>
      <c r="H1137" s="1">
        <v>1</v>
      </c>
      <c r="I1137" s="1">
        <v>1</v>
      </c>
      <c r="J1137" s="1">
        <v>4</v>
      </c>
    </row>
    <row r="1138" spans="1:10" x14ac:dyDescent="0.2">
      <c r="A1138" s="1">
        <v>2455</v>
      </c>
      <c r="B1138" s="1">
        <v>0</v>
      </c>
      <c r="C1138" s="1">
        <v>20</v>
      </c>
      <c r="D1138" s="1">
        <v>2</v>
      </c>
      <c r="E1138" s="1">
        <v>3</v>
      </c>
      <c r="F1138" s="1">
        <v>7</v>
      </c>
      <c r="G1138" s="1">
        <v>5</v>
      </c>
      <c r="H1138" s="1">
        <v>1</v>
      </c>
      <c r="I1138" s="1">
        <v>3</v>
      </c>
      <c r="J1138" s="1">
        <v>4</v>
      </c>
    </row>
    <row r="1139" spans="1:10" x14ac:dyDescent="0.2">
      <c r="A1139" s="1">
        <v>1260</v>
      </c>
      <c r="B1139" s="1">
        <v>0</v>
      </c>
      <c r="C1139" s="1">
        <v>10</v>
      </c>
      <c r="D1139" s="1">
        <v>3</v>
      </c>
      <c r="E1139" s="1">
        <v>2</v>
      </c>
      <c r="F1139" s="1">
        <v>8</v>
      </c>
      <c r="G1139" s="1">
        <v>5</v>
      </c>
      <c r="H1139" s="1">
        <v>0</v>
      </c>
      <c r="I1139" s="1">
        <v>3</v>
      </c>
      <c r="J1139" s="1">
        <v>4</v>
      </c>
    </row>
    <row r="1140" spans="1:10" x14ac:dyDescent="0.2">
      <c r="A1140" s="1">
        <v>561</v>
      </c>
      <c r="B1140" s="1">
        <v>0</v>
      </c>
      <c r="C1140" s="1">
        <v>11</v>
      </c>
      <c r="D1140" s="1">
        <v>3</v>
      </c>
      <c r="E1140" s="1">
        <v>3</v>
      </c>
      <c r="F1140" s="1">
        <v>8</v>
      </c>
      <c r="G1140" s="1">
        <v>5</v>
      </c>
      <c r="H1140" s="1">
        <v>0</v>
      </c>
      <c r="I1140" s="1">
        <v>0</v>
      </c>
      <c r="J1140" s="1">
        <v>4</v>
      </c>
    </row>
    <row r="1141" spans="1:10" x14ac:dyDescent="0.2">
      <c r="A1141" s="1">
        <v>668</v>
      </c>
      <c r="B1141" s="1">
        <v>0</v>
      </c>
      <c r="C1141" s="1">
        <v>10</v>
      </c>
      <c r="D1141" s="1">
        <v>2</v>
      </c>
      <c r="E1141" s="1">
        <v>2</v>
      </c>
      <c r="F1141" s="1">
        <v>9</v>
      </c>
      <c r="G1141" s="1">
        <v>5</v>
      </c>
      <c r="H1141" s="1">
        <v>0</v>
      </c>
      <c r="I1141" s="1">
        <v>2</v>
      </c>
      <c r="J1141" s="1">
        <v>4</v>
      </c>
    </row>
    <row r="1142" spans="1:10" x14ac:dyDescent="0.2">
      <c r="A1142" s="1">
        <v>1092</v>
      </c>
      <c r="B1142" s="1">
        <v>0</v>
      </c>
      <c r="C1142" s="1">
        <v>16</v>
      </c>
      <c r="D1142" s="1">
        <v>5</v>
      </c>
      <c r="E1142" s="1">
        <v>3</v>
      </c>
      <c r="F1142" s="1">
        <v>9</v>
      </c>
      <c r="G1142" s="1">
        <v>5</v>
      </c>
      <c r="H1142" s="1">
        <v>1</v>
      </c>
      <c r="I1142" s="1">
        <v>0</v>
      </c>
      <c r="J1142" s="1">
        <v>4</v>
      </c>
    </row>
    <row r="1143" spans="1:10" x14ac:dyDescent="0.2">
      <c r="A1143" s="1">
        <v>2470</v>
      </c>
      <c r="B1143" s="1">
        <v>0</v>
      </c>
      <c r="C1143" s="1">
        <v>11</v>
      </c>
      <c r="D1143" s="1">
        <v>5</v>
      </c>
      <c r="E1143" s="1">
        <v>3</v>
      </c>
      <c r="F1143" s="1">
        <v>10</v>
      </c>
      <c r="G1143" s="1">
        <v>5</v>
      </c>
      <c r="H1143" s="1">
        <v>1</v>
      </c>
      <c r="I1143" s="1">
        <v>3</v>
      </c>
      <c r="J1143" s="1">
        <v>4</v>
      </c>
    </row>
    <row r="1144" spans="1:10" x14ac:dyDescent="0.2">
      <c r="A1144" s="1">
        <v>762</v>
      </c>
      <c r="B1144" s="1">
        <v>0</v>
      </c>
      <c r="C1144" s="1">
        <v>17</v>
      </c>
      <c r="D1144" s="1">
        <v>4</v>
      </c>
      <c r="E1144" s="1">
        <v>3</v>
      </c>
      <c r="F1144" s="1">
        <v>10</v>
      </c>
      <c r="G1144" s="1">
        <v>5</v>
      </c>
      <c r="H1144" s="1">
        <v>0</v>
      </c>
      <c r="I1144" s="1">
        <v>3</v>
      </c>
      <c r="J1144" s="1">
        <v>4</v>
      </c>
    </row>
    <row r="1145" spans="1:10" x14ac:dyDescent="0.2">
      <c r="A1145" s="1">
        <v>1675</v>
      </c>
      <c r="B1145" s="1">
        <v>0</v>
      </c>
      <c r="C1145" s="1">
        <v>7</v>
      </c>
      <c r="D1145" s="1">
        <v>5</v>
      </c>
      <c r="E1145" s="1">
        <v>1</v>
      </c>
      <c r="F1145" s="1">
        <v>1</v>
      </c>
      <c r="G1145" s="1">
        <v>5</v>
      </c>
      <c r="H1145" s="1">
        <v>0</v>
      </c>
      <c r="I1145" s="1">
        <v>1</v>
      </c>
      <c r="J1145" s="1">
        <v>5</v>
      </c>
    </row>
    <row r="1146" spans="1:10" x14ac:dyDescent="0.2">
      <c r="A1146" s="1">
        <v>2475</v>
      </c>
      <c r="B1146" s="1">
        <v>0</v>
      </c>
      <c r="C1146" s="1">
        <v>6</v>
      </c>
      <c r="D1146" s="1">
        <v>1</v>
      </c>
      <c r="E1146" s="1">
        <v>2</v>
      </c>
      <c r="F1146" s="1">
        <v>1</v>
      </c>
      <c r="G1146" s="1">
        <v>5</v>
      </c>
      <c r="H1146" s="1">
        <v>0</v>
      </c>
      <c r="I1146" s="1">
        <v>1</v>
      </c>
      <c r="J1146" s="1">
        <v>5</v>
      </c>
    </row>
    <row r="1147" spans="1:10" x14ac:dyDescent="0.2">
      <c r="A1147" s="1">
        <v>1563</v>
      </c>
      <c r="B1147" s="1">
        <v>0</v>
      </c>
      <c r="C1147" s="1">
        <v>11</v>
      </c>
      <c r="D1147" s="1">
        <v>1</v>
      </c>
      <c r="E1147" s="1">
        <v>2</v>
      </c>
      <c r="F1147" s="1">
        <v>1</v>
      </c>
      <c r="G1147" s="1">
        <v>5</v>
      </c>
      <c r="H1147" s="1">
        <v>0</v>
      </c>
      <c r="I1147" s="1">
        <v>2</v>
      </c>
      <c r="J1147" s="1">
        <v>5</v>
      </c>
    </row>
    <row r="1148" spans="1:10" x14ac:dyDescent="0.2">
      <c r="A1148" s="1">
        <v>1291</v>
      </c>
      <c r="B1148" s="1">
        <v>0</v>
      </c>
      <c r="C1148" s="1">
        <v>5</v>
      </c>
      <c r="D1148" s="1">
        <v>3</v>
      </c>
      <c r="E1148" s="1">
        <v>3</v>
      </c>
      <c r="F1148" s="1">
        <v>1</v>
      </c>
      <c r="G1148" s="1">
        <v>5</v>
      </c>
      <c r="H1148" s="1">
        <v>0</v>
      </c>
      <c r="I1148" s="1">
        <v>0</v>
      </c>
      <c r="J1148" s="1">
        <v>5</v>
      </c>
    </row>
    <row r="1149" spans="1:10" x14ac:dyDescent="0.2">
      <c r="A1149" s="1">
        <v>1601</v>
      </c>
      <c r="B1149" s="1">
        <v>0</v>
      </c>
      <c r="C1149" s="1">
        <v>12</v>
      </c>
      <c r="D1149" s="1">
        <v>1</v>
      </c>
      <c r="E1149" s="1">
        <v>3</v>
      </c>
      <c r="F1149" s="1">
        <v>1</v>
      </c>
      <c r="G1149" s="1">
        <v>5</v>
      </c>
      <c r="H1149" s="1">
        <v>0</v>
      </c>
      <c r="I1149" s="1">
        <v>1</v>
      </c>
      <c r="J1149" s="1">
        <v>5</v>
      </c>
    </row>
    <row r="1150" spans="1:10" x14ac:dyDescent="0.2">
      <c r="A1150" s="1">
        <v>511</v>
      </c>
      <c r="B1150" s="1">
        <v>0</v>
      </c>
      <c r="C1150" s="1">
        <v>18</v>
      </c>
      <c r="D1150" s="1">
        <v>4</v>
      </c>
      <c r="E1150" s="1">
        <v>3</v>
      </c>
      <c r="F1150" s="1">
        <v>1</v>
      </c>
      <c r="G1150" s="1">
        <v>5</v>
      </c>
      <c r="H1150" s="1">
        <v>1</v>
      </c>
      <c r="I1150" s="1">
        <v>3</v>
      </c>
      <c r="J1150" s="1">
        <v>5</v>
      </c>
    </row>
    <row r="1151" spans="1:10" x14ac:dyDescent="0.2">
      <c r="A1151" s="1">
        <v>144</v>
      </c>
      <c r="B1151" s="1">
        <v>0</v>
      </c>
      <c r="C1151" s="1">
        <v>13</v>
      </c>
      <c r="D1151" s="1">
        <v>2</v>
      </c>
      <c r="E1151" s="1">
        <v>1</v>
      </c>
      <c r="F1151" s="1">
        <v>2</v>
      </c>
      <c r="G1151" s="1">
        <v>5</v>
      </c>
      <c r="H1151" s="1">
        <v>1</v>
      </c>
      <c r="I1151" s="1">
        <v>2</v>
      </c>
      <c r="J1151" s="1">
        <v>5</v>
      </c>
    </row>
    <row r="1152" spans="1:10" x14ac:dyDescent="0.2">
      <c r="A1152" s="1">
        <v>2020</v>
      </c>
      <c r="B1152" s="1">
        <v>0</v>
      </c>
      <c r="C1152" s="1">
        <v>8</v>
      </c>
      <c r="D1152" s="1">
        <v>2</v>
      </c>
      <c r="E1152" s="1">
        <v>2</v>
      </c>
      <c r="F1152" s="1">
        <v>2</v>
      </c>
      <c r="G1152" s="1">
        <v>5</v>
      </c>
      <c r="H1152" s="1">
        <v>1</v>
      </c>
      <c r="I1152" s="1">
        <v>2</v>
      </c>
      <c r="J1152" s="1">
        <v>5</v>
      </c>
    </row>
    <row r="1153" spans="1:10" x14ac:dyDescent="0.2">
      <c r="A1153" s="1">
        <v>2193</v>
      </c>
      <c r="B1153" s="1">
        <v>0</v>
      </c>
      <c r="C1153" s="1">
        <v>8</v>
      </c>
      <c r="D1153" s="1">
        <v>4</v>
      </c>
      <c r="E1153" s="1">
        <v>3</v>
      </c>
      <c r="F1153" s="1">
        <v>2</v>
      </c>
      <c r="G1153" s="1">
        <v>5</v>
      </c>
      <c r="H1153" s="1">
        <v>0</v>
      </c>
      <c r="I1153" s="1">
        <v>2</v>
      </c>
      <c r="J1153" s="1">
        <v>5</v>
      </c>
    </row>
    <row r="1154" spans="1:10" x14ac:dyDescent="0.2">
      <c r="A1154" s="1">
        <v>2413</v>
      </c>
      <c r="B1154" s="1">
        <v>0</v>
      </c>
      <c r="C1154" s="1">
        <v>15</v>
      </c>
      <c r="D1154" s="1">
        <v>3</v>
      </c>
      <c r="E1154" s="1">
        <v>3</v>
      </c>
      <c r="F1154" s="1">
        <v>2</v>
      </c>
      <c r="G1154" s="1">
        <v>5</v>
      </c>
      <c r="H1154" s="1">
        <v>1</v>
      </c>
      <c r="I1154" s="1">
        <v>0</v>
      </c>
      <c r="J1154" s="1">
        <v>5</v>
      </c>
    </row>
    <row r="1155" spans="1:10" x14ac:dyDescent="0.2">
      <c r="A1155" s="1">
        <v>2333</v>
      </c>
      <c r="B1155" s="1">
        <v>0</v>
      </c>
      <c r="C1155" s="1">
        <v>17</v>
      </c>
      <c r="D1155" s="1">
        <v>1</v>
      </c>
      <c r="E1155" s="1">
        <v>3</v>
      </c>
      <c r="F1155" s="1">
        <v>2</v>
      </c>
      <c r="G1155" s="1">
        <v>5</v>
      </c>
      <c r="H1155" s="1">
        <v>0</v>
      </c>
      <c r="I1155" s="1">
        <v>2</v>
      </c>
      <c r="J1155" s="1">
        <v>5</v>
      </c>
    </row>
    <row r="1156" spans="1:10" x14ac:dyDescent="0.2">
      <c r="A1156" s="1">
        <v>211</v>
      </c>
      <c r="B1156" s="1">
        <v>0</v>
      </c>
      <c r="C1156" s="1">
        <v>16</v>
      </c>
      <c r="D1156" s="1">
        <v>5</v>
      </c>
      <c r="E1156" s="1">
        <v>1</v>
      </c>
      <c r="F1156" s="1">
        <v>3</v>
      </c>
      <c r="G1156" s="1">
        <v>5</v>
      </c>
      <c r="H1156" s="1">
        <v>0</v>
      </c>
      <c r="I1156" s="1">
        <v>2</v>
      </c>
      <c r="J1156" s="1">
        <v>5</v>
      </c>
    </row>
    <row r="1157" spans="1:10" x14ac:dyDescent="0.2">
      <c r="A1157" s="1">
        <v>1167</v>
      </c>
      <c r="B1157" s="1">
        <v>0</v>
      </c>
      <c r="C1157" s="1">
        <v>8</v>
      </c>
      <c r="D1157" s="1">
        <v>5</v>
      </c>
      <c r="E1157" s="1">
        <v>3</v>
      </c>
      <c r="F1157" s="1">
        <v>3</v>
      </c>
      <c r="G1157" s="1">
        <v>5</v>
      </c>
      <c r="H1157" s="1">
        <v>0</v>
      </c>
      <c r="I1157" s="1">
        <v>0</v>
      </c>
      <c r="J1157" s="1">
        <v>5</v>
      </c>
    </row>
    <row r="1158" spans="1:10" x14ac:dyDescent="0.2">
      <c r="A1158" s="1">
        <v>2466</v>
      </c>
      <c r="B1158" s="1">
        <v>0</v>
      </c>
      <c r="C1158" s="1">
        <v>12</v>
      </c>
      <c r="D1158" s="1">
        <v>3</v>
      </c>
      <c r="E1158" s="1">
        <v>3</v>
      </c>
      <c r="F1158" s="1">
        <v>3</v>
      </c>
      <c r="G1158" s="1">
        <v>5</v>
      </c>
      <c r="H1158" s="1">
        <v>0</v>
      </c>
      <c r="I1158" s="1">
        <v>3</v>
      </c>
      <c r="J1158" s="1">
        <v>5</v>
      </c>
    </row>
    <row r="1159" spans="1:10" x14ac:dyDescent="0.2">
      <c r="A1159" s="1">
        <v>842</v>
      </c>
      <c r="B1159" s="1">
        <v>0</v>
      </c>
      <c r="C1159" s="1">
        <v>20</v>
      </c>
      <c r="D1159" s="1">
        <v>2</v>
      </c>
      <c r="E1159" s="1">
        <v>3</v>
      </c>
      <c r="F1159" s="1">
        <v>3</v>
      </c>
      <c r="G1159" s="1">
        <v>5</v>
      </c>
      <c r="H1159" s="1">
        <v>0</v>
      </c>
      <c r="I1159" s="1">
        <v>2</v>
      </c>
      <c r="J1159" s="1">
        <v>5</v>
      </c>
    </row>
    <row r="1160" spans="1:10" x14ac:dyDescent="0.2">
      <c r="A1160" s="1">
        <v>2185</v>
      </c>
      <c r="B1160" s="1">
        <v>0</v>
      </c>
      <c r="C1160" s="1">
        <v>20</v>
      </c>
      <c r="D1160" s="1">
        <v>3</v>
      </c>
      <c r="E1160" s="1">
        <v>3</v>
      </c>
      <c r="F1160" s="1">
        <v>3</v>
      </c>
      <c r="G1160" s="1">
        <v>5</v>
      </c>
      <c r="H1160" s="1">
        <v>0</v>
      </c>
      <c r="I1160" s="1">
        <v>2</v>
      </c>
      <c r="J1160" s="1">
        <v>5</v>
      </c>
    </row>
    <row r="1161" spans="1:10" x14ac:dyDescent="0.2">
      <c r="A1161" s="1">
        <v>2092</v>
      </c>
      <c r="B1161" s="1">
        <v>0</v>
      </c>
      <c r="C1161" s="1">
        <v>12</v>
      </c>
      <c r="D1161" s="1">
        <v>5</v>
      </c>
      <c r="E1161" s="1">
        <v>1</v>
      </c>
      <c r="F1161" s="1">
        <v>4</v>
      </c>
      <c r="G1161" s="1">
        <v>5</v>
      </c>
      <c r="H1161" s="1">
        <v>0</v>
      </c>
      <c r="I1161" s="1">
        <v>0</v>
      </c>
      <c r="J1161" s="1">
        <v>5</v>
      </c>
    </row>
    <row r="1162" spans="1:10" x14ac:dyDescent="0.2">
      <c r="A1162" s="1">
        <v>1934</v>
      </c>
      <c r="B1162" s="1">
        <v>0</v>
      </c>
      <c r="C1162" s="1">
        <v>14</v>
      </c>
      <c r="D1162" s="1">
        <v>4</v>
      </c>
      <c r="E1162" s="1">
        <v>1</v>
      </c>
      <c r="F1162" s="1">
        <v>4</v>
      </c>
      <c r="G1162" s="1">
        <v>5</v>
      </c>
      <c r="H1162" s="1">
        <v>1</v>
      </c>
      <c r="I1162" s="1">
        <v>1</v>
      </c>
      <c r="J1162" s="1">
        <v>5</v>
      </c>
    </row>
    <row r="1163" spans="1:10" x14ac:dyDescent="0.2">
      <c r="A1163" s="1">
        <v>1757</v>
      </c>
      <c r="B1163" s="1">
        <v>0</v>
      </c>
      <c r="C1163" s="1">
        <v>6</v>
      </c>
      <c r="D1163" s="1">
        <v>2</v>
      </c>
      <c r="E1163" s="1">
        <v>2</v>
      </c>
      <c r="F1163" s="1">
        <v>4</v>
      </c>
      <c r="G1163" s="1">
        <v>5</v>
      </c>
      <c r="H1163" s="1">
        <v>1</v>
      </c>
      <c r="I1163" s="1">
        <v>2</v>
      </c>
      <c r="J1163" s="1">
        <v>5</v>
      </c>
    </row>
    <row r="1164" spans="1:10" x14ac:dyDescent="0.2">
      <c r="A1164" s="1">
        <v>947</v>
      </c>
      <c r="B1164" s="1">
        <v>0</v>
      </c>
      <c r="C1164" s="1">
        <v>16</v>
      </c>
      <c r="D1164" s="1">
        <v>1</v>
      </c>
      <c r="E1164" s="1">
        <v>2</v>
      </c>
      <c r="F1164" s="1">
        <v>4</v>
      </c>
      <c r="G1164" s="1">
        <v>5</v>
      </c>
      <c r="H1164" s="1">
        <v>1</v>
      </c>
      <c r="I1164" s="1">
        <v>2</v>
      </c>
      <c r="J1164" s="1">
        <v>5</v>
      </c>
    </row>
    <row r="1165" spans="1:10" x14ac:dyDescent="0.2">
      <c r="A1165" s="1">
        <v>33</v>
      </c>
      <c r="B1165" s="1">
        <v>0</v>
      </c>
      <c r="C1165" s="1">
        <v>18</v>
      </c>
      <c r="D1165" s="1">
        <v>1</v>
      </c>
      <c r="E1165" s="1">
        <v>3</v>
      </c>
      <c r="F1165" s="1">
        <v>4</v>
      </c>
      <c r="G1165" s="1">
        <v>5</v>
      </c>
      <c r="H1165" s="1">
        <v>0</v>
      </c>
      <c r="I1165" s="1">
        <v>2</v>
      </c>
      <c r="J1165" s="1">
        <v>5</v>
      </c>
    </row>
    <row r="1166" spans="1:10" x14ac:dyDescent="0.2">
      <c r="A1166" s="1">
        <v>858</v>
      </c>
      <c r="B1166" s="1">
        <v>0</v>
      </c>
      <c r="C1166" s="1">
        <v>11</v>
      </c>
      <c r="D1166" s="1">
        <v>2</v>
      </c>
      <c r="E1166" s="1">
        <v>2</v>
      </c>
      <c r="F1166" s="1">
        <v>5</v>
      </c>
      <c r="G1166" s="1">
        <v>5</v>
      </c>
      <c r="H1166" s="1">
        <v>1</v>
      </c>
      <c r="I1166" s="1">
        <v>3</v>
      </c>
      <c r="J1166" s="1">
        <v>5</v>
      </c>
    </row>
    <row r="1167" spans="1:10" x14ac:dyDescent="0.2">
      <c r="A1167" s="1">
        <v>1566</v>
      </c>
      <c r="B1167" s="1">
        <v>0</v>
      </c>
      <c r="C1167" s="1">
        <v>14</v>
      </c>
      <c r="D1167" s="1">
        <v>1</v>
      </c>
      <c r="E1167" s="1">
        <v>2</v>
      </c>
      <c r="F1167" s="1">
        <v>5</v>
      </c>
      <c r="G1167" s="1">
        <v>5</v>
      </c>
      <c r="H1167" s="1">
        <v>0</v>
      </c>
      <c r="I1167" s="1">
        <v>3</v>
      </c>
      <c r="J1167" s="1">
        <v>5</v>
      </c>
    </row>
    <row r="1168" spans="1:10" x14ac:dyDescent="0.2">
      <c r="A1168" s="1">
        <v>1143</v>
      </c>
      <c r="B1168" s="1">
        <v>0</v>
      </c>
      <c r="C1168" s="1">
        <v>5</v>
      </c>
      <c r="D1168" s="1">
        <v>3</v>
      </c>
      <c r="E1168" s="1">
        <v>3</v>
      </c>
      <c r="F1168" s="1">
        <v>5</v>
      </c>
      <c r="G1168" s="1">
        <v>5</v>
      </c>
      <c r="H1168" s="1">
        <v>0</v>
      </c>
      <c r="I1168" s="1">
        <v>2</v>
      </c>
      <c r="J1168" s="1">
        <v>5</v>
      </c>
    </row>
    <row r="1169" spans="1:10" x14ac:dyDescent="0.2">
      <c r="A1169" s="1">
        <v>2130</v>
      </c>
      <c r="B1169" s="1">
        <v>0</v>
      </c>
      <c r="C1169" s="1">
        <v>10</v>
      </c>
      <c r="D1169" s="1">
        <v>4</v>
      </c>
      <c r="E1169" s="1">
        <v>3</v>
      </c>
      <c r="F1169" s="1">
        <v>5</v>
      </c>
      <c r="G1169" s="1">
        <v>5</v>
      </c>
      <c r="H1169" s="1">
        <v>0</v>
      </c>
      <c r="I1169" s="1">
        <v>2</v>
      </c>
      <c r="J1169" s="1">
        <v>5</v>
      </c>
    </row>
    <row r="1170" spans="1:10" x14ac:dyDescent="0.2">
      <c r="A1170" s="1">
        <v>518</v>
      </c>
      <c r="B1170" s="1">
        <v>0</v>
      </c>
      <c r="C1170" s="1">
        <v>10</v>
      </c>
      <c r="D1170" s="1">
        <v>1</v>
      </c>
      <c r="E1170" s="1">
        <v>2</v>
      </c>
      <c r="F1170" s="1">
        <v>6</v>
      </c>
      <c r="G1170" s="1">
        <v>5</v>
      </c>
      <c r="H1170" s="1">
        <v>0</v>
      </c>
      <c r="I1170" s="1">
        <v>2</v>
      </c>
      <c r="J1170" s="1">
        <v>5</v>
      </c>
    </row>
    <row r="1171" spans="1:10" x14ac:dyDescent="0.2">
      <c r="A1171" s="1">
        <v>2268</v>
      </c>
      <c r="B1171" s="1">
        <v>0</v>
      </c>
      <c r="C1171" s="1">
        <v>9</v>
      </c>
      <c r="D1171" s="1">
        <v>2</v>
      </c>
      <c r="E1171" s="1">
        <v>3</v>
      </c>
      <c r="F1171" s="1">
        <v>6</v>
      </c>
      <c r="G1171" s="1">
        <v>5</v>
      </c>
      <c r="H1171" s="1">
        <v>0</v>
      </c>
      <c r="I1171" s="1">
        <v>2</v>
      </c>
      <c r="J1171" s="1">
        <v>5</v>
      </c>
    </row>
    <row r="1172" spans="1:10" x14ac:dyDescent="0.2">
      <c r="A1172" s="1">
        <v>999</v>
      </c>
      <c r="B1172" s="1">
        <v>0</v>
      </c>
      <c r="C1172" s="1">
        <v>13</v>
      </c>
      <c r="D1172" s="1">
        <v>5</v>
      </c>
      <c r="E1172" s="1">
        <v>3</v>
      </c>
      <c r="F1172" s="1">
        <v>6</v>
      </c>
      <c r="G1172" s="1">
        <v>5</v>
      </c>
      <c r="H1172" s="1">
        <v>0</v>
      </c>
      <c r="I1172" s="1">
        <v>3</v>
      </c>
      <c r="J1172" s="1">
        <v>5</v>
      </c>
    </row>
    <row r="1173" spans="1:10" x14ac:dyDescent="0.2">
      <c r="A1173" s="1">
        <v>1021</v>
      </c>
      <c r="B1173" s="1">
        <v>0</v>
      </c>
      <c r="C1173" s="1">
        <v>18</v>
      </c>
      <c r="D1173" s="1">
        <v>3</v>
      </c>
      <c r="E1173" s="1">
        <v>3</v>
      </c>
      <c r="F1173" s="1">
        <v>6</v>
      </c>
      <c r="G1173" s="1">
        <v>5</v>
      </c>
      <c r="H1173" s="1">
        <v>0</v>
      </c>
      <c r="I1173" s="1">
        <v>0</v>
      </c>
      <c r="J1173" s="1">
        <v>5</v>
      </c>
    </row>
    <row r="1174" spans="1:10" x14ac:dyDescent="0.2">
      <c r="A1174" s="1">
        <v>1573</v>
      </c>
      <c r="B1174" s="1">
        <v>0</v>
      </c>
      <c r="C1174" s="1">
        <v>10</v>
      </c>
      <c r="D1174" s="1">
        <v>5</v>
      </c>
      <c r="E1174" s="1">
        <v>2</v>
      </c>
      <c r="F1174" s="1">
        <v>7</v>
      </c>
      <c r="G1174" s="1">
        <v>5</v>
      </c>
      <c r="H1174" s="1">
        <v>0</v>
      </c>
      <c r="I1174" s="1">
        <v>1</v>
      </c>
      <c r="J1174" s="1">
        <v>5</v>
      </c>
    </row>
    <row r="1175" spans="1:10" x14ac:dyDescent="0.2">
      <c r="A1175" s="1">
        <v>1863</v>
      </c>
      <c r="B1175" s="1">
        <v>0</v>
      </c>
      <c r="C1175" s="1">
        <v>18</v>
      </c>
      <c r="D1175" s="1">
        <v>1</v>
      </c>
      <c r="E1175" s="1">
        <v>2</v>
      </c>
      <c r="F1175" s="1">
        <v>7</v>
      </c>
      <c r="G1175" s="1">
        <v>5</v>
      </c>
      <c r="H1175" s="1">
        <v>0</v>
      </c>
      <c r="I1175" s="1">
        <v>3</v>
      </c>
      <c r="J1175" s="1">
        <v>5</v>
      </c>
    </row>
    <row r="1176" spans="1:10" x14ac:dyDescent="0.2">
      <c r="A1176" s="1">
        <v>1864</v>
      </c>
      <c r="B1176" s="1">
        <v>0</v>
      </c>
      <c r="C1176" s="1">
        <v>5</v>
      </c>
      <c r="D1176" s="1">
        <v>3</v>
      </c>
      <c r="E1176" s="1">
        <v>3</v>
      </c>
      <c r="F1176" s="1">
        <v>7</v>
      </c>
      <c r="G1176" s="1">
        <v>5</v>
      </c>
      <c r="H1176" s="1">
        <v>1</v>
      </c>
      <c r="I1176" s="1">
        <v>0</v>
      </c>
      <c r="J1176" s="1">
        <v>5</v>
      </c>
    </row>
    <row r="1177" spans="1:10" x14ac:dyDescent="0.2">
      <c r="A1177" s="1">
        <v>1267</v>
      </c>
      <c r="B1177" s="1">
        <v>0</v>
      </c>
      <c r="C1177" s="1">
        <v>17</v>
      </c>
      <c r="D1177" s="1">
        <v>2</v>
      </c>
      <c r="E1177" s="1">
        <v>3</v>
      </c>
      <c r="F1177" s="1">
        <v>7</v>
      </c>
      <c r="G1177" s="1">
        <v>5</v>
      </c>
      <c r="H1177" s="1">
        <v>1</v>
      </c>
      <c r="I1177" s="1">
        <v>1</v>
      </c>
      <c r="J1177" s="1">
        <v>5</v>
      </c>
    </row>
    <row r="1178" spans="1:10" x14ac:dyDescent="0.2">
      <c r="A1178" s="1">
        <v>1377</v>
      </c>
      <c r="B1178" s="1">
        <v>0</v>
      </c>
      <c r="C1178" s="1">
        <v>18</v>
      </c>
      <c r="D1178" s="1">
        <v>5</v>
      </c>
      <c r="E1178" s="1">
        <v>3</v>
      </c>
      <c r="F1178" s="1">
        <v>7</v>
      </c>
      <c r="G1178" s="1">
        <v>5</v>
      </c>
      <c r="H1178" s="1">
        <v>1</v>
      </c>
      <c r="I1178" s="1">
        <v>3</v>
      </c>
      <c r="J1178" s="1">
        <v>5</v>
      </c>
    </row>
    <row r="1179" spans="1:10" x14ac:dyDescent="0.2">
      <c r="A1179" s="1">
        <v>2124</v>
      </c>
      <c r="B1179" s="1">
        <v>0</v>
      </c>
      <c r="C1179" s="1">
        <v>18</v>
      </c>
      <c r="D1179" s="1">
        <v>5</v>
      </c>
      <c r="E1179" s="1">
        <v>3</v>
      </c>
      <c r="F1179" s="1">
        <v>7</v>
      </c>
      <c r="G1179" s="1">
        <v>5</v>
      </c>
      <c r="H1179" s="1">
        <v>0</v>
      </c>
      <c r="I1179" s="1">
        <v>0</v>
      </c>
      <c r="J1179" s="1">
        <v>5</v>
      </c>
    </row>
    <row r="1180" spans="1:10" x14ac:dyDescent="0.2">
      <c r="A1180" s="1">
        <v>2116</v>
      </c>
      <c r="B1180" s="1">
        <v>0</v>
      </c>
      <c r="C1180" s="1">
        <v>12</v>
      </c>
      <c r="D1180" s="1">
        <v>2</v>
      </c>
      <c r="E1180" s="1">
        <v>2</v>
      </c>
      <c r="F1180" s="1">
        <v>8</v>
      </c>
      <c r="G1180" s="1">
        <v>5</v>
      </c>
      <c r="H1180" s="1">
        <v>0</v>
      </c>
      <c r="I1180" s="1">
        <v>2</v>
      </c>
      <c r="J1180" s="1">
        <v>5</v>
      </c>
    </row>
    <row r="1181" spans="1:10" x14ac:dyDescent="0.2">
      <c r="A1181" s="1">
        <v>1832</v>
      </c>
      <c r="B1181" s="1">
        <v>0</v>
      </c>
      <c r="C1181" s="1">
        <v>19</v>
      </c>
      <c r="D1181" s="1">
        <v>5</v>
      </c>
      <c r="E1181" s="1">
        <v>2</v>
      </c>
      <c r="F1181" s="1">
        <v>8</v>
      </c>
      <c r="G1181" s="1">
        <v>5</v>
      </c>
      <c r="H1181" s="1">
        <v>1</v>
      </c>
      <c r="I1181" s="1">
        <v>2</v>
      </c>
      <c r="J1181" s="1">
        <v>5</v>
      </c>
    </row>
    <row r="1182" spans="1:10" x14ac:dyDescent="0.2">
      <c r="A1182" s="1">
        <v>2417</v>
      </c>
      <c r="B1182" s="1">
        <v>0</v>
      </c>
      <c r="C1182" s="1">
        <v>20</v>
      </c>
      <c r="D1182" s="1">
        <v>2</v>
      </c>
      <c r="E1182" s="1">
        <v>2</v>
      </c>
      <c r="F1182" s="1">
        <v>8</v>
      </c>
      <c r="G1182" s="1">
        <v>5</v>
      </c>
      <c r="H1182" s="1">
        <v>1</v>
      </c>
      <c r="I1182" s="1">
        <v>3</v>
      </c>
      <c r="J1182" s="1">
        <v>5</v>
      </c>
    </row>
    <row r="1183" spans="1:10" x14ac:dyDescent="0.2">
      <c r="A1183" s="1">
        <v>1941</v>
      </c>
      <c r="B1183" s="1">
        <v>0</v>
      </c>
      <c r="C1183" s="1">
        <v>16</v>
      </c>
      <c r="D1183" s="1">
        <v>4</v>
      </c>
      <c r="E1183" s="1">
        <v>3</v>
      </c>
      <c r="F1183" s="1">
        <v>8</v>
      </c>
      <c r="G1183" s="1">
        <v>5</v>
      </c>
      <c r="H1183" s="1">
        <v>0</v>
      </c>
      <c r="I1183" s="1">
        <v>2</v>
      </c>
      <c r="J1183" s="1">
        <v>5</v>
      </c>
    </row>
    <row r="1184" spans="1:10" x14ac:dyDescent="0.2">
      <c r="A1184" s="1">
        <v>797</v>
      </c>
      <c r="B1184" s="1">
        <v>0</v>
      </c>
      <c r="C1184" s="1">
        <v>18</v>
      </c>
      <c r="D1184" s="1">
        <v>5</v>
      </c>
      <c r="E1184" s="1">
        <v>3</v>
      </c>
      <c r="F1184" s="1">
        <v>8</v>
      </c>
      <c r="G1184" s="1">
        <v>5</v>
      </c>
      <c r="H1184" s="1">
        <v>0</v>
      </c>
      <c r="I1184" s="1">
        <v>3</v>
      </c>
      <c r="J1184" s="1">
        <v>5</v>
      </c>
    </row>
    <row r="1185" spans="1:10" x14ac:dyDescent="0.2">
      <c r="A1185" s="1">
        <v>2074</v>
      </c>
      <c r="B1185" s="1">
        <v>0</v>
      </c>
      <c r="C1185" s="1">
        <v>7</v>
      </c>
      <c r="D1185" s="1">
        <v>5</v>
      </c>
      <c r="E1185" s="1">
        <v>2</v>
      </c>
      <c r="F1185" s="1">
        <v>9</v>
      </c>
      <c r="G1185" s="1">
        <v>5</v>
      </c>
      <c r="H1185" s="1">
        <v>1</v>
      </c>
      <c r="I1185" s="1">
        <v>2</v>
      </c>
      <c r="J1185" s="1">
        <v>5</v>
      </c>
    </row>
    <row r="1186" spans="1:10" x14ac:dyDescent="0.2">
      <c r="A1186" s="1">
        <v>1782</v>
      </c>
      <c r="B1186" s="1">
        <v>0</v>
      </c>
      <c r="C1186" s="1">
        <v>11</v>
      </c>
      <c r="D1186" s="1">
        <v>3</v>
      </c>
      <c r="E1186" s="1">
        <v>2</v>
      </c>
      <c r="F1186" s="1">
        <v>9</v>
      </c>
      <c r="G1186" s="1">
        <v>5</v>
      </c>
      <c r="H1186" s="1">
        <v>0</v>
      </c>
      <c r="I1186" s="1">
        <v>0</v>
      </c>
      <c r="J1186" s="1">
        <v>5</v>
      </c>
    </row>
    <row r="1187" spans="1:10" x14ac:dyDescent="0.2">
      <c r="A1187" s="1">
        <v>63</v>
      </c>
      <c r="B1187" s="1">
        <v>0</v>
      </c>
      <c r="C1187" s="1">
        <v>12</v>
      </c>
      <c r="D1187" s="1">
        <v>2</v>
      </c>
      <c r="E1187" s="1">
        <v>2</v>
      </c>
      <c r="F1187" s="1">
        <v>9</v>
      </c>
      <c r="G1187" s="1">
        <v>5</v>
      </c>
      <c r="H1187" s="1">
        <v>0</v>
      </c>
      <c r="I1187" s="1">
        <v>2</v>
      </c>
      <c r="J1187" s="1">
        <v>5</v>
      </c>
    </row>
    <row r="1188" spans="1:10" x14ac:dyDescent="0.2">
      <c r="A1188" s="1">
        <v>549</v>
      </c>
      <c r="B1188" s="1">
        <v>0</v>
      </c>
      <c r="C1188" s="1">
        <v>15</v>
      </c>
      <c r="D1188" s="1">
        <v>4</v>
      </c>
      <c r="E1188" s="1">
        <v>2</v>
      </c>
      <c r="F1188" s="1">
        <v>9</v>
      </c>
      <c r="G1188" s="1">
        <v>5</v>
      </c>
      <c r="H1188" s="1">
        <v>0</v>
      </c>
      <c r="I1188" s="1">
        <v>0</v>
      </c>
      <c r="J1188" s="1">
        <v>5</v>
      </c>
    </row>
    <row r="1189" spans="1:10" x14ac:dyDescent="0.2">
      <c r="A1189" s="1">
        <v>1211</v>
      </c>
      <c r="B1189" s="1">
        <v>0</v>
      </c>
      <c r="C1189" s="1">
        <v>15</v>
      </c>
      <c r="D1189" s="1">
        <v>3</v>
      </c>
      <c r="E1189" s="1">
        <v>2</v>
      </c>
      <c r="F1189" s="1">
        <v>9</v>
      </c>
      <c r="G1189" s="1">
        <v>5</v>
      </c>
      <c r="H1189" s="1">
        <v>1</v>
      </c>
      <c r="I1189" s="1">
        <v>1</v>
      </c>
      <c r="J1189" s="1">
        <v>5</v>
      </c>
    </row>
    <row r="1190" spans="1:10" x14ac:dyDescent="0.2">
      <c r="A1190" s="1">
        <v>1991</v>
      </c>
      <c r="B1190" s="1">
        <v>0</v>
      </c>
      <c r="C1190" s="1">
        <v>16</v>
      </c>
      <c r="D1190" s="1">
        <v>4</v>
      </c>
      <c r="E1190" s="1">
        <v>2</v>
      </c>
      <c r="F1190" s="1">
        <v>9</v>
      </c>
      <c r="G1190" s="1">
        <v>5</v>
      </c>
      <c r="H1190" s="1">
        <v>0</v>
      </c>
      <c r="I1190" s="1">
        <v>2</v>
      </c>
      <c r="J1190" s="1">
        <v>5</v>
      </c>
    </row>
    <row r="1191" spans="1:10" x14ac:dyDescent="0.2">
      <c r="A1191" s="1">
        <v>10</v>
      </c>
      <c r="B1191" s="1">
        <v>0</v>
      </c>
      <c r="C1191" s="1">
        <v>19</v>
      </c>
      <c r="D1191" s="1">
        <v>2</v>
      </c>
      <c r="E1191" s="1">
        <v>2</v>
      </c>
      <c r="F1191" s="1">
        <v>9</v>
      </c>
      <c r="G1191" s="1">
        <v>5</v>
      </c>
      <c r="H1191" s="1">
        <v>0</v>
      </c>
      <c r="I1191" s="1">
        <v>0</v>
      </c>
      <c r="J1191" s="1">
        <v>5</v>
      </c>
    </row>
    <row r="1192" spans="1:10" x14ac:dyDescent="0.2">
      <c r="A1192" s="1">
        <v>503</v>
      </c>
      <c r="B1192" s="1">
        <v>0</v>
      </c>
      <c r="C1192" s="1">
        <v>10</v>
      </c>
      <c r="D1192" s="1">
        <v>3</v>
      </c>
      <c r="E1192" s="1">
        <v>1</v>
      </c>
      <c r="F1192" s="1">
        <v>1</v>
      </c>
      <c r="G1192" s="1">
        <v>6</v>
      </c>
      <c r="H1192" s="1">
        <v>0</v>
      </c>
      <c r="I1192" s="1">
        <v>1</v>
      </c>
      <c r="J1192" s="1">
        <v>1</v>
      </c>
    </row>
    <row r="1193" spans="1:10" x14ac:dyDescent="0.2">
      <c r="A1193" s="1">
        <v>885</v>
      </c>
      <c r="B1193" s="1">
        <v>0</v>
      </c>
      <c r="C1193" s="1">
        <v>6</v>
      </c>
      <c r="D1193" s="1">
        <v>1</v>
      </c>
      <c r="E1193" s="1">
        <v>2</v>
      </c>
      <c r="F1193" s="1">
        <v>1</v>
      </c>
      <c r="G1193" s="1">
        <v>6</v>
      </c>
      <c r="H1193" s="1">
        <v>1</v>
      </c>
      <c r="I1193" s="1">
        <v>3</v>
      </c>
      <c r="J1193" s="1">
        <v>1</v>
      </c>
    </row>
    <row r="1194" spans="1:10" x14ac:dyDescent="0.2">
      <c r="A1194" s="1">
        <v>1058</v>
      </c>
      <c r="B1194" s="1">
        <v>0</v>
      </c>
      <c r="C1194" s="1">
        <v>9</v>
      </c>
      <c r="D1194" s="1">
        <v>1</v>
      </c>
      <c r="E1194" s="1">
        <v>2</v>
      </c>
      <c r="F1194" s="1">
        <v>1</v>
      </c>
      <c r="G1194" s="1">
        <v>6</v>
      </c>
      <c r="H1194" s="1">
        <v>0</v>
      </c>
      <c r="I1194" s="1">
        <v>2</v>
      </c>
      <c r="J1194" s="1">
        <v>1</v>
      </c>
    </row>
    <row r="1195" spans="1:10" x14ac:dyDescent="0.2">
      <c r="A1195" s="1">
        <v>1399</v>
      </c>
      <c r="B1195" s="1">
        <v>0</v>
      </c>
      <c r="C1195" s="1">
        <v>6</v>
      </c>
      <c r="D1195" s="1">
        <v>5</v>
      </c>
      <c r="E1195" s="1">
        <v>3</v>
      </c>
      <c r="F1195" s="1">
        <v>1</v>
      </c>
      <c r="G1195" s="1">
        <v>6</v>
      </c>
      <c r="H1195" s="1">
        <v>1</v>
      </c>
      <c r="I1195" s="1">
        <v>3</v>
      </c>
      <c r="J1195" s="1">
        <v>1</v>
      </c>
    </row>
    <row r="1196" spans="1:10" x14ac:dyDescent="0.2">
      <c r="A1196" s="1">
        <v>1454</v>
      </c>
      <c r="B1196" s="1">
        <v>0</v>
      </c>
      <c r="C1196" s="1">
        <v>6</v>
      </c>
      <c r="D1196" s="1">
        <v>5</v>
      </c>
      <c r="E1196" s="1">
        <v>3</v>
      </c>
      <c r="F1196" s="1">
        <v>1</v>
      </c>
      <c r="G1196" s="1">
        <v>6</v>
      </c>
      <c r="H1196" s="1">
        <v>1</v>
      </c>
      <c r="I1196" s="1">
        <v>2</v>
      </c>
      <c r="J1196" s="1">
        <v>1</v>
      </c>
    </row>
    <row r="1197" spans="1:10" x14ac:dyDescent="0.2">
      <c r="A1197" s="1">
        <v>1982</v>
      </c>
      <c r="B1197" s="1">
        <v>0</v>
      </c>
      <c r="C1197" s="1">
        <v>14</v>
      </c>
      <c r="D1197" s="1">
        <v>1</v>
      </c>
      <c r="E1197" s="1">
        <v>1</v>
      </c>
      <c r="F1197" s="1">
        <v>2</v>
      </c>
      <c r="G1197" s="1">
        <v>6</v>
      </c>
      <c r="H1197" s="1">
        <v>1</v>
      </c>
      <c r="I1197" s="1">
        <v>3</v>
      </c>
      <c r="J1197" s="1">
        <v>1</v>
      </c>
    </row>
    <row r="1198" spans="1:10" x14ac:dyDescent="0.2">
      <c r="A1198" s="1">
        <v>282</v>
      </c>
      <c r="B1198" s="1">
        <v>0</v>
      </c>
      <c r="C1198" s="1">
        <v>15</v>
      </c>
      <c r="D1198" s="1">
        <v>4</v>
      </c>
      <c r="E1198" s="1">
        <v>1</v>
      </c>
      <c r="F1198" s="1">
        <v>2</v>
      </c>
      <c r="G1198" s="1">
        <v>6</v>
      </c>
      <c r="H1198" s="1">
        <v>0</v>
      </c>
      <c r="I1198" s="1">
        <v>0</v>
      </c>
      <c r="J1198" s="1">
        <v>1</v>
      </c>
    </row>
    <row r="1199" spans="1:10" x14ac:dyDescent="0.2">
      <c r="A1199" s="1">
        <v>914</v>
      </c>
      <c r="B1199" s="1">
        <v>0</v>
      </c>
      <c r="C1199" s="1">
        <v>17</v>
      </c>
      <c r="D1199" s="1">
        <v>4</v>
      </c>
      <c r="E1199" s="1">
        <v>1</v>
      </c>
      <c r="F1199" s="1">
        <v>2</v>
      </c>
      <c r="G1199" s="1">
        <v>6</v>
      </c>
      <c r="H1199" s="1">
        <v>0</v>
      </c>
      <c r="I1199" s="1">
        <v>1</v>
      </c>
      <c r="J1199" s="1">
        <v>1</v>
      </c>
    </row>
    <row r="1200" spans="1:10" x14ac:dyDescent="0.2">
      <c r="A1200" s="1">
        <v>515</v>
      </c>
      <c r="B1200" s="1">
        <v>0</v>
      </c>
      <c r="C1200" s="1">
        <v>19</v>
      </c>
      <c r="D1200" s="1">
        <v>1</v>
      </c>
      <c r="E1200" s="1">
        <v>1</v>
      </c>
      <c r="F1200" s="1">
        <v>2</v>
      </c>
      <c r="G1200" s="1">
        <v>6</v>
      </c>
      <c r="H1200" s="1">
        <v>1</v>
      </c>
      <c r="I1200" s="1">
        <v>3</v>
      </c>
      <c r="J1200" s="1">
        <v>1</v>
      </c>
    </row>
    <row r="1201" spans="1:10" x14ac:dyDescent="0.2">
      <c r="A1201" s="1">
        <v>2034</v>
      </c>
      <c r="B1201" s="1">
        <v>0</v>
      </c>
      <c r="C1201" s="1">
        <v>9</v>
      </c>
      <c r="D1201" s="1">
        <v>4</v>
      </c>
      <c r="E1201" s="1">
        <v>2</v>
      </c>
      <c r="F1201" s="1">
        <v>2</v>
      </c>
      <c r="G1201" s="1">
        <v>6</v>
      </c>
      <c r="H1201" s="1">
        <v>0</v>
      </c>
      <c r="I1201" s="1">
        <v>0</v>
      </c>
      <c r="J1201" s="1">
        <v>1</v>
      </c>
    </row>
    <row r="1202" spans="1:10" x14ac:dyDescent="0.2">
      <c r="A1202" s="1">
        <v>1331</v>
      </c>
      <c r="B1202" s="1">
        <v>0</v>
      </c>
      <c r="C1202" s="1">
        <v>10</v>
      </c>
      <c r="D1202" s="1">
        <v>5</v>
      </c>
      <c r="E1202" s="1">
        <v>2</v>
      </c>
      <c r="F1202" s="1">
        <v>2</v>
      </c>
      <c r="G1202" s="1">
        <v>6</v>
      </c>
      <c r="H1202" s="1">
        <v>0</v>
      </c>
      <c r="I1202" s="1">
        <v>2</v>
      </c>
      <c r="J1202" s="1">
        <v>1</v>
      </c>
    </row>
    <row r="1203" spans="1:10" x14ac:dyDescent="0.2">
      <c r="A1203" s="1">
        <v>8</v>
      </c>
      <c r="B1203" s="1">
        <v>0</v>
      </c>
      <c r="C1203" s="1">
        <v>13</v>
      </c>
      <c r="D1203" s="1">
        <v>1</v>
      </c>
      <c r="E1203" s="1">
        <v>2</v>
      </c>
      <c r="F1203" s="1">
        <v>2</v>
      </c>
      <c r="G1203" s="1">
        <v>6</v>
      </c>
      <c r="H1203" s="1">
        <v>0</v>
      </c>
      <c r="I1203" s="1">
        <v>1</v>
      </c>
      <c r="J1203" s="1">
        <v>1</v>
      </c>
    </row>
    <row r="1204" spans="1:10" x14ac:dyDescent="0.2">
      <c r="A1204" s="1">
        <v>1396</v>
      </c>
      <c r="B1204" s="1">
        <v>0</v>
      </c>
      <c r="C1204" s="1">
        <v>18</v>
      </c>
      <c r="D1204" s="1">
        <v>3</v>
      </c>
      <c r="E1204" s="1">
        <v>2</v>
      </c>
      <c r="F1204" s="1">
        <v>2</v>
      </c>
      <c r="G1204" s="1">
        <v>6</v>
      </c>
      <c r="H1204" s="1">
        <v>1</v>
      </c>
      <c r="I1204" s="1">
        <v>0</v>
      </c>
      <c r="J1204" s="1">
        <v>1</v>
      </c>
    </row>
    <row r="1205" spans="1:10" x14ac:dyDescent="0.2">
      <c r="A1205" s="1">
        <v>1456</v>
      </c>
      <c r="B1205" s="1">
        <v>0</v>
      </c>
      <c r="C1205" s="1">
        <v>5</v>
      </c>
      <c r="D1205" s="1">
        <v>1</v>
      </c>
      <c r="E1205" s="1">
        <v>3</v>
      </c>
      <c r="F1205" s="1">
        <v>2</v>
      </c>
      <c r="G1205" s="1">
        <v>6</v>
      </c>
      <c r="H1205" s="1">
        <v>1</v>
      </c>
      <c r="I1205" s="1">
        <v>1</v>
      </c>
      <c r="J1205" s="1">
        <v>1</v>
      </c>
    </row>
    <row r="1206" spans="1:10" x14ac:dyDescent="0.2">
      <c r="A1206" s="1">
        <v>749</v>
      </c>
      <c r="B1206" s="1">
        <v>0</v>
      </c>
      <c r="C1206" s="1">
        <v>8</v>
      </c>
      <c r="D1206" s="1">
        <v>4</v>
      </c>
      <c r="E1206" s="1">
        <v>3</v>
      </c>
      <c r="F1206" s="1">
        <v>2</v>
      </c>
      <c r="G1206" s="1">
        <v>6</v>
      </c>
      <c r="H1206" s="1">
        <v>0</v>
      </c>
      <c r="I1206" s="1">
        <v>3</v>
      </c>
      <c r="J1206" s="1">
        <v>1</v>
      </c>
    </row>
    <row r="1207" spans="1:10" x14ac:dyDescent="0.2">
      <c r="A1207" s="1">
        <v>2471</v>
      </c>
      <c r="B1207" s="1">
        <v>0</v>
      </c>
      <c r="C1207" s="1">
        <v>10</v>
      </c>
      <c r="D1207" s="1">
        <v>2</v>
      </c>
      <c r="E1207" s="1">
        <v>3</v>
      </c>
      <c r="F1207" s="1">
        <v>2</v>
      </c>
      <c r="G1207" s="1">
        <v>6</v>
      </c>
      <c r="H1207" s="1">
        <v>0</v>
      </c>
      <c r="I1207" s="1">
        <v>3</v>
      </c>
      <c r="J1207" s="1">
        <v>1</v>
      </c>
    </row>
    <row r="1208" spans="1:10" x14ac:dyDescent="0.2">
      <c r="A1208" s="1">
        <v>304</v>
      </c>
      <c r="B1208" s="1">
        <v>0</v>
      </c>
      <c r="C1208" s="1">
        <v>18</v>
      </c>
      <c r="D1208" s="1">
        <v>3</v>
      </c>
      <c r="E1208" s="1">
        <v>3</v>
      </c>
      <c r="F1208" s="1">
        <v>2</v>
      </c>
      <c r="G1208" s="1">
        <v>6</v>
      </c>
      <c r="H1208" s="1">
        <v>0</v>
      </c>
      <c r="I1208" s="1">
        <v>1</v>
      </c>
      <c r="J1208" s="1">
        <v>1</v>
      </c>
    </row>
    <row r="1209" spans="1:10" x14ac:dyDescent="0.2">
      <c r="A1209" s="1">
        <v>2181</v>
      </c>
      <c r="B1209" s="1">
        <v>0</v>
      </c>
      <c r="C1209" s="1">
        <v>20</v>
      </c>
      <c r="D1209" s="1">
        <v>2</v>
      </c>
      <c r="E1209" s="1">
        <v>3</v>
      </c>
      <c r="F1209" s="1">
        <v>2</v>
      </c>
      <c r="G1209" s="1">
        <v>6</v>
      </c>
      <c r="H1209" s="1">
        <v>1</v>
      </c>
      <c r="I1209" s="1">
        <v>1</v>
      </c>
      <c r="J1209" s="1">
        <v>1</v>
      </c>
    </row>
    <row r="1210" spans="1:10" x14ac:dyDescent="0.2">
      <c r="A1210" s="1">
        <v>2048</v>
      </c>
      <c r="B1210" s="1">
        <v>0</v>
      </c>
      <c r="C1210" s="1">
        <v>8</v>
      </c>
      <c r="D1210" s="1">
        <v>4</v>
      </c>
      <c r="E1210" s="1">
        <v>1</v>
      </c>
      <c r="F1210" s="1">
        <v>3</v>
      </c>
      <c r="G1210" s="1">
        <v>6</v>
      </c>
      <c r="H1210" s="1">
        <v>1</v>
      </c>
      <c r="I1210" s="1">
        <v>0</v>
      </c>
      <c r="J1210" s="1">
        <v>1</v>
      </c>
    </row>
    <row r="1211" spans="1:10" x14ac:dyDescent="0.2">
      <c r="A1211" s="1">
        <v>750</v>
      </c>
      <c r="B1211" s="1">
        <v>0</v>
      </c>
      <c r="C1211" s="1">
        <v>14</v>
      </c>
      <c r="D1211" s="1">
        <v>3</v>
      </c>
      <c r="E1211" s="1">
        <v>1</v>
      </c>
      <c r="F1211" s="1">
        <v>3</v>
      </c>
      <c r="G1211" s="1">
        <v>6</v>
      </c>
      <c r="H1211" s="1">
        <v>0</v>
      </c>
      <c r="I1211" s="1">
        <v>1</v>
      </c>
      <c r="J1211" s="1">
        <v>1</v>
      </c>
    </row>
    <row r="1212" spans="1:10" x14ac:dyDescent="0.2">
      <c r="A1212" s="1">
        <v>99</v>
      </c>
      <c r="B1212" s="1">
        <v>0</v>
      </c>
      <c r="C1212" s="1">
        <v>18</v>
      </c>
      <c r="D1212" s="1">
        <v>2</v>
      </c>
      <c r="E1212" s="1">
        <v>1</v>
      </c>
      <c r="F1212" s="1">
        <v>3</v>
      </c>
      <c r="G1212" s="1">
        <v>6</v>
      </c>
      <c r="H1212" s="1">
        <v>0</v>
      </c>
      <c r="I1212" s="1">
        <v>3</v>
      </c>
      <c r="J1212" s="1">
        <v>1</v>
      </c>
    </row>
    <row r="1213" spans="1:10" x14ac:dyDescent="0.2">
      <c r="A1213" s="1">
        <v>917</v>
      </c>
      <c r="B1213" s="1">
        <v>0</v>
      </c>
      <c r="C1213" s="1">
        <v>14</v>
      </c>
      <c r="D1213" s="1">
        <v>2</v>
      </c>
      <c r="E1213" s="1">
        <v>2</v>
      </c>
      <c r="F1213" s="1">
        <v>3</v>
      </c>
      <c r="G1213" s="1">
        <v>6</v>
      </c>
      <c r="H1213" s="1">
        <v>1</v>
      </c>
      <c r="I1213" s="1">
        <v>3</v>
      </c>
      <c r="J1213" s="1">
        <v>1</v>
      </c>
    </row>
    <row r="1214" spans="1:10" x14ac:dyDescent="0.2">
      <c r="A1214" s="1">
        <v>1767</v>
      </c>
      <c r="B1214" s="1">
        <v>0</v>
      </c>
      <c r="C1214" s="1">
        <v>12</v>
      </c>
      <c r="D1214" s="1">
        <v>3</v>
      </c>
      <c r="E1214" s="1">
        <v>3</v>
      </c>
      <c r="F1214" s="1">
        <v>3</v>
      </c>
      <c r="G1214" s="1">
        <v>6</v>
      </c>
      <c r="H1214" s="1">
        <v>1</v>
      </c>
      <c r="I1214" s="1">
        <v>1</v>
      </c>
      <c r="J1214" s="1">
        <v>1</v>
      </c>
    </row>
    <row r="1215" spans="1:10" x14ac:dyDescent="0.2">
      <c r="A1215" s="1">
        <v>324</v>
      </c>
      <c r="B1215" s="1">
        <v>0</v>
      </c>
      <c r="C1215" s="1">
        <v>14</v>
      </c>
      <c r="D1215" s="1">
        <v>2</v>
      </c>
      <c r="E1215" s="1">
        <v>1</v>
      </c>
      <c r="F1215" s="1">
        <v>4</v>
      </c>
      <c r="G1215" s="1">
        <v>6</v>
      </c>
      <c r="H1215" s="1">
        <v>0</v>
      </c>
      <c r="I1215" s="1">
        <v>1</v>
      </c>
      <c r="J1215" s="1">
        <v>1</v>
      </c>
    </row>
    <row r="1216" spans="1:10" x14ac:dyDescent="0.2">
      <c r="A1216" s="1">
        <v>776</v>
      </c>
      <c r="B1216" s="1">
        <v>0</v>
      </c>
      <c r="C1216" s="1">
        <v>19</v>
      </c>
      <c r="D1216" s="1">
        <v>4</v>
      </c>
      <c r="E1216" s="1">
        <v>1</v>
      </c>
      <c r="F1216" s="1">
        <v>4</v>
      </c>
      <c r="G1216" s="1">
        <v>6</v>
      </c>
      <c r="H1216" s="1">
        <v>0</v>
      </c>
      <c r="I1216" s="1">
        <v>2</v>
      </c>
      <c r="J1216" s="1">
        <v>1</v>
      </c>
    </row>
    <row r="1217" spans="1:10" x14ac:dyDescent="0.2">
      <c r="A1217" s="1">
        <v>1099</v>
      </c>
      <c r="B1217" s="1">
        <v>0</v>
      </c>
      <c r="C1217" s="1">
        <v>5</v>
      </c>
      <c r="D1217" s="1">
        <v>5</v>
      </c>
      <c r="E1217" s="1">
        <v>2</v>
      </c>
      <c r="F1217" s="1">
        <v>4</v>
      </c>
      <c r="G1217" s="1">
        <v>6</v>
      </c>
      <c r="H1217" s="1">
        <v>1</v>
      </c>
      <c r="I1217" s="1">
        <v>3</v>
      </c>
      <c r="J1217" s="1">
        <v>1</v>
      </c>
    </row>
    <row r="1218" spans="1:10" x14ac:dyDescent="0.2">
      <c r="A1218" s="1">
        <v>1221</v>
      </c>
      <c r="B1218" s="1">
        <v>0</v>
      </c>
      <c r="C1218" s="1">
        <v>6</v>
      </c>
      <c r="D1218" s="1">
        <v>4</v>
      </c>
      <c r="E1218" s="1">
        <v>2</v>
      </c>
      <c r="F1218" s="1">
        <v>4</v>
      </c>
      <c r="G1218" s="1">
        <v>6</v>
      </c>
      <c r="H1218" s="1">
        <v>0</v>
      </c>
      <c r="I1218" s="1">
        <v>1</v>
      </c>
      <c r="J1218" s="1">
        <v>1</v>
      </c>
    </row>
    <row r="1219" spans="1:10" x14ac:dyDescent="0.2">
      <c r="A1219" s="1">
        <v>922</v>
      </c>
      <c r="B1219" s="1">
        <v>0</v>
      </c>
      <c r="C1219" s="1">
        <v>13</v>
      </c>
      <c r="D1219" s="1">
        <v>3</v>
      </c>
      <c r="E1219" s="1">
        <v>2</v>
      </c>
      <c r="F1219" s="1">
        <v>4</v>
      </c>
      <c r="G1219" s="1">
        <v>6</v>
      </c>
      <c r="H1219" s="1">
        <v>1</v>
      </c>
      <c r="I1219" s="1">
        <v>3</v>
      </c>
      <c r="J1219" s="1">
        <v>1</v>
      </c>
    </row>
    <row r="1220" spans="1:10" x14ac:dyDescent="0.2">
      <c r="A1220" s="1">
        <v>196</v>
      </c>
      <c r="B1220" s="1">
        <v>0</v>
      </c>
      <c r="C1220" s="1">
        <v>6</v>
      </c>
      <c r="D1220" s="1">
        <v>5</v>
      </c>
      <c r="E1220" s="1">
        <v>3</v>
      </c>
      <c r="F1220" s="1">
        <v>4</v>
      </c>
      <c r="G1220" s="1">
        <v>6</v>
      </c>
      <c r="H1220" s="1">
        <v>0</v>
      </c>
      <c r="I1220" s="1">
        <v>3</v>
      </c>
      <c r="J1220" s="1">
        <v>1</v>
      </c>
    </row>
    <row r="1221" spans="1:10" x14ac:dyDescent="0.2">
      <c r="A1221" s="1">
        <v>1953</v>
      </c>
      <c r="B1221" s="1">
        <v>0</v>
      </c>
      <c r="C1221" s="1">
        <v>9</v>
      </c>
      <c r="D1221" s="1">
        <v>5</v>
      </c>
      <c r="E1221" s="1">
        <v>3</v>
      </c>
      <c r="F1221" s="1">
        <v>4</v>
      </c>
      <c r="G1221" s="1">
        <v>6</v>
      </c>
      <c r="H1221" s="1">
        <v>0</v>
      </c>
      <c r="I1221" s="1">
        <v>2</v>
      </c>
      <c r="J1221" s="1">
        <v>1</v>
      </c>
    </row>
    <row r="1222" spans="1:10" x14ac:dyDescent="0.2">
      <c r="A1222" s="1">
        <v>340</v>
      </c>
      <c r="B1222" s="1">
        <v>0</v>
      </c>
      <c r="C1222" s="1">
        <v>13</v>
      </c>
      <c r="D1222" s="1">
        <v>4</v>
      </c>
      <c r="E1222" s="1">
        <v>3</v>
      </c>
      <c r="F1222" s="1">
        <v>4</v>
      </c>
      <c r="G1222" s="1">
        <v>6</v>
      </c>
      <c r="H1222" s="1">
        <v>1</v>
      </c>
      <c r="I1222" s="1">
        <v>3</v>
      </c>
      <c r="J1222" s="1">
        <v>1</v>
      </c>
    </row>
    <row r="1223" spans="1:10" x14ac:dyDescent="0.2">
      <c r="A1223" s="1">
        <v>1766</v>
      </c>
      <c r="B1223" s="1">
        <v>0</v>
      </c>
      <c r="C1223" s="1">
        <v>18</v>
      </c>
      <c r="D1223" s="1">
        <v>1</v>
      </c>
      <c r="E1223" s="1">
        <v>1</v>
      </c>
      <c r="F1223" s="1">
        <v>5</v>
      </c>
      <c r="G1223" s="1">
        <v>6</v>
      </c>
      <c r="H1223" s="1">
        <v>1</v>
      </c>
      <c r="I1223" s="1">
        <v>3</v>
      </c>
      <c r="J1223" s="1">
        <v>1</v>
      </c>
    </row>
    <row r="1224" spans="1:10" x14ac:dyDescent="0.2">
      <c r="A1224" s="1">
        <v>2235</v>
      </c>
      <c r="B1224" s="1">
        <v>0</v>
      </c>
      <c r="C1224" s="1">
        <v>10</v>
      </c>
      <c r="D1224" s="1">
        <v>2</v>
      </c>
      <c r="E1224" s="1">
        <v>2</v>
      </c>
      <c r="F1224" s="1">
        <v>5</v>
      </c>
      <c r="G1224" s="1">
        <v>6</v>
      </c>
      <c r="H1224" s="1">
        <v>1</v>
      </c>
      <c r="I1224" s="1">
        <v>3</v>
      </c>
      <c r="J1224" s="1">
        <v>1</v>
      </c>
    </row>
    <row r="1225" spans="1:10" x14ac:dyDescent="0.2">
      <c r="A1225" s="1">
        <v>2384</v>
      </c>
      <c r="B1225" s="1">
        <v>0</v>
      </c>
      <c r="C1225" s="1">
        <v>7</v>
      </c>
      <c r="D1225" s="1">
        <v>5</v>
      </c>
      <c r="E1225" s="1">
        <v>3</v>
      </c>
      <c r="F1225" s="1">
        <v>5</v>
      </c>
      <c r="G1225" s="1">
        <v>6</v>
      </c>
      <c r="H1225" s="1">
        <v>0</v>
      </c>
      <c r="I1225" s="1">
        <v>0</v>
      </c>
      <c r="J1225" s="1">
        <v>1</v>
      </c>
    </row>
    <row r="1226" spans="1:10" x14ac:dyDescent="0.2">
      <c r="A1226" s="1">
        <v>1624</v>
      </c>
      <c r="B1226" s="1">
        <v>0</v>
      </c>
      <c r="C1226" s="1">
        <v>19</v>
      </c>
      <c r="D1226" s="1">
        <v>3</v>
      </c>
      <c r="E1226" s="1">
        <v>3</v>
      </c>
      <c r="F1226" s="1">
        <v>5</v>
      </c>
      <c r="G1226" s="1">
        <v>6</v>
      </c>
      <c r="H1226" s="1">
        <v>1</v>
      </c>
      <c r="I1226" s="1">
        <v>0</v>
      </c>
      <c r="J1226" s="1">
        <v>1</v>
      </c>
    </row>
    <row r="1227" spans="1:10" x14ac:dyDescent="0.2">
      <c r="A1227" s="1">
        <v>1102</v>
      </c>
      <c r="B1227" s="1">
        <v>0</v>
      </c>
      <c r="C1227" s="1">
        <v>5</v>
      </c>
      <c r="D1227" s="1">
        <v>5</v>
      </c>
      <c r="E1227" s="1">
        <v>1</v>
      </c>
      <c r="F1227" s="1">
        <v>6</v>
      </c>
      <c r="G1227" s="1">
        <v>6</v>
      </c>
      <c r="H1227" s="1">
        <v>0</v>
      </c>
      <c r="I1227" s="1">
        <v>0</v>
      </c>
      <c r="J1227" s="1">
        <v>1</v>
      </c>
    </row>
    <row r="1228" spans="1:10" x14ac:dyDescent="0.2">
      <c r="A1228" s="1">
        <v>1847</v>
      </c>
      <c r="B1228" s="1">
        <v>0</v>
      </c>
      <c r="C1228" s="1">
        <v>14</v>
      </c>
      <c r="D1228" s="1">
        <v>1</v>
      </c>
      <c r="E1228" s="1">
        <v>1</v>
      </c>
      <c r="F1228" s="1">
        <v>6</v>
      </c>
      <c r="G1228" s="1">
        <v>6</v>
      </c>
      <c r="H1228" s="1">
        <v>0</v>
      </c>
      <c r="I1228" s="1">
        <v>2</v>
      </c>
      <c r="J1228" s="1">
        <v>1</v>
      </c>
    </row>
    <row r="1229" spans="1:10" x14ac:dyDescent="0.2">
      <c r="A1229" s="1">
        <v>893</v>
      </c>
      <c r="B1229" s="1">
        <v>0</v>
      </c>
      <c r="C1229" s="1">
        <v>15</v>
      </c>
      <c r="D1229" s="1">
        <v>2</v>
      </c>
      <c r="E1229" s="1">
        <v>2</v>
      </c>
      <c r="F1229" s="1">
        <v>6</v>
      </c>
      <c r="G1229" s="1">
        <v>6</v>
      </c>
      <c r="H1229" s="1">
        <v>1</v>
      </c>
      <c r="I1229" s="1">
        <v>1</v>
      </c>
      <c r="J1229" s="1">
        <v>1</v>
      </c>
    </row>
    <row r="1230" spans="1:10" x14ac:dyDescent="0.2">
      <c r="A1230" s="1">
        <v>2427</v>
      </c>
      <c r="B1230" s="1">
        <v>0</v>
      </c>
      <c r="C1230" s="1">
        <v>5</v>
      </c>
      <c r="D1230" s="1">
        <v>2</v>
      </c>
      <c r="E1230" s="1">
        <v>1</v>
      </c>
      <c r="F1230" s="1">
        <v>7</v>
      </c>
      <c r="G1230" s="1">
        <v>6</v>
      </c>
      <c r="H1230" s="1">
        <v>1</v>
      </c>
      <c r="I1230" s="1">
        <v>3</v>
      </c>
      <c r="J1230" s="1">
        <v>1</v>
      </c>
    </row>
    <row r="1231" spans="1:10" x14ac:dyDescent="0.2">
      <c r="A1231" s="1">
        <v>2189</v>
      </c>
      <c r="B1231" s="1">
        <v>0</v>
      </c>
      <c r="C1231" s="1">
        <v>16</v>
      </c>
      <c r="D1231" s="1">
        <v>3</v>
      </c>
      <c r="E1231" s="1">
        <v>1</v>
      </c>
      <c r="F1231" s="1">
        <v>7</v>
      </c>
      <c r="G1231" s="1">
        <v>6</v>
      </c>
      <c r="H1231" s="1">
        <v>0</v>
      </c>
      <c r="I1231" s="1">
        <v>2</v>
      </c>
      <c r="J1231" s="1">
        <v>1</v>
      </c>
    </row>
    <row r="1232" spans="1:10" x14ac:dyDescent="0.2">
      <c r="A1232" s="1">
        <v>1046</v>
      </c>
      <c r="B1232" s="1">
        <v>0</v>
      </c>
      <c r="C1232" s="1">
        <v>17</v>
      </c>
      <c r="D1232" s="1">
        <v>5</v>
      </c>
      <c r="E1232" s="1">
        <v>1</v>
      </c>
      <c r="F1232" s="1">
        <v>7</v>
      </c>
      <c r="G1232" s="1">
        <v>6</v>
      </c>
      <c r="H1232" s="1">
        <v>1</v>
      </c>
      <c r="I1232" s="1">
        <v>0</v>
      </c>
      <c r="J1232" s="1">
        <v>1</v>
      </c>
    </row>
    <row r="1233" spans="1:10" x14ac:dyDescent="0.2">
      <c r="A1233" s="1">
        <v>655</v>
      </c>
      <c r="B1233" s="1">
        <v>0</v>
      </c>
      <c r="C1233" s="1">
        <v>12</v>
      </c>
      <c r="D1233" s="1">
        <v>1</v>
      </c>
      <c r="E1233" s="1">
        <v>2</v>
      </c>
      <c r="F1233" s="1">
        <v>7</v>
      </c>
      <c r="G1233" s="1">
        <v>6</v>
      </c>
      <c r="H1233" s="1">
        <v>1</v>
      </c>
      <c r="I1233" s="1">
        <v>2</v>
      </c>
      <c r="J1233" s="1">
        <v>1</v>
      </c>
    </row>
    <row r="1234" spans="1:10" x14ac:dyDescent="0.2">
      <c r="A1234" s="1">
        <v>2271</v>
      </c>
      <c r="B1234" s="1">
        <v>0</v>
      </c>
      <c r="C1234" s="1">
        <v>5</v>
      </c>
      <c r="D1234" s="1">
        <v>1</v>
      </c>
      <c r="E1234" s="1">
        <v>1</v>
      </c>
      <c r="F1234" s="1">
        <v>8</v>
      </c>
      <c r="G1234" s="1">
        <v>6</v>
      </c>
      <c r="H1234" s="1">
        <v>1</v>
      </c>
      <c r="I1234" s="1">
        <v>1</v>
      </c>
      <c r="J1234" s="1">
        <v>1</v>
      </c>
    </row>
    <row r="1235" spans="1:10" x14ac:dyDescent="0.2">
      <c r="A1235" s="1">
        <v>925</v>
      </c>
      <c r="B1235" s="1">
        <v>0</v>
      </c>
      <c r="C1235" s="1">
        <v>10</v>
      </c>
      <c r="D1235" s="1">
        <v>2</v>
      </c>
      <c r="E1235" s="1">
        <v>1</v>
      </c>
      <c r="F1235" s="1">
        <v>8</v>
      </c>
      <c r="G1235" s="1">
        <v>6</v>
      </c>
      <c r="H1235" s="1">
        <v>1</v>
      </c>
      <c r="I1235" s="1">
        <v>0</v>
      </c>
      <c r="J1235" s="1">
        <v>1</v>
      </c>
    </row>
    <row r="1236" spans="1:10" x14ac:dyDescent="0.2">
      <c r="A1236" s="1">
        <v>956</v>
      </c>
      <c r="B1236" s="1">
        <v>0</v>
      </c>
      <c r="C1236" s="1">
        <v>16</v>
      </c>
      <c r="D1236" s="1">
        <v>1</v>
      </c>
      <c r="E1236" s="1">
        <v>1</v>
      </c>
      <c r="F1236" s="1">
        <v>8</v>
      </c>
      <c r="G1236" s="1">
        <v>6</v>
      </c>
      <c r="H1236" s="1">
        <v>0</v>
      </c>
      <c r="I1236" s="1">
        <v>0</v>
      </c>
      <c r="J1236" s="1">
        <v>1</v>
      </c>
    </row>
    <row r="1237" spans="1:10" x14ac:dyDescent="0.2">
      <c r="A1237" s="1">
        <v>1716</v>
      </c>
      <c r="B1237" s="1">
        <v>0</v>
      </c>
      <c r="C1237" s="1">
        <v>12</v>
      </c>
      <c r="D1237" s="1">
        <v>1</v>
      </c>
      <c r="E1237" s="1">
        <v>2</v>
      </c>
      <c r="F1237" s="1">
        <v>8</v>
      </c>
      <c r="G1237" s="1">
        <v>6</v>
      </c>
      <c r="H1237" s="1">
        <v>1</v>
      </c>
      <c r="I1237" s="1">
        <v>0</v>
      </c>
      <c r="J1237" s="1">
        <v>1</v>
      </c>
    </row>
    <row r="1238" spans="1:10" x14ac:dyDescent="0.2">
      <c r="A1238" s="1">
        <v>2005</v>
      </c>
      <c r="B1238" s="1">
        <v>0</v>
      </c>
      <c r="C1238" s="1">
        <v>18</v>
      </c>
      <c r="D1238" s="1">
        <v>3</v>
      </c>
      <c r="E1238" s="1">
        <v>3</v>
      </c>
      <c r="F1238" s="1">
        <v>8</v>
      </c>
      <c r="G1238" s="1">
        <v>6</v>
      </c>
      <c r="H1238" s="1">
        <v>0</v>
      </c>
      <c r="I1238" s="1">
        <v>3</v>
      </c>
      <c r="J1238" s="1">
        <v>1</v>
      </c>
    </row>
    <row r="1239" spans="1:10" x14ac:dyDescent="0.2">
      <c r="A1239" s="1">
        <v>286</v>
      </c>
      <c r="B1239" s="1">
        <v>0</v>
      </c>
      <c r="C1239" s="1">
        <v>9</v>
      </c>
      <c r="D1239" s="1">
        <v>4</v>
      </c>
      <c r="E1239" s="1">
        <v>1</v>
      </c>
      <c r="F1239" s="1">
        <v>9</v>
      </c>
      <c r="G1239" s="1">
        <v>6</v>
      </c>
      <c r="H1239" s="1">
        <v>1</v>
      </c>
      <c r="I1239" s="1">
        <v>3</v>
      </c>
      <c r="J1239" s="1">
        <v>1</v>
      </c>
    </row>
    <row r="1240" spans="1:10" x14ac:dyDescent="0.2">
      <c r="A1240" s="1">
        <v>2190</v>
      </c>
      <c r="B1240" s="1">
        <v>0</v>
      </c>
      <c r="C1240" s="1">
        <v>16</v>
      </c>
      <c r="D1240" s="1">
        <v>1</v>
      </c>
      <c r="E1240" s="1">
        <v>1</v>
      </c>
      <c r="F1240" s="1">
        <v>9</v>
      </c>
      <c r="G1240" s="1">
        <v>6</v>
      </c>
      <c r="H1240" s="1">
        <v>0</v>
      </c>
      <c r="I1240" s="1">
        <v>1</v>
      </c>
      <c r="J1240" s="1">
        <v>1</v>
      </c>
    </row>
    <row r="1241" spans="1:10" x14ac:dyDescent="0.2">
      <c r="A1241" s="1">
        <v>601</v>
      </c>
      <c r="B1241" s="1">
        <v>0</v>
      </c>
      <c r="C1241" s="1">
        <v>19</v>
      </c>
      <c r="D1241" s="1">
        <v>1</v>
      </c>
      <c r="E1241" s="1">
        <v>1</v>
      </c>
      <c r="F1241" s="1">
        <v>9</v>
      </c>
      <c r="G1241" s="1">
        <v>6</v>
      </c>
      <c r="H1241" s="1">
        <v>1</v>
      </c>
      <c r="I1241" s="1">
        <v>3</v>
      </c>
      <c r="J1241" s="1">
        <v>1</v>
      </c>
    </row>
    <row r="1242" spans="1:10" x14ac:dyDescent="0.2">
      <c r="A1242" s="1">
        <v>944</v>
      </c>
      <c r="B1242" s="1">
        <v>0</v>
      </c>
      <c r="C1242" s="1">
        <v>9</v>
      </c>
      <c r="D1242" s="1">
        <v>5</v>
      </c>
      <c r="E1242" s="1">
        <v>2</v>
      </c>
      <c r="F1242" s="1">
        <v>9</v>
      </c>
      <c r="G1242" s="1">
        <v>6</v>
      </c>
      <c r="H1242" s="1">
        <v>1</v>
      </c>
      <c r="I1242" s="1">
        <v>3</v>
      </c>
      <c r="J1242" s="1">
        <v>1</v>
      </c>
    </row>
    <row r="1243" spans="1:10" x14ac:dyDescent="0.2">
      <c r="A1243" s="1">
        <v>428</v>
      </c>
      <c r="B1243" s="1">
        <v>0</v>
      </c>
      <c r="C1243" s="1">
        <v>5</v>
      </c>
      <c r="D1243" s="1">
        <v>2</v>
      </c>
      <c r="E1243" s="1">
        <v>1</v>
      </c>
      <c r="F1243" s="1">
        <v>10</v>
      </c>
      <c r="G1243" s="1">
        <v>6</v>
      </c>
      <c r="H1243" s="1">
        <v>1</v>
      </c>
      <c r="I1243" s="1">
        <v>1</v>
      </c>
      <c r="J1243" s="1">
        <v>1</v>
      </c>
    </row>
    <row r="1244" spans="1:10" x14ac:dyDescent="0.2">
      <c r="A1244" s="1">
        <v>1113</v>
      </c>
      <c r="B1244" s="1">
        <v>0</v>
      </c>
      <c r="C1244" s="1">
        <v>18</v>
      </c>
      <c r="D1244" s="1">
        <v>1</v>
      </c>
      <c r="E1244" s="1">
        <v>2</v>
      </c>
      <c r="F1244" s="1">
        <v>1</v>
      </c>
      <c r="G1244" s="1">
        <v>6</v>
      </c>
      <c r="H1244" s="1">
        <v>1</v>
      </c>
      <c r="I1244" s="1">
        <v>3</v>
      </c>
      <c r="J1244" s="1">
        <v>2</v>
      </c>
    </row>
    <row r="1245" spans="1:10" x14ac:dyDescent="0.2">
      <c r="A1245" s="1">
        <v>371</v>
      </c>
      <c r="B1245" s="1">
        <v>0</v>
      </c>
      <c r="C1245" s="1">
        <v>13</v>
      </c>
      <c r="D1245" s="1">
        <v>4</v>
      </c>
      <c r="E1245" s="1">
        <v>3</v>
      </c>
      <c r="F1245" s="1">
        <v>1</v>
      </c>
      <c r="G1245" s="1">
        <v>6</v>
      </c>
      <c r="H1245" s="1">
        <v>0</v>
      </c>
      <c r="I1245" s="1">
        <v>1</v>
      </c>
      <c r="J1245" s="1">
        <v>2</v>
      </c>
    </row>
    <row r="1246" spans="1:10" x14ac:dyDescent="0.2">
      <c r="A1246" s="1">
        <v>1557</v>
      </c>
      <c r="B1246" s="1">
        <v>0</v>
      </c>
      <c r="C1246" s="1">
        <v>9</v>
      </c>
      <c r="D1246" s="1">
        <v>1</v>
      </c>
      <c r="E1246" s="1">
        <v>2</v>
      </c>
      <c r="F1246" s="1">
        <v>2</v>
      </c>
      <c r="G1246" s="1">
        <v>6</v>
      </c>
      <c r="H1246" s="1">
        <v>1</v>
      </c>
      <c r="I1246" s="1">
        <v>2</v>
      </c>
      <c r="J1246" s="1">
        <v>2</v>
      </c>
    </row>
    <row r="1247" spans="1:10" x14ac:dyDescent="0.2">
      <c r="A1247" s="1">
        <v>899</v>
      </c>
      <c r="B1247" s="1">
        <v>0</v>
      </c>
      <c r="C1247" s="1">
        <v>11</v>
      </c>
      <c r="D1247" s="1">
        <v>5</v>
      </c>
      <c r="E1247" s="1">
        <v>3</v>
      </c>
      <c r="F1247" s="1">
        <v>2</v>
      </c>
      <c r="G1247" s="1">
        <v>6</v>
      </c>
      <c r="H1247" s="1">
        <v>0</v>
      </c>
      <c r="I1247" s="1">
        <v>1</v>
      </c>
      <c r="J1247" s="1">
        <v>2</v>
      </c>
    </row>
    <row r="1248" spans="1:10" x14ac:dyDescent="0.2">
      <c r="A1248" s="1">
        <v>1520</v>
      </c>
      <c r="B1248" s="1">
        <v>0</v>
      </c>
      <c r="C1248" s="1">
        <v>18</v>
      </c>
      <c r="D1248" s="1">
        <v>2</v>
      </c>
      <c r="E1248" s="1">
        <v>3</v>
      </c>
      <c r="F1248" s="1">
        <v>2</v>
      </c>
      <c r="G1248" s="1">
        <v>6</v>
      </c>
      <c r="H1248" s="1">
        <v>0</v>
      </c>
      <c r="I1248" s="1">
        <v>1</v>
      </c>
      <c r="J1248" s="1">
        <v>2</v>
      </c>
    </row>
    <row r="1249" spans="1:10" x14ac:dyDescent="0.2">
      <c r="A1249" s="1">
        <v>67</v>
      </c>
      <c r="B1249" s="1">
        <v>0</v>
      </c>
      <c r="C1249" s="1">
        <v>19</v>
      </c>
      <c r="D1249" s="1">
        <v>1</v>
      </c>
      <c r="E1249" s="1">
        <v>3</v>
      </c>
      <c r="F1249" s="1">
        <v>2</v>
      </c>
      <c r="G1249" s="1">
        <v>6</v>
      </c>
      <c r="H1249" s="1">
        <v>0</v>
      </c>
      <c r="I1249" s="1">
        <v>2</v>
      </c>
      <c r="J1249" s="1">
        <v>2</v>
      </c>
    </row>
    <row r="1250" spans="1:10" x14ac:dyDescent="0.2">
      <c r="A1250" s="1">
        <v>1096</v>
      </c>
      <c r="B1250" s="1">
        <v>0</v>
      </c>
      <c r="C1250" s="1">
        <v>15</v>
      </c>
      <c r="D1250" s="1">
        <v>4</v>
      </c>
      <c r="E1250" s="1">
        <v>1</v>
      </c>
      <c r="F1250" s="1">
        <v>3</v>
      </c>
      <c r="G1250" s="1">
        <v>6</v>
      </c>
      <c r="H1250" s="1">
        <v>0</v>
      </c>
      <c r="I1250" s="1">
        <v>0</v>
      </c>
      <c r="J1250" s="1">
        <v>2</v>
      </c>
    </row>
    <row r="1251" spans="1:10" x14ac:dyDescent="0.2">
      <c r="A1251" s="1">
        <v>1690</v>
      </c>
      <c r="B1251" s="1">
        <v>0</v>
      </c>
      <c r="C1251" s="1">
        <v>15</v>
      </c>
      <c r="D1251" s="1">
        <v>2</v>
      </c>
      <c r="E1251" s="1">
        <v>1</v>
      </c>
      <c r="F1251" s="1">
        <v>3</v>
      </c>
      <c r="G1251" s="1">
        <v>6</v>
      </c>
      <c r="H1251" s="1">
        <v>1</v>
      </c>
      <c r="I1251" s="1">
        <v>1</v>
      </c>
      <c r="J1251" s="1">
        <v>2</v>
      </c>
    </row>
    <row r="1252" spans="1:10" x14ac:dyDescent="0.2">
      <c r="A1252" s="1">
        <v>439</v>
      </c>
      <c r="B1252" s="1">
        <v>0</v>
      </c>
      <c r="C1252" s="1">
        <v>20</v>
      </c>
      <c r="D1252" s="1">
        <v>5</v>
      </c>
      <c r="E1252" s="1">
        <v>2</v>
      </c>
      <c r="F1252" s="1">
        <v>3</v>
      </c>
      <c r="G1252" s="1">
        <v>6</v>
      </c>
      <c r="H1252" s="1">
        <v>0</v>
      </c>
      <c r="I1252" s="1">
        <v>2</v>
      </c>
      <c r="J1252" s="1">
        <v>2</v>
      </c>
    </row>
    <row r="1253" spans="1:10" x14ac:dyDescent="0.2">
      <c r="A1253" s="1">
        <v>161</v>
      </c>
      <c r="B1253" s="1">
        <v>0</v>
      </c>
      <c r="C1253" s="1">
        <v>8</v>
      </c>
      <c r="D1253" s="1">
        <v>5</v>
      </c>
      <c r="E1253" s="1">
        <v>3</v>
      </c>
      <c r="F1253" s="1">
        <v>3</v>
      </c>
      <c r="G1253" s="1">
        <v>6</v>
      </c>
      <c r="H1253" s="1">
        <v>0</v>
      </c>
      <c r="I1253" s="1">
        <v>2</v>
      </c>
      <c r="J1253" s="1">
        <v>2</v>
      </c>
    </row>
    <row r="1254" spans="1:10" x14ac:dyDescent="0.2">
      <c r="A1254" s="1">
        <v>782</v>
      </c>
      <c r="B1254" s="1">
        <v>0</v>
      </c>
      <c r="C1254" s="1">
        <v>8</v>
      </c>
      <c r="D1254" s="1">
        <v>4</v>
      </c>
      <c r="E1254" s="1">
        <v>3</v>
      </c>
      <c r="F1254" s="1">
        <v>3</v>
      </c>
      <c r="G1254" s="1">
        <v>6</v>
      </c>
      <c r="H1254" s="1">
        <v>1</v>
      </c>
      <c r="I1254" s="1">
        <v>1</v>
      </c>
      <c r="J1254" s="1">
        <v>2</v>
      </c>
    </row>
    <row r="1255" spans="1:10" x14ac:dyDescent="0.2">
      <c r="A1255" s="1">
        <v>851</v>
      </c>
      <c r="B1255" s="1">
        <v>0</v>
      </c>
      <c r="C1255" s="1">
        <v>11</v>
      </c>
      <c r="D1255" s="1">
        <v>1</v>
      </c>
      <c r="E1255" s="1">
        <v>3</v>
      </c>
      <c r="F1255" s="1">
        <v>3</v>
      </c>
      <c r="G1255" s="1">
        <v>6</v>
      </c>
      <c r="H1255" s="1">
        <v>1</v>
      </c>
      <c r="I1255" s="1">
        <v>2</v>
      </c>
      <c r="J1255" s="1">
        <v>2</v>
      </c>
    </row>
    <row r="1256" spans="1:10" x14ac:dyDescent="0.2">
      <c r="A1256" s="1">
        <v>68</v>
      </c>
      <c r="B1256" s="1">
        <v>0</v>
      </c>
      <c r="C1256" s="1">
        <v>14</v>
      </c>
      <c r="D1256" s="1">
        <v>3</v>
      </c>
      <c r="E1256" s="1">
        <v>3</v>
      </c>
      <c r="F1256" s="1">
        <v>3</v>
      </c>
      <c r="G1256" s="1">
        <v>6</v>
      </c>
      <c r="H1256" s="1">
        <v>0</v>
      </c>
      <c r="I1256" s="1">
        <v>2</v>
      </c>
      <c r="J1256" s="1">
        <v>2</v>
      </c>
    </row>
    <row r="1257" spans="1:10" x14ac:dyDescent="0.2">
      <c r="A1257" s="1">
        <v>2004</v>
      </c>
      <c r="B1257" s="1">
        <v>0</v>
      </c>
      <c r="C1257" s="1">
        <v>5</v>
      </c>
      <c r="D1257" s="1">
        <v>4</v>
      </c>
      <c r="E1257" s="1">
        <v>1</v>
      </c>
      <c r="F1257" s="1">
        <v>4</v>
      </c>
      <c r="G1257" s="1">
        <v>6</v>
      </c>
      <c r="H1257" s="1">
        <v>1</v>
      </c>
      <c r="I1257" s="1">
        <v>3</v>
      </c>
      <c r="J1257" s="1">
        <v>2</v>
      </c>
    </row>
    <row r="1258" spans="1:10" x14ac:dyDescent="0.2">
      <c r="A1258" s="1">
        <v>884</v>
      </c>
      <c r="B1258" s="1">
        <v>0</v>
      </c>
      <c r="C1258" s="1">
        <v>13</v>
      </c>
      <c r="D1258" s="1">
        <v>2</v>
      </c>
      <c r="E1258" s="1">
        <v>1</v>
      </c>
      <c r="F1258" s="1">
        <v>4</v>
      </c>
      <c r="G1258" s="1">
        <v>6</v>
      </c>
      <c r="H1258" s="1">
        <v>1</v>
      </c>
      <c r="I1258" s="1">
        <v>3</v>
      </c>
      <c r="J1258" s="1">
        <v>2</v>
      </c>
    </row>
    <row r="1259" spans="1:10" x14ac:dyDescent="0.2">
      <c r="A1259" s="1">
        <v>2175</v>
      </c>
      <c r="B1259" s="1">
        <v>0</v>
      </c>
      <c r="C1259" s="1">
        <v>15</v>
      </c>
      <c r="D1259" s="1">
        <v>1</v>
      </c>
      <c r="E1259" s="1">
        <v>1</v>
      </c>
      <c r="F1259" s="1">
        <v>4</v>
      </c>
      <c r="G1259" s="1">
        <v>6</v>
      </c>
      <c r="H1259" s="1">
        <v>1</v>
      </c>
      <c r="I1259" s="1">
        <v>1</v>
      </c>
      <c r="J1259" s="1">
        <v>2</v>
      </c>
    </row>
    <row r="1260" spans="1:10" x14ac:dyDescent="0.2">
      <c r="A1260" s="1">
        <v>444</v>
      </c>
      <c r="B1260" s="1">
        <v>0</v>
      </c>
      <c r="C1260" s="1">
        <v>13</v>
      </c>
      <c r="D1260" s="1">
        <v>4</v>
      </c>
      <c r="E1260" s="1">
        <v>2</v>
      </c>
      <c r="F1260" s="1">
        <v>4</v>
      </c>
      <c r="G1260" s="1">
        <v>6</v>
      </c>
      <c r="H1260" s="1">
        <v>1</v>
      </c>
      <c r="I1260" s="1">
        <v>3</v>
      </c>
      <c r="J1260" s="1">
        <v>2</v>
      </c>
    </row>
    <row r="1261" spans="1:10" x14ac:dyDescent="0.2">
      <c r="A1261" s="1">
        <v>283</v>
      </c>
      <c r="B1261" s="1">
        <v>0</v>
      </c>
      <c r="C1261" s="1">
        <v>20</v>
      </c>
      <c r="D1261" s="1">
        <v>4</v>
      </c>
      <c r="E1261" s="1">
        <v>2</v>
      </c>
      <c r="F1261" s="1">
        <v>4</v>
      </c>
      <c r="G1261" s="1">
        <v>6</v>
      </c>
      <c r="H1261" s="1">
        <v>1</v>
      </c>
      <c r="I1261" s="1">
        <v>0</v>
      </c>
      <c r="J1261" s="1">
        <v>2</v>
      </c>
    </row>
    <row r="1262" spans="1:10" x14ac:dyDescent="0.2">
      <c r="A1262" s="1">
        <v>599</v>
      </c>
      <c r="B1262" s="1">
        <v>0</v>
      </c>
      <c r="C1262" s="1">
        <v>5</v>
      </c>
      <c r="D1262" s="1">
        <v>5</v>
      </c>
      <c r="E1262" s="1">
        <v>3</v>
      </c>
      <c r="F1262" s="1">
        <v>4</v>
      </c>
      <c r="G1262" s="1">
        <v>6</v>
      </c>
      <c r="H1262" s="1">
        <v>1</v>
      </c>
      <c r="I1262" s="1">
        <v>0</v>
      </c>
      <c r="J1262" s="1">
        <v>2</v>
      </c>
    </row>
    <row r="1263" spans="1:10" x14ac:dyDescent="0.2">
      <c r="A1263" s="1">
        <v>1865</v>
      </c>
      <c r="B1263" s="1">
        <v>0</v>
      </c>
      <c r="C1263" s="1">
        <v>14</v>
      </c>
      <c r="D1263" s="1">
        <v>5</v>
      </c>
      <c r="E1263" s="1">
        <v>3</v>
      </c>
      <c r="F1263" s="1">
        <v>4</v>
      </c>
      <c r="G1263" s="1">
        <v>6</v>
      </c>
      <c r="H1263" s="1">
        <v>0</v>
      </c>
      <c r="I1263" s="1">
        <v>2</v>
      </c>
      <c r="J1263" s="1">
        <v>2</v>
      </c>
    </row>
    <row r="1264" spans="1:10" x14ac:dyDescent="0.2">
      <c r="A1264" s="1">
        <v>1702</v>
      </c>
      <c r="B1264" s="1">
        <v>0</v>
      </c>
      <c r="C1264" s="1">
        <v>5</v>
      </c>
      <c r="D1264" s="1">
        <v>3</v>
      </c>
      <c r="E1264" s="1">
        <v>2</v>
      </c>
      <c r="F1264" s="1">
        <v>5</v>
      </c>
      <c r="G1264" s="1">
        <v>6</v>
      </c>
      <c r="H1264" s="1">
        <v>1</v>
      </c>
      <c r="I1264" s="1">
        <v>1</v>
      </c>
      <c r="J1264" s="1">
        <v>2</v>
      </c>
    </row>
    <row r="1265" spans="1:10" x14ac:dyDescent="0.2">
      <c r="A1265" s="1">
        <v>808</v>
      </c>
      <c r="B1265" s="1">
        <v>0</v>
      </c>
      <c r="C1265" s="1">
        <v>16</v>
      </c>
      <c r="D1265" s="1">
        <v>3</v>
      </c>
      <c r="E1265" s="1">
        <v>2</v>
      </c>
      <c r="F1265" s="1">
        <v>5</v>
      </c>
      <c r="G1265" s="1">
        <v>6</v>
      </c>
      <c r="H1265" s="1">
        <v>1</v>
      </c>
      <c r="I1265" s="1">
        <v>0</v>
      </c>
      <c r="J1265" s="1">
        <v>2</v>
      </c>
    </row>
    <row r="1266" spans="1:10" x14ac:dyDescent="0.2">
      <c r="A1266" s="1">
        <v>1599</v>
      </c>
      <c r="B1266" s="1">
        <v>0</v>
      </c>
      <c r="C1266" s="1">
        <v>11</v>
      </c>
      <c r="D1266" s="1">
        <v>1</v>
      </c>
      <c r="E1266" s="1">
        <v>3</v>
      </c>
      <c r="F1266" s="1">
        <v>5</v>
      </c>
      <c r="G1266" s="1">
        <v>6</v>
      </c>
      <c r="H1266" s="1">
        <v>1</v>
      </c>
      <c r="I1266" s="1">
        <v>3</v>
      </c>
      <c r="J1266" s="1">
        <v>2</v>
      </c>
    </row>
    <row r="1267" spans="1:10" x14ac:dyDescent="0.2">
      <c r="A1267" s="1">
        <v>1967</v>
      </c>
      <c r="B1267" s="1">
        <v>0</v>
      </c>
      <c r="C1267" s="1">
        <v>13</v>
      </c>
      <c r="D1267" s="1">
        <v>3</v>
      </c>
      <c r="E1267" s="1">
        <v>3</v>
      </c>
      <c r="F1267" s="1">
        <v>5</v>
      </c>
      <c r="G1267" s="1">
        <v>6</v>
      </c>
      <c r="H1267" s="1">
        <v>1</v>
      </c>
      <c r="I1267" s="1">
        <v>2</v>
      </c>
      <c r="J1267" s="1">
        <v>2</v>
      </c>
    </row>
    <row r="1268" spans="1:10" x14ac:dyDescent="0.2">
      <c r="A1268" s="1">
        <v>865</v>
      </c>
      <c r="B1268" s="1">
        <v>0</v>
      </c>
      <c r="C1268" s="1">
        <v>15</v>
      </c>
      <c r="D1268" s="1">
        <v>3</v>
      </c>
      <c r="E1268" s="1">
        <v>3</v>
      </c>
      <c r="F1268" s="1">
        <v>5</v>
      </c>
      <c r="G1268" s="1">
        <v>6</v>
      </c>
      <c r="H1268" s="1">
        <v>1</v>
      </c>
      <c r="I1268" s="1">
        <v>1</v>
      </c>
      <c r="J1268" s="1">
        <v>2</v>
      </c>
    </row>
    <row r="1269" spans="1:10" x14ac:dyDescent="0.2">
      <c r="A1269" s="1">
        <v>2261</v>
      </c>
      <c r="B1269" s="1">
        <v>0</v>
      </c>
      <c r="C1269" s="1">
        <v>15</v>
      </c>
      <c r="D1269" s="1">
        <v>3</v>
      </c>
      <c r="E1269" s="1">
        <v>2</v>
      </c>
      <c r="F1269" s="1">
        <v>6</v>
      </c>
      <c r="G1269" s="1">
        <v>6</v>
      </c>
      <c r="H1269" s="1">
        <v>1</v>
      </c>
      <c r="I1269" s="1">
        <v>1</v>
      </c>
      <c r="J1269" s="1">
        <v>2</v>
      </c>
    </row>
    <row r="1270" spans="1:10" x14ac:dyDescent="0.2">
      <c r="A1270" s="1">
        <v>1988</v>
      </c>
      <c r="B1270" s="1">
        <v>0</v>
      </c>
      <c r="C1270" s="1">
        <v>17</v>
      </c>
      <c r="D1270" s="1">
        <v>5</v>
      </c>
      <c r="E1270" s="1">
        <v>2</v>
      </c>
      <c r="F1270" s="1">
        <v>6</v>
      </c>
      <c r="G1270" s="1">
        <v>6</v>
      </c>
      <c r="H1270" s="1">
        <v>1</v>
      </c>
      <c r="I1270" s="1">
        <v>1</v>
      </c>
      <c r="J1270" s="1">
        <v>2</v>
      </c>
    </row>
    <row r="1271" spans="1:10" x14ac:dyDescent="0.2">
      <c r="A1271" s="1">
        <v>198</v>
      </c>
      <c r="B1271" s="1">
        <v>0</v>
      </c>
      <c r="C1271" s="1">
        <v>6</v>
      </c>
      <c r="D1271" s="1">
        <v>3</v>
      </c>
      <c r="E1271" s="1">
        <v>3</v>
      </c>
      <c r="F1271" s="1">
        <v>6</v>
      </c>
      <c r="G1271" s="1">
        <v>6</v>
      </c>
      <c r="H1271" s="1">
        <v>1</v>
      </c>
      <c r="I1271" s="1">
        <v>0</v>
      </c>
      <c r="J1271" s="1">
        <v>2</v>
      </c>
    </row>
    <row r="1272" spans="1:10" x14ac:dyDescent="0.2">
      <c r="A1272" s="1">
        <v>385</v>
      </c>
      <c r="B1272" s="1">
        <v>0</v>
      </c>
      <c r="C1272" s="1">
        <v>6</v>
      </c>
      <c r="D1272" s="1">
        <v>4</v>
      </c>
      <c r="E1272" s="1">
        <v>3</v>
      </c>
      <c r="F1272" s="1">
        <v>6</v>
      </c>
      <c r="G1272" s="1">
        <v>6</v>
      </c>
      <c r="H1272" s="1">
        <v>1</v>
      </c>
      <c r="I1272" s="1">
        <v>2</v>
      </c>
      <c r="J1272" s="1">
        <v>2</v>
      </c>
    </row>
    <row r="1273" spans="1:10" x14ac:dyDescent="0.2">
      <c r="A1273" s="1">
        <v>90</v>
      </c>
      <c r="B1273" s="1">
        <v>0</v>
      </c>
      <c r="C1273" s="1">
        <v>15</v>
      </c>
      <c r="D1273" s="1">
        <v>4</v>
      </c>
      <c r="E1273" s="1">
        <v>1</v>
      </c>
      <c r="F1273" s="1">
        <v>7</v>
      </c>
      <c r="G1273" s="1">
        <v>6</v>
      </c>
      <c r="H1273" s="1">
        <v>1</v>
      </c>
      <c r="I1273" s="1">
        <v>1</v>
      </c>
      <c r="J1273" s="1">
        <v>2</v>
      </c>
    </row>
    <row r="1274" spans="1:10" x14ac:dyDescent="0.2">
      <c r="A1274" s="1">
        <v>2076</v>
      </c>
      <c r="B1274" s="1">
        <v>0</v>
      </c>
      <c r="C1274" s="1">
        <v>15</v>
      </c>
      <c r="D1274" s="1">
        <v>4</v>
      </c>
      <c r="E1274" s="1">
        <v>2</v>
      </c>
      <c r="F1274" s="1">
        <v>7</v>
      </c>
      <c r="G1274" s="1">
        <v>6</v>
      </c>
      <c r="H1274" s="1">
        <v>0</v>
      </c>
      <c r="I1274" s="1">
        <v>1</v>
      </c>
      <c r="J1274" s="1">
        <v>2</v>
      </c>
    </row>
    <row r="1275" spans="1:10" x14ac:dyDescent="0.2">
      <c r="A1275" s="1">
        <v>2128</v>
      </c>
      <c r="B1275" s="1">
        <v>0</v>
      </c>
      <c r="C1275" s="1">
        <v>6</v>
      </c>
      <c r="D1275" s="1">
        <v>5</v>
      </c>
      <c r="E1275" s="1">
        <v>3</v>
      </c>
      <c r="F1275" s="1">
        <v>7</v>
      </c>
      <c r="G1275" s="1">
        <v>6</v>
      </c>
      <c r="H1275" s="1">
        <v>1</v>
      </c>
      <c r="I1275" s="1">
        <v>2</v>
      </c>
      <c r="J1275" s="1">
        <v>2</v>
      </c>
    </row>
    <row r="1276" spans="1:10" x14ac:dyDescent="0.2">
      <c r="A1276" s="1">
        <v>1494</v>
      </c>
      <c r="B1276" s="1">
        <v>0</v>
      </c>
      <c r="C1276" s="1">
        <v>15</v>
      </c>
      <c r="D1276" s="1">
        <v>5</v>
      </c>
      <c r="E1276" s="1">
        <v>3</v>
      </c>
      <c r="F1276" s="1">
        <v>7</v>
      </c>
      <c r="G1276" s="1">
        <v>6</v>
      </c>
      <c r="H1276" s="1">
        <v>0</v>
      </c>
      <c r="I1276" s="1">
        <v>0</v>
      </c>
      <c r="J1276" s="1">
        <v>2</v>
      </c>
    </row>
    <row r="1277" spans="1:10" x14ac:dyDescent="0.2">
      <c r="A1277" s="1">
        <v>1170</v>
      </c>
      <c r="B1277" s="1">
        <v>0</v>
      </c>
      <c r="C1277" s="1">
        <v>15</v>
      </c>
      <c r="D1277" s="1">
        <v>2</v>
      </c>
      <c r="E1277" s="1">
        <v>1</v>
      </c>
      <c r="F1277" s="1">
        <v>8</v>
      </c>
      <c r="G1277" s="1">
        <v>6</v>
      </c>
      <c r="H1277" s="1">
        <v>1</v>
      </c>
      <c r="I1277" s="1">
        <v>0</v>
      </c>
      <c r="J1277" s="1">
        <v>2</v>
      </c>
    </row>
    <row r="1278" spans="1:10" x14ac:dyDescent="0.2">
      <c r="A1278" s="1">
        <v>113</v>
      </c>
      <c r="B1278" s="1">
        <v>0</v>
      </c>
      <c r="C1278" s="1">
        <v>7</v>
      </c>
      <c r="D1278" s="1">
        <v>2</v>
      </c>
      <c r="E1278" s="1">
        <v>2</v>
      </c>
      <c r="F1278" s="1">
        <v>8</v>
      </c>
      <c r="G1278" s="1">
        <v>6</v>
      </c>
      <c r="H1278" s="1">
        <v>1</v>
      </c>
      <c r="I1278" s="1">
        <v>1</v>
      </c>
      <c r="J1278" s="1">
        <v>2</v>
      </c>
    </row>
    <row r="1279" spans="1:10" x14ac:dyDescent="0.2">
      <c r="A1279" s="1">
        <v>1303</v>
      </c>
      <c r="B1279" s="1">
        <v>0</v>
      </c>
      <c r="C1279" s="1">
        <v>10</v>
      </c>
      <c r="D1279" s="1">
        <v>4</v>
      </c>
      <c r="E1279" s="1">
        <v>2</v>
      </c>
      <c r="F1279" s="1">
        <v>8</v>
      </c>
      <c r="G1279" s="1">
        <v>6</v>
      </c>
      <c r="H1279" s="1">
        <v>0</v>
      </c>
      <c r="I1279" s="1">
        <v>2</v>
      </c>
      <c r="J1279" s="1">
        <v>2</v>
      </c>
    </row>
    <row r="1280" spans="1:10" x14ac:dyDescent="0.2">
      <c r="A1280" s="1">
        <v>2390</v>
      </c>
      <c r="B1280" s="1">
        <v>0</v>
      </c>
      <c r="C1280" s="1">
        <v>20</v>
      </c>
      <c r="D1280" s="1">
        <v>4</v>
      </c>
      <c r="E1280" s="1">
        <v>2</v>
      </c>
      <c r="F1280" s="1">
        <v>8</v>
      </c>
      <c r="G1280" s="1">
        <v>6</v>
      </c>
      <c r="H1280" s="1">
        <v>1</v>
      </c>
      <c r="I1280" s="1">
        <v>0</v>
      </c>
      <c r="J1280" s="1">
        <v>2</v>
      </c>
    </row>
    <row r="1281" spans="1:10" x14ac:dyDescent="0.2">
      <c r="A1281" s="1">
        <v>2260</v>
      </c>
      <c r="B1281" s="1">
        <v>0</v>
      </c>
      <c r="C1281" s="1">
        <v>16</v>
      </c>
      <c r="D1281" s="1">
        <v>4</v>
      </c>
      <c r="E1281" s="1">
        <v>3</v>
      </c>
      <c r="F1281" s="1">
        <v>8</v>
      </c>
      <c r="G1281" s="1">
        <v>6</v>
      </c>
      <c r="H1281" s="1">
        <v>0</v>
      </c>
      <c r="I1281" s="1">
        <v>2</v>
      </c>
      <c r="J1281" s="1">
        <v>2</v>
      </c>
    </row>
    <row r="1282" spans="1:10" x14ac:dyDescent="0.2">
      <c r="A1282" s="1">
        <v>1316</v>
      </c>
      <c r="B1282" s="1">
        <v>0</v>
      </c>
      <c r="C1282" s="1">
        <v>14</v>
      </c>
      <c r="D1282" s="1">
        <v>3</v>
      </c>
      <c r="E1282" s="1">
        <v>2</v>
      </c>
      <c r="F1282" s="1">
        <v>9</v>
      </c>
      <c r="G1282" s="1">
        <v>6</v>
      </c>
      <c r="H1282" s="1">
        <v>0</v>
      </c>
      <c r="I1282" s="1">
        <v>0</v>
      </c>
      <c r="J1282" s="1">
        <v>2</v>
      </c>
    </row>
    <row r="1283" spans="1:10" x14ac:dyDescent="0.2">
      <c r="A1283" s="1">
        <v>579</v>
      </c>
      <c r="B1283" s="1">
        <v>0</v>
      </c>
      <c r="C1283" s="1">
        <v>5</v>
      </c>
      <c r="D1283" s="1">
        <v>4</v>
      </c>
      <c r="E1283" s="1">
        <v>3</v>
      </c>
      <c r="F1283" s="1">
        <v>9</v>
      </c>
      <c r="G1283" s="1">
        <v>6</v>
      </c>
      <c r="H1283" s="1">
        <v>1</v>
      </c>
      <c r="I1283" s="1">
        <v>0</v>
      </c>
      <c r="J1283" s="1">
        <v>2</v>
      </c>
    </row>
    <row r="1284" spans="1:10" x14ac:dyDescent="0.2">
      <c r="A1284" s="1">
        <v>330</v>
      </c>
      <c r="B1284" s="1">
        <v>0</v>
      </c>
      <c r="C1284" s="1">
        <v>7</v>
      </c>
      <c r="D1284" s="1">
        <v>4</v>
      </c>
      <c r="E1284" s="1">
        <v>3</v>
      </c>
      <c r="F1284" s="1">
        <v>9</v>
      </c>
      <c r="G1284" s="1">
        <v>6</v>
      </c>
      <c r="H1284" s="1">
        <v>0</v>
      </c>
      <c r="I1284" s="1">
        <v>2</v>
      </c>
      <c r="J1284" s="1">
        <v>2</v>
      </c>
    </row>
    <row r="1285" spans="1:10" x14ac:dyDescent="0.2">
      <c r="A1285" s="1">
        <v>897</v>
      </c>
      <c r="B1285" s="1">
        <v>0</v>
      </c>
      <c r="C1285" s="1">
        <v>10</v>
      </c>
      <c r="D1285" s="1">
        <v>5</v>
      </c>
      <c r="E1285" s="1">
        <v>3</v>
      </c>
      <c r="F1285" s="1">
        <v>9</v>
      </c>
      <c r="G1285" s="1">
        <v>6</v>
      </c>
      <c r="H1285" s="1">
        <v>0</v>
      </c>
      <c r="I1285" s="1">
        <v>1</v>
      </c>
      <c r="J1285" s="1">
        <v>2</v>
      </c>
    </row>
    <row r="1286" spans="1:10" x14ac:dyDescent="0.2">
      <c r="A1286" s="1">
        <v>488</v>
      </c>
      <c r="B1286" s="1">
        <v>0</v>
      </c>
      <c r="C1286" s="1">
        <v>19</v>
      </c>
      <c r="D1286" s="1">
        <v>2</v>
      </c>
      <c r="E1286" s="1">
        <v>3</v>
      </c>
      <c r="F1286" s="1">
        <v>9</v>
      </c>
      <c r="G1286" s="1">
        <v>6</v>
      </c>
      <c r="H1286" s="1">
        <v>1</v>
      </c>
      <c r="I1286" s="1">
        <v>1</v>
      </c>
      <c r="J1286" s="1">
        <v>2</v>
      </c>
    </row>
    <row r="1287" spans="1:10" x14ac:dyDescent="0.2">
      <c r="A1287" s="1">
        <v>2352</v>
      </c>
      <c r="B1287" s="1">
        <v>0</v>
      </c>
      <c r="C1287" s="1">
        <v>20</v>
      </c>
      <c r="D1287" s="1">
        <v>3</v>
      </c>
      <c r="E1287" s="1">
        <v>3</v>
      </c>
      <c r="F1287" s="1">
        <v>9</v>
      </c>
      <c r="G1287" s="1">
        <v>6</v>
      </c>
      <c r="H1287" s="1">
        <v>0</v>
      </c>
      <c r="I1287" s="1">
        <v>1</v>
      </c>
      <c r="J1287" s="1">
        <v>2</v>
      </c>
    </row>
    <row r="1288" spans="1:10" x14ac:dyDescent="0.2">
      <c r="A1288" s="1">
        <v>233</v>
      </c>
      <c r="B1288" s="1">
        <v>0</v>
      </c>
      <c r="C1288" s="1">
        <v>10</v>
      </c>
      <c r="D1288" s="1">
        <v>3</v>
      </c>
      <c r="E1288" s="1">
        <v>2</v>
      </c>
      <c r="F1288" s="1">
        <v>10</v>
      </c>
      <c r="G1288" s="1">
        <v>6</v>
      </c>
      <c r="H1288" s="1">
        <v>0</v>
      </c>
      <c r="I1288" s="1">
        <v>2</v>
      </c>
      <c r="J1288" s="1">
        <v>2</v>
      </c>
    </row>
    <row r="1289" spans="1:10" x14ac:dyDescent="0.2">
      <c r="A1289" s="1">
        <v>2332</v>
      </c>
      <c r="B1289" s="1">
        <v>0</v>
      </c>
      <c r="C1289" s="1">
        <v>18</v>
      </c>
      <c r="D1289" s="1">
        <v>4</v>
      </c>
      <c r="E1289" s="1">
        <v>2</v>
      </c>
      <c r="F1289" s="1">
        <v>10</v>
      </c>
      <c r="G1289" s="1">
        <v>6</v>
      </c>
      <c r="H1289" s="1">
        <v>1</v>
      </c>
      <c r="I1289" s="1">
        <v>1</v>
      </c>
      <c r="J1289" s="1">
        <v>2</v>
      </c>
    </row>
    <row r="1290" spans="1:10" x14ac:dyDescent="0.2">
      <c r="A1290" s="1">
        <v>1683</v>
      </c>
      <c r="B1290" s="1">
        <v>0</v>
      </c>
      <c r="C1290" s="1">
        <v>7</v>
      </c>
      <c r="D1290" s="1">
        <v>3</v>
      </c>
      <c r="E1290" s="1">
        <v>3</v>
      </c>
      <c r="F1290" s="1">
        <v>10</v>
      </c>
      <c r="G1290" s="1">
        <v>6</v>
      </c>
      <c r="H1290" s="1">
        <v>1</v>
      </c>
      <c r="I1290" s="1">
        <v>3</v>
      </c>
      <c r="J1290" s="1">
        <v>2</v>
      </c>
    </row>
    <row r="1291" spans="1:10" x14ac:dyDescent="0.2">
      <c r="A1291" s="1">
        <v>1283</v>
      </c>
      <c r="B1291" s="1">
        <v>0</v>
      </c>
      <c r="C1291" s="1">
        <v>12</v>
      </c>
      <c r="D1291" s="1">
        <v>2</v>
      </c>
      <c r="E1291" s="1">
        <v>3</v>
      </c>
      <c r="F1291" s="1">
        <v>10</v>
      </c>
      <c r="G1291" s="1">
        <v>6</v>
      </c>
      <c r="H1291" s="1">
        <v>1</v>
      </c>
      <c r="I1291" s="1">
        <v>3</v>
      </c>
      <c r="J1291" s="1">
        <v>2</v>
      </c>
    </row>
    <row r="1292" spans="1:10" x14ac:dyDescent="0.2">
      <c r="A1292" s="1">
        <v>397</v>
      </c>
      <c r="B1292" s="1">
        <v>0</v>
      </c>
      <c r="C1292" s="1">
        <v>19</v>
      </c>
      <c r="D1292" s="1">
        <v>5</v>
      </c>
      <c r="E1292" s="1">
        <v>3</v>
      </c>
      <c r="F1292" s="1">
        <v>10</v>
      </c>
      <c r="G1292" s="1">
        <v>6</v>
      </c>
      <c r="H1292" s="1">
        <v>0</v>
      </c>
      <c r="I1292" s="1">
        <v>1</v>
      </c>
      <c r="J1292" s="1">
        <v>2</v>
      </c>
    </row>
    <row r="1293" spans="1:10" x14ac:dyDescent="0.2">
      <c r="A1293" s="1">
        <v>2463</v>
      </c>
      <c r="B1293" s="1">
        <v>0</v>
      </c>
      <c r="C1293" s="1">
        <v>20</v>
      </c>
      <c r="D1293" s="1">
        <v>2</v>
      </c>
      <c r="E1293" s="1">
        <v>2</v>
      </c>
      <c r="F1293" s="1">
        <v>1</v>
      </c>
      <c r="G1293" s="1">
        <v>6</v>
      </c>
      <c r="H1293" s="1">
        <v>1</v>
      </c>
      <c r="I1293" s="1">
        <v>2</v>
      </c>
      <c r="J1293" s="1">
        <v>3</v>
      </c>
    </row>
    <row r="1294" spans="1:10" x14ac:dyDescent="0.2">
      <c r="A1294" s="1">
        <v>1415</v>
      </c>
      <c r="B1294" s="1">
        <v>0</v>
      </c>
      <c r="C1294" s="1">
        <v>11</v>
      </c>
      <c r="D1294" s="1">
        <v>1</v>
      </c>
      <c r="E1294" s="1">
        <v>3</v>
      </c>
      <c r="F1294" s="1">
        <v>1</v>
      </c>
      <c r="G1294" s="1">
        <v>6</v>
      </c>
      <c r="H1294" s="1">
        <v>0</v>
      </c>
      <c r="I1294" s="1">
        <v>2</v>
      </c>
      <c r="J1294" s="1">
        <v>3</v>
      </c>
    </row>
    <row r="1295" spans="1:10" x14ac:dyDescent="0.2">
      <c r="A1295" s="1">
        <v>2224</v>
      </c>
      <c r="B1295" s="1">
        <v>0</v>
      </c>
      <c r="C1295" s="1">
        <v>18</v>
      </c>
      <c r="D1295" s="1">
        <v>4</v>
      </c>
      <c r="E1295" s="1">
        <v>3</v>
      </c>
      <c r="F1295" s="1">
        <v>1</v>
      </c>
      <c r="G1295" s="1">
        <v>6</v>
      </c>
      <c r="H1295" s="1">
        <v>0</v>
      </c>
      <c r="I1295" s="1">
        <v>2</v>
      </c>
      <c r="J1295" s="1">
        <v>3</v>
      </c>
    </row>
    <row r="1296" spans="1:10" x14ac:dyDescent="0.2">
      <c r="A1296" s="1">
        <v>363</v>
      </c>
      <c r="B1296" s="1">
        <v>0</v>
      </c>
      <c r="C1296" s="1">
        <v>15</v>
      </c>
      <c r="D1296" s="1">
        <v>2</v>
      </c>
      <c r="E1296" s="1">
        <v>2</v>
      </c>
      <c r="F1296" s="1">
        <v>2</v>
      </c>
      <c r="G1296" s="1">
        <v>6</v>
      </c>
      <c r="H1296" s="1">
        <v>1</v>
      </c>
      <c r="I1296" s="1">
        <v>1</v>
      </c>
      <c r="J1296" s="1">
        <v>3</v>
      </c>
    </row>
    <row r="1297" spans="1:10" x14ac:dyDescent="0.2">
      <c r="A1297" s="1">
        <v>2436</v>
      </c>
      <c r="B1297" s="1">
        <v>0</v>
      </c>
      <c r="C1297" s="1">
        <v>8</v>
      </c>
      <c r="D1297" s="1">
        <v>5</v>
      </c>
      <c r="E1297" s="1">
        <v>3</v>
      </c>
      <c r="F1297" s="1">
        <v>2</v>
      </c>
      <c r="G1297" s="1">
        <v>6</v>
      </c>
      <c r="H1297" s="1">
        <v>0</v>
      </c>
      <c r="I1297" s="1">
        <v>1</v>
      </c>
      <c r="J1297" s="1">
        <v>3</v>
      </c>
    </row>
    <row r="1298" spans="1:10" x14ac:dyDescent="0.2">
      <c r="A1298" s="1">
        <v>783</v>
      </c>
      <c r="B1298" s="1">
        <v>0</v>
      </c>
      <c r="C1298" s="1">
        <v>7</v>
      </c>
      <c r="D1298" s="1">
        <v>5</v>
      </c>
      <c r="E1298" s="1">
        <v>1</v>
      </c>
      <c r="F1298" s="1">
        <v>3</v>
      </c>
      <c r="G1298" s="1">
        <v>6</v>
      </c>
      <c r="H1298" s="1">
        <v>0</v>
      </c>
      <c r="I1298" s="1">
        <v>3</v>
      </c>
      <c r="J1298" s="1">
        <v>3</v>
      </c>
    </row>
    <row r="1299" spans="1:10" x14ac:dyDescent="0.2">
      <c r="A1299" s="1">
        <v>1590</v>
      </c>
      <c r="B1299" s="1">
        <v>0</v>
      </c>
      <c r="C1299" s="1">
        <v>9</v>
      </c>
      <c r="D1299" s="1">
        <v>3</v>
      </c>
      <c r="E1299" s="1">
        <v>1</v>
      </c>
      <c r="F1299" s="1">
        <v>3</v>
      </c>
      <c r="G1299" s="1">
        <v>6</v>
      </c>
      <c r="H1299" s="1">
        <v>1</v>
      </c>
      <c r="I1299" s="1">
        <v>1</v>
      </c>
      <c r="J1299" s="1">
        <v>3</v>
      </c>
    </row>
    <row r="1300" spans="1:10" x14ac:dyDescent="0.2">
      <c r="A1300" s="1">
        <v>1297</v>
      </c>
      <c r="B1300" s="1">
        <v>0</v>
      </c>
      <c r="C1300" s="1">
        <v>6</v>
      </c>
      <c r="D1300" s="1">
        <v>1</v>
      </c>
      <c r="E1300" s="1">
        <v>2</v>
      </c>
      <c r="F1300" s="1">
        <v>3</v>
      </c>
      <c r="G1300" s="1">
        <v>6</v>
      </c>
      <c r="H1300" s="1">
        <v>1</v>
      </c>
      <c r="I1300" s="1">
        <v>1</v>
      </c>
      <c r="J1300" s="1">
        <v>3</v>
      </c>
    </row>
    <row r="1301" spans="1:10" x14ac:dyDescent="0.2">
      <c r="A1301" s="1">
        <v>751</v>
      </c>
      <c r="B1301" s="1">
        <v>0</v>
      </c>
      <c r="C1301" s="1">
        <v>9</v>
      </c>
      <c r="D1301" s="1">
        <v>2</v>
      </c>
      <c r="E1301" s="1">
        <v>2</v>
      </c>
      <c r="F1301" s="1">
        <v>3</v>
      </c>
      <c r="G1301" s="1">
        <v>6</v>
      </c>
      <c r="H1301" s="1">
        <v>0</v>
      </c>
      <c r="I1301" s="1">
        <v>0</v>
      </c>
      <c r="J1301" s="1">
        <v>3</v>
      </c>
    </row>
    <row r="1302" spans="1:10" x14ac:dyDescent="0.2">
      <c r="A1302" s="1">
        <v>2018</v>
      </c>
      <c r="B1302" s="1">
        <v>0</v>
      </c>
      <c r="C1302" s="1">
        <v>19</v>
      </c>
      <c r="D1302" s="1">
        <v>5</v>
      </c>
      <c r="E1302" s="1">
        <v>2</v>
      </c>
      <c r="F1302" s="1">
        <v>3</v>
      </c>
      <c r="G1302" s="1">
        <v>6</v>
      </c>
      <c r="H1302" s="1">
        <v>0</v>
      </c>
      <c r="I1302" s="1">
        <v>1</v>
      </c>
      <c r="J1302" s="1">
        <v>3</v>
      </c>
    </row>
    <row r="1303" spans="1:10" x14ac:dyDescent="0.2">
      <c r="A1303" s="1">
        <v>752</v>
      </c>
      <c r="B1303" s="1">
        <v>0</v>
      </c>
      <c r="C1303" s="1">
        <v>10</v>
      </c>
      <c r="D1303" s="1">
        <v>4</v>
      </c>
      <c r="E1303" s="1">
        <v>3</v>
      </c>
      <c r="F1303" s="1">
        <v>3</v>
      </c>
      <c r="G1303" s="1">
        <v>6</v>
      </c>
      <c r="H1303" s="1">
        <v>1</v>
      </c>
      <c r="I1303" s="1">
        <v>1</v>
      </c>
      <c r="J1303" s="1">
        <v>3</v>
      </c>
    </row>
    <row r="1304" spans="1:10" x14ac:dyDescent="0.2">
      <c r="A1304" s="1">
        <v>823</v>
      </c>
      <c r="B1304" s="1">
        <v>0</v>
      </c>
      <c r="C1304" s="1">
        <v>12</v>
      </c>
      <c r="D1304" s="1">
        <v>1</v>
      </c>
      <c r="E1304" s="1">
        <v>3</v>
      </c>
      <c r="F1304" s="1">
        <v>3</v>
      </c>
      <c r="G1304" s="1">
        <v>6</v>
      </c>
      <c r="H1304" s="1">
        <v>1</v>
      </c>
      <c r="I1304" s="1">
        <v>1</v>
      </c>
      <c r="J1304" s="1">
        <v>3</v>
      </c>
    </row>
    <row r="1305" spans="1:10" x14ac:dyDescent="0.2">
      <c r="A1305" s="1">
        <v>139</v>
      </c>
      <c r="B1305" s="1">
        <v>0</v>
      </c>
      <c r="C1305" s="1">
        <v>10</v>
      </c>
      <c r="D1305" s="1">
        <v>4</v>
      </c>
      <c r="E1305" s="1">
        <v>1</v>
      </c>
      <c r="F1305" s="1">
        <v>4</v>
      </c>
      <c r="G1305" s="1">
        <v>6</v>
      </c>
      <c r="H1305" s="1">
        <v>0</v>
      </c>
      <c r="I1305" s="1">
        <v>3</v>
      </c>
      <c r="J1305" s="1">
        <v>3</v>
      </c>
    </row>
    <row r="1306" spans="1:10" x14ac:dyDescent="0.2">
      <c r="A1306" s="1">
        <v>1284</v>
      </c>
      <c r="B1306" s="1">
        <v>0</v>
      </c>
      <c r="C1306" s="1">
        <v>5</v>
      </c>
      <c r="D1306" s="1">
        <v>3</v>
      </c>
      <c r="E1306" s="1">
        <v>2</v>
      </c>
      <c r="F1306" s="1">
        <v>4</v>
      </c>
      <c r="G1306" s="1">
        <v>6</v>
      </c>
      <c r="H1306" s="1">
        <v>1</v>
      </c>
      <c r="I1306" s="1">
        <v>3</v>
      </c>
      <c r="J1306" s="1">
        <v>3</v>
      </c>
    </row>
    <row r="1307" spans="1:10" x14ac:dyDescent="0.2">
      <c r="A1307" s="1">
        <v>898</v>
      </c>
      <c r="B1307" s="1">
        <v>0</v>
      </c>
      <c r="C1307" s="1">
        <v>12</v>
      </c>
      <c r="D1307" s="1">
        <v>3</v>
      </c>
      <c r="E1307" s="1">
        <v>2</v>
      </c>
      <c r="F1307" s="1">
        <v>4</v>
      </c>
      <c r="G1307" s="1">
        <v>6</v>
      </c>
      <c r="H1307" s="1">
        <v>1</v>
      </c>
      <c r="I1307" s="1">
        <v>2</v>
      </c>
      <c r="J1307" s="1">
        <v>3</v>
      </c>
    </row>
    <row r="1308" spans="1:10" x14ac:dyDescent="0.2">
      <c r="A1308" s="1">
        <v>2399</v>
      </c>
      <c r="B1308" s="1">
        <v>0</v>
      </c>
      <c r="C1308" s="1">
        <v>14</v>
      </c>
      <c r="D1308" s="1">
        <v>3</v>
      </c>
      <c r="E1308" s="1">
        <v>2</v>
      </c>
      <c r="F1308" s="1">
        <v>4</v>
      </c>
      <c r="G1308" s="1">
        <v>6</v>
      </c>
      <c r="H1308" s="1">
        <v>0</v>
      </c>
      <c r="I1308" s="1">
        <v>3</v>
      </c>
      <c r="J1308" s="1">
        <v>3</v>
      </c>
    </row>
    <row r="1309" spans="1:10" x14ac:dyDescent="0.2">
      <c r="A1309" s="1">
        <v>108</v>
      </c>
      <c r="B1309" s="1">
        <v>0</v>
      </c>
      <c r="C1309" s="1">
        <v>20</v>
      </c>
      <c r="D1309" s="1">
        <v>4</v>
      </c>
      <c r="E1309" s="1">
        <v>2</v>
      </c>
      <c r="F1309" s="1">
        <v>4</v>
      </c>
      <c r="G1309" s="1">
        <v>6</v>
      </c>
      <c r="H1309" s="1">
        <v>0</v>
      </c>
      <c r="I1309" s="1">
        <v>1</v>
      </c>
      <c r="J1309" s="1">
        <v>3</v>
      </c>
    </row>
    <row r="1310" spans="1:10" x14ac:dyDescent="0.2">
      <c r="A1310" s="1">
        <v>1482</v>
      </c>
      <c r="B1310" s="1">
        <v>0</v>
      </c>
      <c r="C1310" s="1">
        <v>15</v>
      </c>
      <c r="D1310" s="1">
        <v>5</v>
      </c>
      <c r="E1310" s="1">
        <v>3</v>
      </c>
      <c r="F1310" s="1">
        <v>4</v>
      </c>
      <c r="G1310" s="1">
        <v>6</v>
      </c>
      <c r="H1310" s="1">
        <v>0</v>
      </c>
      <c r="I1310" s="1">
        <v>0</v>
      </c>
      <c r="J1310" s="1">
        <v>3</v>
      </c>
    </row>
    <row r="1311" spans="1:10" x14ac:dyDescent="0.2">
      <c r="A1311" s="1">
        <v>381</v>
      </c>
      <c r="B1311" s="1">
        <v>0</v>
      </c>
      <c r="C1311" s="1">
        <v>19</v>
      </c>
      <c r="D1311" s="1">
        <v>1</v>
      </c>
      <c r="E1311" s="1">
        <v>3</v>
      </c>
      <c r="F1311" s="1">
        <v>5</v>
      </c>
      <c r="G1311" s="1">
        <v>6</v>
      </c>
      <c r="H1311" s="1">
        <v>0</v>
      </c>
      <c r="I1311" s="1">
        <v>3</v>
      </c>
      <c r="J1311" s="1">
        <v>3</v>
      </c>
    </row>
    <row r="1312" spans="1:10" x14ac:dyDescent="0.2">
      <c r="A1312" s="1">
        <v>803</v>
      </c>
      <c r="B1312" s="1">
        <v>0</v>
      </c>
      <c r="C1312" s="1">
        <v>18</v>
      </c>
      <c r="D1312" s="1">
        <v>4</v>
      </c>
      <c r="E1312" s="1">
        <v>1</v>
      </c>
      <c r="F1312" s="1">
        <v>6</v>
      </c>
      <c r="G1312" s="1">
        <v>6</v>
      </c>
      <c r="H1312" s="1">
        <v>1</v>
      </c>
      <c r="I1312" s="1">
        <v>2</v>
      </c>
      <c r="J1312" s="1">
        <v>3</v>
      </c>
    </row>
    <row r="1313" spans="1:10" x14ac:dyDescent="0.2">
      <c r="A1313" s="1">
        <v>2311</v>
      </c>
      <c r="B1313" s="1">
        <v>0</v>
      </c>
      <c r="C1313" s="1">
        <v>19</v>
      </c>
      <c r="D1313" s="1">
        <v>2</v>
      </c>
      <c r="E1313" s="1">
        <v>1</v>
      </c>
      <c r="F1313" s="1">
        <v>6</v>
      </c>
      <c r="G1313" s="1">
        <v>6</v>
      </c>
      <c r="H1313" s="1">
        <v>1</v>
      </c>
      <c r="I1313" s="1">
        <v>2</v>
      </c>
      <c r="J1313" s="1">
        <v>3</v>
      </c>
    </row>
    <row r="1314" spans="1:10" x14ac:dyDescent="0.2">
      <c r="A1314" s="1">
        <v>1603</v>
      </c>
      <c r="B1314" s="1">
        <v>0</v>
      </c>
      <c r="C1314" s="1">
        <v>20</v>
      </c>
      <c r="D1314" s="1">
        <v>4</v>
      </c>
      <c r="E1314" s="1">
        <v>1</v>
      </c>
      <c r="F1314" s="1">
        <v>6</v>
      </c>
      <c r="G1314" s="1">
        <v>6</v>
      </c>
      <c r="H1314" s="1">
        <v>0</v>
      </c>
      <c r="I1314" s="1">
        <v>1</v>
      </c>
      <c r="J1314" s="1">
        <v>3</v>
      </c>
    </row>
    <row r="1315" spans="1:10" x14ac:dyDescent="0.2">
      <c r="A1315" s="1">
        <v>1920</v>
      </c>
      <c r="B1315" s="1">
        <v>0</v>
      </c>
      <c r="C1315" s="1">
        <v>8</v>
      </c>
      <c r="D1315" s="1">
        <v>3</v>
      </c>
      <c r="E1315" s="1">
        <v>2</v>
      </c>
      <c r="F1315" s="1">
        <v>6</v>
      </c>
      <c r="G1315" s="1">
        <v>6</v>
      </c>
      <c r="H1315" s="1">
        <v>0</v>
      </c>
      <c r="I1315" s="1">
        <v>2</v>
      </c>
      <c r="J1315" s="1">
        <v>3</v>
      </c>
    </row>
    <row r="1316" spans="1:10" x14ac:dyDescent="0.2">
      <c r="A1316" s="1">
        <v>1691</v>
      </c>
      <c r="B1316" s="1">
        <v>0</v>
      </c>
      <c r="C1316" s="1">
        <v>13</v>
      </c>
      <c r="D1316" s="1">
        <v>3</v>
      </c>
      <c r="E1316" s="1">
        <v>2</v>
      </c>
      <c r="F1316" s="1">
        <v>6</v>
      </c>
      <c r="G1316" s="1">
        <v>6</v>
      </c>
      <c r="H1316" s="1">
        <v>1</v>
      </c>
      <c r="I1316" s="1">
        <v>0</v>
      </c>
      <c r="J1316" s="1">
        <v>3</v>
      </c>
    </row>
    <row r="1317" spans="1:10" x14ac:dyDescent="0.2">
      <c r="A1317" s="1">
        <v>100</v>
      </c>
      <c r="B1317" s="1">
        <v>0</v>
      </c>
      <c r="C1317" s="1">
        <v>19</v>
      </c>
      <c r="D1317" s="1">
        <v>1</v>
      </c>
      <c r="E1317" s="1">
        <v>2</v>
      </c>
      <c r="F1317" s="1">
        <v>6</v>
      </c>
      <c r="G1317" s="1">
        <v>6</v>
      </c>
      <c r="H1317" s="1">
        <v>1</v>
      </c>
      <c r="I1317" s="1">
        <v>0</v>
      </c>
      <c r="J1317" s="1">
        <v>3</v>
      </c>
    </row>
    <row r="1318" spans="1:10" x14ac:dyDescent="0.2">
      <c r="A1318" s="1">
        <v>1035</v>
      </c>
      <c r="B1318" s="1">
        <v>0</v>
      </c>
      <c r="C1318" s="1">
        <v>19</v>
      </c>
      <c r="D1318" s="1">
        <v>5</v>
      </c>
      <c r="E1318" s="1">
        <v>2</v>
      </c>
      <c r="F1318" s="1">
        <v>6</v>
      </c>
      <c r="G1318" s="1">
        <v>6</v>
      </c>
      <c r="H1318" s="1">
        <v>1</v>
      </c>
      <c r="I1318" s="1">
        <v>2</v>
      </c>
      <c r="J1318" s="1">
        <v>3</v>
      </c>
    </row>
    <row r="1319" spans="1:10" x14ac:dyDescent="0.2">
      <c r="A1319" s="1">
        <v>2345</v>
      </c>
      <c r="B1319" s="1">
        <v>0</v>
      </c>
      <c r="C1319" s="1">
        <v>19</v>
      </c>
      <c r="D1319" s="1">
        <v>5</v>
      </c>
      <c r="E1319" s="1">
        <v>3</v>
      </c>
      <c r="F1319" s="1">
        <v>6</v>
      </c>
      <c r="G1319" s="1">
        <v>6</v>
      </c>
      <c r="H1319" s="1">
        <v>1</v>
      </c>
      <c r="I1319" s="1">
        <v>2</v>
      </c>
      <c r="J1319" s="1">
        <v>3</v>
      </c>
    </row>
    <row r="1320" spans="1:10" x14ac:dyDescent="0.2">
      <c r="A1320" s="1">
        <v>2195</v>
      </c>
      <c r="B1320" s="1">
        <v>0</v>
      </c>
      <c r="C1320" s="1">
        <v>8</v>
      </c>
      <c r="D1320" s="1">
        <v>5</v>
      </c>
      <c r="E1320" s="1">
        <v>2</v>
      </c>
      <c r="F1320" s="1">
        <v>7</v>
      </c>
      <c r="G1320" s="1">
        <v>6</v>
      </c>
      <c r="H1320" s="1">
        <v>1</v>
      </c>
      <c r="I1320" s="1">
        <v>3</v>
      </c>
      <c r="J1320" s="1">
        <v>3</v>
      </c>
    </row>
    <row r="1321" spans="1:10" x14ac:dyDescent="0.2">
      <c r="A1321" s="1">
        <v>1608</v>
      </c>
      <c r="B1321" s="1">
        <v>0</v>
      </c>
      <c r="C1321" s="1">
        <v>11</v>
      </c>
      <c r="D1321" s="1">
        <v>1</v>
      </c>
      <c r="E1321" s="1">
        <v>3</v>
      </c>
      <c r="F1321" s="1">
        <v>7</v>
      </c>
      <c r="G1321" s="1">
        <v>6</v>
      </c>
      <c r="H1321" s="1">
        <v>1</v>
      </c>
      <c r="I1321" s="1">
        <v>1</v>
      </c>
      <c r="J1321" s="1">
        <v>3</v>
      </c>
    </row>
    <row r="1322" spans="1:10" x14ac:dyDescent="0.2">
      <c r="A1322" s="1">
        <v>2064</v>
      </c>
      <c r="B1322" s="1">
        <v>0</v>
      </c>
      <c r="C1322" s="1">
        <v>7</v>
      </c>
      <c r="D1322" s="1">
        <v>5</v>
      </c>
      <c r="E1322" s="1">
        <v>2</v>
      </c>
      <c r="F1322" s="1">
        <v>8</v>
      </c>
      <c r="G1322" s="1">
        <v>6</v>
      </c>
      <c r="H1322" s="1">
        <v>1</v>
      </c>
      <c r="I1322" s="1">
        <v>2</v>
      </c>
      <c r="J1322" s="1">
        <v>3</v>
      </c>
    </row>
    <row r="1323" spans="1:10" x14ac:dyDescent="0.2">
      <c r="A1323" s="1">
        <v>859</v>
      </c>
      <c r="B1323" s="1">
        <v>0</v>
      </c>
      <c r="C1323" s="1">
        <v>15</v>
      </c>
      <c r="D1323" s="1">
        <v>3</v>
      </c>
      <c r="E1323" s="1">
        <v>2</v>
      </c>
      <c r="F1323" s="1">
        <v>8</v>
      </c>
      <c r="G1323" s="1">
        <v>6</v>
      </c>
      <c r="H1323" s="1">
        <v>1</v>
      </c>
      <c r="I1323" s="1">
        <v>0</v>
      </c>
      <c r="J1323" s="1">
        <v>3</v>
      </c>
    </row>
    <row r="1324" spans="1:10" x14ac:dyDescent="0.2">
      <c r="A1324" s="1">
        <v>1751</v>
      </c>
      <c r="B1324" s="1">
        <v>0</v>
      </c>
      <c r="C1324" s="1">
        <v>17</v>
      </c>
      <c r="D1324" s="1">
        <v>5</v>
      </c>
      <c r="E1324" s="1">
        <v>2</v>
      </c>
      <c r="F1324" s="1">
        <v>8</v>
      </c>
      <c r="G1324" s="1">
        <v>6</v>
      </c>
      <c r="H1324" s="1">
        <v>0</v>
      </c>
      <c r="I1324" s="1">
        <v>2</v>
      </c>
      <c r="J1324" s="1">
        <v>3</v>
      </c>
    </row>
    <row r="1325" spans="1:10" x14ac:dyDescent="0.2">
      <c r="A1325" s="1">
        <v>857</v>
      </c>
      <c r="B1325" s="1">
        <v>0</v>
      </c>
      <c r="C1325" s="1">
        <v>19</v>
      </c>
      <c r="D1325" s="1">
        <v>3</v>
      </c>
      <c r="E1325" s="1">
        <v>2</v>
      </c>
      <c r="F1325" s="1">
        <v>8</v>
      </c>
      <c r="G1325" s="1">
        <v>6</v>
      </c>
      <c r="H1325" s="1">
        <v>0</v>
      </c>
      <c r="I1325" s="1">
        <v>1</v>
      </c>
      <c r="J1325" s="1">
        <v>3</v>
      </c>
    </row>
    <row r="1326" spans="1:10" x14ac:dyDescent="0.2">
      <c r="A1326" s="1">
        <v>1983</v>
      </c>
      <c r="B1326" s="1">
        <v>0</v>
      </c>
      <c r="C1326" s="1">
        <v>13</v>
      </c>
      <c r="D1326" s="1">
        <v>4</v>
      </c>
      <c r="E1326" s="1">
        <v>3</v>
      </c>
      <c r="F1326" s="1">
        <v>8</v>
      </c>
      <c r="G1326" s="1">
        <v>6</v>
      </c>
      <c r="H1326" s="1">
        <v>0</v>
      </c>
      <c r="I1326" s="1">
        <v>2</v>
      </c>
      <c r="J1326" s="1">
        <v>3</v>
      </c>
    </row>
    <row r="1327" spans="1:10" x14ac:dyDescent="0.2">
      <c r="A1327" s="1">
        <v>2431</v>
      </c>
      <c r="B1327" s="1">
        <v>0</v>
      </c>
      <c r="C1327" s="1">
        <v>9</v>
      </c>
      <c r="D1327" s="1">
        <v>2</v>
      </c>
      <c r="E1327" s="1">
        <v>2</v>
      </c>
      <c r="F1327" s="1">
        <v>9</v>
      </c>
      <c r="G1327" s="1">
        <v>6</v>
      </c>
      <c r="H1327" s="1">
        <v>1</v>
      </c>
      <c r="I1327" s="1">
        <v>3</v>
      </c>
      <c r="J1327" s="1">
        <v>3</v>
      </c>
    </row>
    <row r="1328" spans="1:10" x14ac:dyDescent="0.2">
      <c r="A1328" s="1">
        <v>432</v>
      </c>
      <c r="B1328" s="1">
        <v>0</v>
      </c>
      <c r="C1328" s="1">
        <v>16</v>
      </c>
      <c r="D1328" s="1">
        <v>4</v>
      </c>
      <c r="E1328" s="1">
        <v>2</v>
      </c>
      <c r="F1328" s="1">
        <v>9</v>
      </c>
      <c r="G1328" s="1">
        <v>6</v>
      </c>
      <c r="H1328" s="1">
        <v>1</v>
      </c>
      <c r="I1328" s="1">
        <v>3</v>
      </c>
      <c r="J1328" s="1">
        <v>3</v>
      </c>
    </row>
    <row r="1329" spans="1:10" x14ac:dyDescent="0.2">
      <c r="A1329" s="1">
        <v>1824</v>
      </c>
      <c r="B1329" s="1">
        <v>0</v>
      </c>
      <c r="C1329" s="1">
        <v>16</v>
      </c>
      <c r="D1329" s="1">
        <v>1</v>
      </c>
      <c r="E1329" s="1">
        <v>2</v>
      </c>
      <c r="F1329" s="1">
        <v>9</v>
      </c>
      <c r="G1329" s="1">
        <v>6</v>
      </c>
      <c r="H1329" s="1">
        <v>0</v>
      </c>
      <c r="I1329" s="1">
        <v>1</v>
      </c>
      <c r="J1329" s="1">
        <v>3</v>
      </c>
    </row>
    <row r="1330" spans="1:10" x14ac:dyDescent="0.2">
      <c r="A1330" s="1">
        <v>1923</v>
      </c>
      <c r="B1330" s="1">
        <v>0</v>
      </c>
      <c r="C1330" s="1">
        <v>19</v>
      </c>
      <c r="D1330" s="1">
        <v>3</v>
      </c>
      <c r="E1330" s="1">
        <v>2</v>
      </c>
      <c r="F1330" s="1">
        <v>9</v>
      </c>
      <c r="G1330" s="1">
        <v>6</v>
      </c>
      <c r="H1330" s="1">
        <v>0</v>
      </c>
      <c r="I1330" s="1">
        <v>1</v>
      </c>
      <c r="J1330" s="1">
        <v>3</v>
      </c>
    </row>
    <row r="1331" spans="1:10" x14ac:dyDescent="0.2">
      <c r="A1331" s="1">
        <v>1619</v>
      </c>
      <c r="B1331" s="1">
        <v>0</v>
      </c>
      <c r="C1331" s="1">
        <v>11</v>
      </c>
      <c r="D1331" s="1">
        <v>5</v>
      </c>
      <c r="E1331" s="1">
        <v>3</v>
      </c>
      <c r="F1331" s="1">
        <v>9</v>
      </c>
      <c r="G1331" s="1">
        <v>6</v>
      </c>
      <c r="H1331" s="1">
        <v>1</v>
      </c>
      <c r="I1331" s="1">
        <v>0</v>
      </c>
      <c r="J1331" s="1">
        <v>3</v>
      </c>
    </row>
    <row r="1332" spans="1:10" x14ac:dyDescent="0.2">
      <c r="A1332" s="1">
        <v>241</v>
      </c>
      <c r="B1332" s="1">
        <v>0</v>
      </c>
      <c r="C1332" s="1">
        <v>5</v>
      </c>
      <c r="D1332" s="1">
        <v>2</v>
      </c>
      <c r="E1332" s="1">
        <v>2</v>
      </c>
      <c r="F1332" s="1">
        <v>10</v>
      </c>
      <c r="G1332" s="1">
        <v>6</v>
      </c>
      <c r="H1332" s="1">
        <v>1</v>
      </c>
      <c r="I1332" s="1">
        <v>1</v>
      </c>
      <c r="J1332" s="1">
        <v>3</v>
      </c>
    </row>
    <row r="1333" spans="1:10" x14ac:dyDescent="0.2">
      <c r="A1333" s="1">
        <v>1287</v>
      </c>
      <c r="B1333" s="1">
        <v>0</v>
      </c>
      <c r="C1333" s="1">
        <v>9</v>
      </c>
      <c r="D1333" s="1">
        <v>3</v>
      </c>
      <c r="E1333" s="1">
        <v>2</v>
      </c>
      <c r="F1333" s="1">
        <v>10</v>
      </c>
      <c r="G1333" s="1">
        <v>6</v>
      </c>
      <c r="H1333" s="1">
        <v>1</v>
      </c>
      <c r="I1333" s="1">
        <v>2</v>
      </c>
      <c r="J1333" s="1">
        <v>3</v>
      </c>
    </row>
    <row r="1334" spans="1:10" x14ac:dyDescent="0.2">
      <c r="A1334" s="1">
        <v>895</v>
      </c>
      <c r="B1334" s="1">
        <v>0</v>
      </c>
      <c r="C1334" s="1">
        <v>16</v>
      </c>
      <c r="D1334" s="1">
        <v>5</v>
      </c>
      <c r="E1334" s="1">
        <v>2</v>
      </c>
      <c r="F1334" s="1">
        <v>10</v>
      </c>
      <c r="G1334" s="1">
        <v>6</v>
      </c>
      <c r="H1334" s="1">
        <v>1</v>
      </c>
      <c r="I1334" s="1">
        <v>2</v>
      </c>
      <c r="J1334" s="1">
        <v>3</v>
      </c>
    </row>
    <row r="1335" spans="1:10" x14ac:dyDescent="0.2">
      <c r="A1335" s="1">
        <v>1358</v>
      </c>
      <c r="B1335" s="1">
        <v>0</v>
      </c>
      <c r="C1335" s="1">
        <v>20</v>
      </c>
      <c r="D1335" s="1">
        <v>5</v>
      </c>
      <c r="E1335" s="1">
        <v>2</v>
      </c>
      <c r="F1335" s="1">
        <v>10</v>
      </c>
      <c r="G1335" s="1">
        <v>6</v>
      </c>
      <c r="H1335" s="1">
        <v>1</v>
      </c>
      <c r="I1335" s="1">
        <v>2</v>
      </c>
      <c r="J1335" s="1">
        <v>3</v>
      </c>
    </row>
    <row r="1336" spans="1:10" x14ac:dyDescent="0.2">
      <c r="A1336" s="1">
        <v>1336</v>
      </c>
      <c r="B1336" s="1">
        <v>0</v>
      </c>
      <c r="C1336" s="1">
        <v>7</v>
      </c>
      <c r="D1336" s="1">
        <v>3</v>
      </c>
      <c r="E1336" s="1">
        <v>3</v>
      </c>
      <c r="F1336" s="1">
        <v>10</v>
      </c>
      <c r="G1336" s="1">
        <v>6</v>
      </c>
      <c r="H1336" s="1">
        <v>0</v>
      </c>
      <c r="I1336" s="1">
        <v>1</v>
      </c>
      <c r="J1336" s="1">
        <v>3</v>
      </c>
    </row>
    <row r="1337" spans="1:10" x14ac:dyDescent="0.2">
      <c r="A1337" s="1">
        <v>487</v>
      </c>
      <c r="B1337" s="1">
        <v>0</v>
      </c>
      <c r="C1337" s="1">
        <v>11</v>
      </c>
      <c r="D1337" s="1">
        <v>4</v>
      </c>
      <c r="E1337" s="1">
        <v>3</v>
      </c>
      <c r="F1337" s="1">
        <v>10</v>
      </c>
      <c r="G1337" s="1">
        <v>6</v>
      </c>
      <c r="H1337" s="1">
        <v>0</v>
      </c>
      <c r="I1337" s="1">
        <v>0</v>
      </c>
      <c r="J1337" s="1">
        <v>3</v>
      </c>
    </row>
    <row r="1338" spans="1:10" x14ac:dyDescent="0.2">
      <c r="A1338" s="1">
        <v>2238</v>
      </c>
      <c r="B1338" s="1">
        <v>0</v>
      </c>
      <c r="C1338" s="1">
        <v>5</v>
      </c>
      <c r="D1338" s="1">
        <v>4</v>
      </c>
      <c r="E1338" s="1">
        <v>1</v>
      </c>
      <c r="F1338" s="1">
        <v>1</v>
      </c>
      <c r="G1338" s="1">
        <v>6</v>
      </c>
      <c r="H1338" s="1">
        <v>0</v>
      </c>
      <c r="I1338" s="1">
        <v>0</v>
      </c>
      <c r="J1338" s="1">
        <v>4</v>
      </c>
    </row>
    <row r="1339" spans="1:10" x14ac:dyDescent="0.2">
      <c r="A1339" s="1">
        <v>370</v>
      </c>
      <c r="B1339" s="1">
        <v>0</v>
      </c>
      <c r="C1339" s="1">
        <v>12</v>
      </c>
      <c r="D1339" s="1">
        <v>2</v>
      </c>
      <c r="E1339" s="1">
        <v>1</v>
      </c>
      <c r="F1339" s="1">
        <v>1</v>
      </c>
      <c r="G1339" s="1">
        <v>6</v>
      </c>
      <c r="H1339" s="1">
        <v>1</v>
      </c>
      <c r="I1339" s="1">
        <v>0</v>
      </c>
      <c r="J1339" s="1">
        <v>4</v>
      </c>
    </row>
    <row r="1340" spans="1:10" x14ac:dyDescent="0.2">
      <c r="A1340" s="1">
        <v>1190</v>
      </c>
      <c r="B1340" s="1">
        <v>0</v>
      </c>
      <c r="C1340" s="1">
        <v>16</v>
      </c>
      <c r="D1340" s="1">
        <v>3</v>
      </c>
      <c r="E1340" s="1">
        <v>1</v>
      </c>
      <c r="F1340" s="1">
        <v>1</v>
      </c>
      <c r="G1340" s="1">
        <v>6</v>
      </c>
      <c r="H1340" s="1">
        <v>0</v>
      </c>
      <c r="I1340" s="1">
        <v>1</v>
      </c>
      <c r="J1340" s="1">
        <v>4</v>
      </c>
    </row>
    <row r="1341" spans="1:10" x14ac:dyDescent="0.2">
      <c r="A1341" s="1">
        <v>1205</v>
      </c>
      <c r="B1341" s="1">
        <v>0</v>
      </c>
      <c r="C1341" s="1">
        <v>19</v>
      </c>
      <c r="D1341" s="1">
        <v>1</v>
      </c>
      <c r="E1341" s="1">
        <v>1</v>
      </c>
      <c r="F1341" s="1">
        <v>1</v>
      </c>
      <c r="G1341" s="1">
        <v>6</v>
      </c>
      <c r="H1341" s="1">
        <v>0</v>
      </c>
      <c r="I1341" s="1">
        <v>3</v>
      </c>
      <c r="J1341" s="1">
        <v>4</v>
      </c>
    </row>
    <row r="1342" spans="1:10" x14ac:dyDescent="0.2">
      <c r="A1342" s="1">
        <v>1246</v>
      </c>
      <c r="B1342" s="1">
        <v>0</v>
      </c>
      <c r="C1342" s="1">
        <v>12</v>
      </c>
      <c r="D1342" s="1">
        <v>4</v>
      </c>
      <c r="E1342" s="1">
        <v>2</v>
      </c>
      <c r="F1342" s="1">
        <v>1</v>
      </c>
      <c r="G1342" s="1">
        <v>6</v>
      </c>
      <c r="H1342" s="1">
        <v>0</v>
      </c>
      <c r="I1342" s="1">
        <v>3</v>
      </c>
      <c r="J1342" s="1">
        <v>4</v>
      </c>
    </row>
    <row r="1343" spans="1:10" x14ac:dyDescent="0.2">
      <c r="A1343" s="1">
        <v>402</v>
      </c>
      <c r="B1343" s="1">
        <v>0</v>
      </c>
      <c r="C1343" s="1">
        <v>16</v>
      </c>
      <c r="D1343" s="1">
        <v>3</v>
      </c>
      <c r="E1343" s="1">
        <v>2</v>
      </c>
      <c r="F1343" s="1">
        <v>1</v>
      </c>
      <c r="G1343" s="1">
        <v>6</v>
      </c>
      <c r="H1343" s="1">
        <v>0</v>
      </c>
      <c r="I1343" s="1">
        <v>0</v>
      </c>
      <c r="J1343" s="1">
        <v>4</v>
      </c>
    </row>
    <row r="1344" spans="1:10" x14ac:dyDescent="0.2">
      <c r="A1344" s="1">
        <v>1924</v>
      </c>
      <c r="B1344" s="1">
        <v>0</v>
      </c>
      <c r="C1344" s="1">
        <v>18</v>
      </c>
      <c r="D1344" s="1">
        <v>5</v>
      </c>
      <c r="E1344" s="1">
        <v>2</v>
      </c>
      <c r="F1344" s="1">
        <v>1</v>
      </c>
      <c r="G1344" s="1">
        <v>6</v>
      </c>
      <c r="H1344" s="1">
        <v>1</v>
      </c>
      <c r="I1344" s="1">
        <v>2</v>
      </c>
      <c r="J1344" s="1">
        <v>4</v>
      </c>
    </row>
    <row r="1345" spans="1:10" x14ac:dyDescent="0.2">
      <c r="A1345" s="1">
        <v>346</v>
      </c>
      <c r="B1345" s="1">
        <v>0</v>
      </c>
      <c r="C1345" s="1">
        <v>5</v>
      </c>
      <c r="D1345" s="1">
        <v>1</v>
      </c>
      <c r="E1345" s="1">
        <v>3</v>
      </c>
      <c r="F1345" s="1">
        <v>1</v>
      </c>
      <c r="G1345" s="1">
        <v>6</v>
      </c>
      <c r="H1345" s="1">
        <v>0</v>
      </c>
      <c r="I1345" s="1">
        <v>1</v>
      </c>
      <c r="J1345" s="1">
        <v>4</v>
      </c>
    </row>
    <row r="1346" spans="1:10" x14ac:dyDescent="0.2">
      <c r="A1346" s="1">
        <v>1713</v>
      </c>
      <c r="B1346" s="1">
        <v>0</v>
      </c>
      <c r="C1346" s="1">
        <v>19</v>
      </c>
      <c r="D1346" s="1">
        <v>5</v>
      </c>
      <c r="E1346" s="1">
        <v>3</v>
      </c>
      <c r="F1346" s="1">
        <v>1</v>
      </c>
      <c r="G1346" s="1">
        <v>6</v>
      </c>
      <c r="H1346" s="1">
        <v>1</v>
      </c>
      <c r="I1346" s="1">
        <v>0</v>
      </c>
      <c r="J1346" s="1">
        <v>4</v>
      </c>
    </row>
    <row r="1347" spans="1:10" x14ac:dyDescent="0.2">
      <c r="A1347" s="1">
        <v>2348</v>
      </c>
      <c r="B1347" s="1">
        <v>0</v>
      </c>
      <c r="C1347" s="1">
        <v>17</v>
      </c>
      <c r="D1347" s="1">
        <v>2</v>
      </c>
      <c r="E1347" s="1">
        <v>1</v>
      </c>
      <c r="F1347" s="1">
        <v>2</v>
      </c>
      <c r="G1347" s="1">
        <v>6</v>
      </c>
      <c r="H1347" s="1">
        <v>1</v>
      </c>
      <c r="I1347" s="1">
        <v>2</v>
      </c>
      <c r="J1347" s="1">
        <v>4</v>
      </c>
    </row>
    <row r="1348" spans="1:10" x14ac:dyDescent="0.2">
      <c r="A1348" s="1">
        <v>1797</v>
      </c>
      <c r="B1348" s="1">
        <v>0</v>
      </c>
      <c r="C1348" s="1">
        <v>20</v>
      </c>
      <c r="D1348" s="1">
        <v>2</v>
      </c>
      <c r="E1348" s="1">
        <v>1</v>
      </c>
      <c r="F1348" s="1">
        <v>2</v>
      </c>
      <c r="G1348" s="1">
        <v>6</v>
      </c>
      <c r="H1348" s="1">
        <v>1</v>
      </c>
      <c r="I1348" s="1">
        <v>2</v>
      </c>
      <c r="J1348" s="1">
        <v>4</v>
      </c>
    </row>
    <row r="1349" spans="1:10" x14ac:dyDescent="0.2">
      <c r="A1349" s="1">
        <v>1975</v>
      </c>
      <c r="B1349" s="1">
        <v>0</v>
      </c>
      <c r="C1349" s="1">
        <v>5</v>
      </c>
      <c r="D1349" s="1">
        <v>3</v>
      </c>
      <c r="E1349" s="1">
        <v>2</v>
      </c>
      <c r="F1349" s="1">
        <v>2</v>
      </c>
      <c r="G1349" s="1">
        <v>6</v>
      </c>
      <c r="H1349" s="1">
        <v>1</v>
      </c>
      <c r="I1349" s="1">
        <v>2</v>
      </c>
      <c r="J1349" s="1">
        <v>4</v>
      </c>
    </row>
    <row r="1350" spans="1:10" x14ac:dyDescent="0.2">
      <c r="A1350" s="1">
        <v>72</v>
      </c>
      <c r="B1350" s="1">
        <v>0</v>
      </c>
      <c r="C1350" s="1">
        <v>10</v>
      </c>
      <c r="D1350" s="1">
        <v>5</v>
      </c>
      <c r="E1350" s="1">
        <v>3</v>
      </c>
      <c r="F1350" s="1">
        <v>2</v>
      </c>
      <c r="G1350" s="1">
        <v>6</v>
      </c>
      <c r="H1350" s="1">
        <v>0</v>
      </c>
      <c r="I1350" s="1">
        <v>1</v>
      </c>
      <c r="J1350" s="1">
        <v>4</v>
      </c>
    </row>
    <row r="1351" spans="1:10" x14ac:dyDescent="0.2">
      <c r="A1351" s="1">
        <v>638</v>
      </c>
      <c r="B1351" s="1">
        <v>0</v>
      </c>
      <c r="C1351" s="1">
        <v>11</v>
      </c>
      <c r="D1351" s="1">
        <v>1</v>
      </c>
      <c r="E1351" s="1">
        <v>3</v>
      </c>
      <c r="F1351" s="1">
        <v>2</v>
      </c>
      <c r="G1351" s="1">
        <v>6</v>
      </c>
      <c r="H1351" s="1">
        <v>0</v>
      </c>
      <c r="I1351" s="1">
        <v>0</v>
      </c>
      <c r="J1351" s="1">
        <v>4</v>
      </c>
    </row>
    <row r="1352" spans="1:10" x14ac:dyDescent="0.2">
      <c r="A1352" s="1">
        <v>1469</v>
      </c>
      <c r="B1352" s="1">
        <v>0</v>
      </c>
      <c r="C1352" s="1">
        <v>14</v>
      </c>
      <c r="D1352" s="1">
        <v>5</v>
      </c>
      <c r="E1352" s="1">
        <v>3</v>
      </c>
      <c r="F1352" s="1">
        <v>2</v>
      </c>
      <c r="G1352" s="1">
        <v>6</v>
      </c>
      <c r="H1352" s="1">
        <v>1</v>
      </c>
      <c r="I1352" s="1">
        <v>0</v>
      </c>
      <c r="J1352" s="1">
        <v>4</v>
      </c>
    </row>
    <row r="1353" spans="1:10" x14ac:dyDescent="0.2">
      <c r="A1353" s="1">
        <v>2044</v>
      </c>
      <c r="B1353" s="1">
        <v>0</v>
      </c>
      <c r="C1353" s="1">
        <v>14</v>
      </c>
      <c r="D1353" s="1">
        <v>2</v>
      </c>
      <c r="E1353" s="1">
        <v>3</v>
      </c>
      <c r="F1353" s="1">
        <v>2</v>
      </c>
      <c r="G1353" s="1">
        <v>6</v>
      </c>
      <c r="H1353" s="1">
        <v>1</v>
      </c>
      <c r="I1353" s="1">
        <v>1</v>
      </c>
      <c r="J1353" s="1">
        <v>4</v>
      </c>
    </row>
    <row r="1354" spans="1:10" x14ac:dyDescent="0.2">
      <c r="A1354" s="1">
        <v>301</v>
      </c>
      <c r="B1354" s="1">
        <v>0</v>
      </c>
      <c r="C1354" s="1">
        <v>11</v>
      </c>
      <c r="D1354" s="1">
        <v>5</v>
      </c>
      <c r="E1354" s="1">
        <v>2</v>
      </c>
      <c r="F1354" s="1">
        <v>3</v>
      </c>
      <c r="G1354" s="1">
        <v>6</v>
      </c>
      <c r="H1354" s="1">
        <v>0</v>
      </c>
      <c r="I1354" s="1">
        <v>2</v>
      </c>
      <c r="J1354" s="1">
        <v>4</v>
      </c>
    </row>
    <row r="1355" spans="1:10" x14ac:dyDescent="0.2">
      <c r="A1355" s="1">
        <v>863</v>
      </c>
      <c r="B1355" s="1">
        <v>0</v>
      </c>
      <c r="C1355" s="1">
        <v>18</v>
      </c>
      <c r="D1355" s="1">
        <v>3</v>
      </c>
      <c r="E1355" s="1">
        <v>2</v>
      </c>
      <c r="F1355" s="1">
        <v>3</v>
      </c>
      <c r="G1355" s="1">
        <v>6</v>
      </c>
      <c r="H1355" s="1">
        <v>0</v>
      </c>
      <c r="I1355" s="1">
        <v>3</v>
      </c>
      <c r="J1355" s="1">
        <v>4</v>
      </c>
    </row>
    <row r="1356" spans="1:10" x14ac:dyDescent="0.2">
      <c r="A1356" s="1">
        <v>259</v>
      </c>
      <c r="B1356" s="1">
        <v>0</v>
      </c>
      <c r="C1356" s="1">
        <v>20</v>
      </c>
      <c r="D1356" s="1">
        <v>2</v>
      </c>
      <c r="E1356" s="1">
        <v>2</v>
      </c>
      <c r="F1356" s="1">
        <v>3</v>
      </c>
      <c r="G1356" s="1">
        <v>6</v>
      </c>
      <c r="H1356" s="1">
        <v>1</v>
      </c>
      <c r="I1356" s="1">
        <v>3</v>
      </c>
      <c r="J1356" s="1">
        <v>4</v>
      </c>
    </row>
    <row r="1357" spans="1:10" x14ac:dyDescent="0.2">
      <c r="A1357" s="1">
        <v>510</v>
      </c>
      <c r="B1357" s="1">
        <v>0</v>
      </c>
      <c r="C1357" s="1">
        <v>10</v>
      </c>
      <c r="D1357" s="1">
        <v>3</v>
      </c>
      <c r="E1357" s="1">
        <v>3</v>
      </c>
      <c r="F1357" s="1">
        <v>3</v>
      </c>
      <c r="G1357" s="1">
        <v>6</v>
      </c>
      <c r="H1357" s="1">
        <v>1</v>
      </c>
      <c r="I1357" s="1">
        <v>3</v>
      </c>
      <c r="J1357" s="1">
        <v>4</v>
      </c>
    </row>
    <row r="1358" spans="1:10" x14ac:dyDescent="0.2">
      <c r="A1358" s="1">
        <v>133</v>
      </c>
      <c r="B1358" s="1">
        <v>0</v>
      </c>
      <c r="C1358" s="1">
        <v>13</v>
      </c>
      <c r="D1358" s="1">
        <v>3</v>
      </c>
      <c r="E1358" s="1">
        <v>3</v>
      </c>
      <c r="F1358" s="1">
        <v>3</v>
      </c>
      <c r="G1358" s="1">
        <v>6</v>
      </c>
      <c r="H1358" s="1">
        <v>1</v>
      </c>
      <c r="I1358" s="1">
        <v>0</v>
      </c>
      <c r="J1358" s="1">
        <v>4</v>
      </c>
    </row>
    <row r="1359" spans="1:10" x14ac:dyDescent="0.2">
      <c r="A1359" s="1">
        <v>1561</v>
      </c>
      <c r="B1359" s="1">
        <v>0</v>
      </c>
      <c r="C1359" s="1">
        <v>19</v>
      </c>
      <c r="D1359" s="1">
        <v>1</v>
      </c>
      <c r="E1359" s="1">
        <v>3</v>
      </c>
      <c r="F1359" s="1">
        <v>3</v>
      </c>
      <c r="G1359" s="1">
        <v>6</v>
      </c>
      <c r="H1359" s="1">
        <v>0</v>
      </c>
      <c r="I1359" s="1">
        <v>1</v>
      </c>
      <c r="J1359" s="1">
        <v>4</v>
      </c>
    </row>
    <row r="1360" spans="1:10" x14ac:dyDescent="0.2">
      <c r="A1360" s="1">
        <v>383</v>
      </c>
      <c r="B1360" s="1">
        <v>0</v>
      </c>
      <c r="C1360" s="1">
        <v>7</v>
      </c>
      <c r="D1360" s="1">
        <v>2</v>
      </c>
      <c r="E1360" s="1">
        <v>1</v>
      </c>
      <c r="F1360" s="1">
        <v>4</v>
      </c>
      <c r="G1360" s="1">
        <v>6</v>
      </c>
      <c r="H1360" s="1">
        <v>0</v>
      </c>
      <c r="I1360" s="1">
        <v>2</v>
      </c>
      <c r="J1360" s="1">
        <v>4</v>
      </c>
    </row>
    <row r="1361" spans="1:10" x14ac:dyDescent="0.2">
      <c r="A1361" s="1">
        <v>285</v>
      </c>
      <c r="B1361" s="1">
        <v>0</v>
      </c>
      <c r="C1361" s="1">
        <v>12</v>
      </c>
      <c r="D1361" s="1">
        <v>1</v>
      </c>
      <c r="E1361" s="1">
        <v>1</v>
      </c>
      <c r="F1361" s="1">
        <v>4</v>
      </c>
      <c r="G1361" s="1">
        <v>6</v>
      </c>
      <c r="H1361" s="1">
        <v>0</v>
      </c>
      <c r="I1361" s="1">
        <v>3</v>
      </c>
      <c r="J1361" s="1">
        <v>4</v>
      </c>
    </row>
    <row r="1362" spans="1:10" x14ac:dyDescent="0.2">
      <c r="A1362" s="1">
        <v>1472</v>
      </c>
      <c r="B1362" s="1">
        <v>0</v>
      </c>
      <c r="C1362" s="1">
        <v>12</v>
      </c>
      <c r="D1362" s="1">
        <v>3</v>
      </c>
      <c r="E1362" s="1">
        <v>1</v>
      </c>
      <c r="F1362" s="1">
        <v>4</v>
      </c>
      <c r="G1362" s="1">
        <v>6</v>
      </c>
      <c r="H1362" s="1">
        <v>0</v>
      </c>
      <c r="I1362" s="1">
        <v>3</v>
      </c>
      <c r="J1362" s="1">
        <v>4</v>
      </c>
    </row>
    <row r="1363" spans="1:10" x14ac:dyDescent="0.2">
      <c r="A1363" s="1">
        <v>165</v>
      </c>
      <c r="B1363" s="1">
        <v>0</v>
      </c>
      <c r="C1363" s="1">
        <v>16</v>
      </c>
      <c r="D1363" s="1">
        <v>3</v>
      </c>
      <c r="E1363" s="1">
        <v>1</v>
      </c>
      <c r="F1363" s="1">
        <v>4</v>
      </c>
      <c r="G1363" s="1">
        <v>6</v>
      </c>
      <c r="H1363" s="1">
        <v>1</v>
      </c>
      <c r="I1363" s="1">
        <v>1</v>
      </c>
      <c r="J1363" s="1">
        <v>4</v>
      </c>
    </row>
    <row r="1364" spans="1:10" x14ac:dyDescent="0.2">
      <c r="A1364" s="1">
        <v>948</v>
      </c>
      <c r="B1364" s="1">
        <v>0</v>
      </c>
      <c r="C1364" s="1">
        <v>16</v>
      </c>
      <c r="D1364" s="1">
        <v>2</v>
      </c>
      <c r="E1364" s="1">
        <v>1</v>
      </c>
      <c r="F1364" s="1">
        <v>4</v>
      </c>
      <c r="G1364" s="1">
        <v>6</v>
      </c>
      <c r="H1364" s="1">
        <v>1</v>
      </c>
      <c r="I1364" s="1">
        <v>2</v>
      </c>
      <c r="J1364" s="1">
        <v>4</v>
      </c>
    </row>
    <row r="1365" spans="1:10" x14ac:dyDescent="0.2">
      <c r="A1365" s="1">
        <v>533</v>
      </c>
      <c r="B1365" s="1">
        <v>0</v>
      </c>
      <c r="C1365" s="1">
        <v>12</v>
      </c>
      <c r="D1365" s="1">
        <v>4</v>
      </c>
      <c r="E1365" s="1">
        <v>2</v>
      </c>
      <c r="F1365" s="1">
        <v>4</v>
      </c>
      <c r="G1365" s="1">
        <v>6</v>
      </c>
      <c r="H1365" s="1">
        <v>0</v>
      </c>
      <c r="I1365" s="1">
        <v>0</v>
      </c>
      <c r="J1365" s="1">
        <v>4</v>
      </c>
    </row>
    <row r="1366" spans="1:10" x14ac:dyDescent="0.2">
      <c r="A1366" s="1">
        <v>840</v>
      </c>
      <c r="B1366" s="1">
        <v>0</v>
      </c>
      <c r="C1366" s="1">
        <v>13</v>
      </c>
      <c r="D1366" s="1">
        <v>3</v>
      </c>
      <c r="E1366" s="1">
        <v>2</v>
      </c>
      <c r="F1366" s="1">
        <v>4</v>
      </c>
      <c r="G1366" s="1">
        <v>6</v>
      </c>
      <c r="H1366" s="1">
        <v>1</v>
      </c>
      <c r="I1366" s="1">
        <v>3</v>
      </c>
      <c r="J1366" s="1">
        <v>4</v>
      </c>
    </row>
    <row r="1367" spans="1:10" x14ac:dyDescent="0.2">
      <c r="A1367" s="1">
        <v>1679</v>
      </c>
      <c r="B1367" s="1">
        <v>0</v>
      </c>
      <c r="C1367" s="1">
        <v>19</v>
      </c>
      <c r="D1367" s="1">
        <v>2</v>
      </c>
      <c r="E1367" s="1">
        <v>3</v>
      </c>
      <c r="F1367" s="1">
        <v>4</v>
      </c>
      <c r="G1367" s="1">
        <v>6</v>
      </c>
      <c r="H1367" s="1">
        <v>0</v>
      </c>
      <c r="I1367" s="1">
        <v>1</v>
      </c>
      <c r="J1367" s="1">
        <v>4</v>
      </c>
    </row>
    <row r="1368" spans="1:10" x14ac:dyDescent="0.2">
      <c r="A1368" s="1">
        <v>2207</v>
      </c>
      <c r="B1368" s="1">
        <v>0</v>
      </c>
      <c r="C1368" s="1">
        <v>16</v>
      </c>
      <c r="D1368" s="1">
        <v>1</v>
      </c>
      <c r="E1368" s="1">
        <v>2</v>
      </c>
      <c r="F1368" s="1">
        <v>5</v>
      </c>
      <c r="G1368" s="1">
        <v>6</v>
      </c>
      <c r="H1368" s="1">
        <v>1</v>
      </c>
      <c r="I1368" s="1">
        <v>2</v>
      </c>
      <c r="J1368" s="1">
        <v>4</v>
      </c>
    </row>
    <row r="1369" spans="1:10" x14ac:dyDescent="0.2">
      <c r="A1369" s="1">
        <v>1135</v>
      </c>
      <c r="B1369" s="1">
        <v>0</v>
      </c>
      <c r="C1369" s="1">
        <v>16</v>
      </c>
      <c r="D1369" s="1">
        <v>3</v>
      </c>
      <c r="E1369" s="1">
        <v>3</v>
      </c>
      <c r="F1369" s="1">
        <v>5</v>
      </c>
      <c r="G1369" s="1">
        <v>6</v>
      </c>
      <c r="H1369" s="1">
        <v>1</v>
      </c>
      <c r="I1369" s="1">
        <v>1</v>
      </c>
      <c r="J1369" s="1">
        <v>4</v>
      </c>
    </row>
    <row r="1370" spans="1:10" x14ac:dyDescent="0.2">
      <c r="A1370" s="1">
        <v>430</v>
      </c>
      <c r="B1370" s="1">
        <v>0</v>
      </c>
      <c r="C1370" s="1">
        <v>17</v>
      </c>
      <c r="D1370" s="1">
        <v>3</v>
      </c>
      <c r="E1370" s="1">
        <v>3</v>
      </c>
      <c r="F1370" s="1">
        <v>5</v>
      </c>
      <c r="G1370" s="1">
        <v>6</v>
      </c>
      <c r="H1370" s="1">
        <v>0</v>
      </c>
      <c r="I1370" s="1">
        <v>0</v>
      </c>
      <c r="J1370" s="1">
        <v>4</v>
      </c>
    </row>
    <row r="1371" spans="1:10" x14ac:dyDescent="0.2">
      <c r="A1371" s="1">
        <v>1065</v>
      </c>
      <c r="B1371" s="1">
        <v>0</v>
      </c>
      <c r="C1371" s="1">
        <v>20</v>
      </c>
      <c r="D1371" s="1">
        <v>2</v>
      </c>
      <c r="E1371" s="1">
        <v>3</v>
      </c>
      <c r="F1371" s="1">
        <v>5</v>
      </c>
      <c r="G1371" s="1">
        <v>6</v>
      </c>
      <c r="H1371" s="1">
        <v>1</v>
      </c>
      <c r="I1371" s="1">
        <v>1</v>
      </c>
      <c r="J1371" s="1">
        <v>4</v>
      </c>
    </row>
    <row r="1372" spans="1:10" x14ac:dyDescent="0.2">
      <c r="A1372" s="1">
        <v>1075</v>
      </c>
      <c r="B1372" s="1">
        <v>0</v>
      </c>
      <c r="C1372" s="1">
        <v>20</v>
      </c>
      <c r="D1372" s="1">
        <v>4</v>
      </c>
      <c r="E1372" s="1">
        <v>3</v>
      </c>
      <c r="F1372" s="1">
        <v>5</v>
      </c>
      <c r="G1372" s="1">
        <v>6</v>
      </c>
      <c r="H1372" s="1">
        <v>0</v>
      </c>
      <c r="I1372" s="1">
        <v>3</v>
      </c>
      <c r="J1372" s="1">
        <v>4</v>
      </c>
    </row>
    <row r="1373" spans="1:10" x14ac:dyDescent="0.2">
      <c r="A1373" s="1">
        <v>376</v>
      </c>
      <c r="B1373" s="1">
        <v>0</v>
      </c>
      <c r="C1373" s="1">
        <v>18</v>
      </c>
      <c r="D1373" s="1">
        <v>3</v>
      </c>
      <c r="E1373" s="1">
        <v>2</v>
      </c>
      <c r="F1373" s="1">
        <v>6</v>
      </c>
      <c r="G1373" s="1">
        <v>6</v>
      </c>
      <c r="H1373" s="1">
        <v>1</v>
      </c>
      <c r="I1373" s="1">
        <v>2</v>
      </c>
      <c r="J1373" s="1">
        <v>4</v>
      </c>
    </row>
    <row r="1374" spans="1:10" x14ac:dyDescent="0.2">
      <c r="A1374" s="1">
        <v>2338</v>
      </c>
      <c r="B1374" s="1">
        <v>0</v>
      </c>
      <c r="C1374" s="1">
        <v>8</v>
      </c>
      <c r="D1374" s="1">
        <v>1</v>
      </c>
      <c r="E1374" s="1">
        <v>3</v>
      </c>
      <c r="F1374" s="1">
        <v>6</v>
      </c>
      <c r="G1374" s="1">
        <v>6</v>
      </c>
      <c r="H1374" s="1">
        <v>0</v>
      </c>
      <c r="I1374" s="1">
        <v>0</v>
      </c>
      <c r="J1374" s="1">
        <v>4</v>
      </c>
    </row>
    <row r="1375" spans="1:10" x14ac:dyDescent="0.2">
      <c r="A1375" s="1">
        <v>1881</v>
      </c>
      <c r="B1375" s="1">
        <v>0</v>
      </c>
      <c r="C1375" s="1">
        <v>7</v>
      </c>
      <c r="D1375" s="1">
        <v>1</v>
      </c>
      <c r="E1375" s="1">
        <v>2</v>
      </c>
      <c r="F1375" s="1">
        <v>7</v>
      </c>
      <c r="G1375" s="1">
        <v>6</v>
      </c>
      <c r="H1375" s="1">
        <v>1</v>
      </c>
      <c r="I1375" s="1">
        <v>0</v>
      </c>
      <c r="J1375" s="1">
        <v>4</v>
      </c>
    </row>
    <row r="1376" spans="1:10" x14ac:dyDescent="0.2">
      <c r="A1376" s="1">
        <v>2239</v>
      </c>
      <c r="B1376" s="1">
        <v>0</v>
      </c>
      <c r="C1376" s="1">
        <v>18</v>
      </c>
      <c r="D1376" s="1">
        <v>5</v>
      </c>
      <c r="E1376" s="1">
        <v>2</v>
      </c>
      <c r="F1376" s="1">
        <v>7</v>
      </c>
      <c r="G1376" s="1">
        <v>6</v>
      </c>
      <c r="H1376" s="1">
        <v>1</v>
      </c>
      <c r="I1376" s="1">
        <v>3</v>
      </c>
      <c r="J1376" s="1">
        <v>4</v>
      </c>
    </row>
    <row r="1377" spans="1:10" x14ac:dyDescent="0.2">
      <c r="A1377" s="1">
        <v>536</v>
      </c>
      <c r="B1377" s="1">
        <v>0</v>
      </c>
      <c r="C1377" s="1">
        <v>14</v>
      </c>
      <c r="D1377" s="1">
        <v>4</v>
      </c>
      <c r="E1377" s="1">
        <v>3</v>
      </c>
      <c r="F1377" s="1">
        <v>7</v>
      </c>
      <c r="G1377" s="1">
        <v>6</v>
      </c>
      <c r="H1377" s="1">
        <v>0</v>
      </c>
      <c r="I1377" s="1">
        <v>1</v>
      </c>
      <c r="J1377" s="1">
        <v>4</v>
      </c>
    </row>
    <row r="1378" spans="1:10" x14ac:dyDescent="0.2">
      <c r="A1378" s="1">
        <v>1070</v>
      </c>
      <c r="B1378" s="1">
        <v>0</v>
      </c>
      <c r="C1378" s="1">
        <v>14</v>
      </c>
      <c r="D1378" s="1">
        <v>5</v>
      </c>
      <c r="E1378" s="1">
        <v>3</v>
      </c>
      <c r="F1378" s="1">
        <v>7</v>
      </c>
      <c r="G1378" s="1">
        <v>6</v>
      </c>
      <c r="H1378" s="1">
        <v>0</v>
      </c>
      <c r="I1378" s="1">
        <v>1</v>
      </c>
      <c r="J1378" s="1">
        <v>4</v>
      </c>
    </row>
    <row r="1379" spans="1:10" x14ac:dyDescent="0.2">
      <c r="A1379" s="1">
        <v>1765</v>
      </c>
      <c r="B1379" s="1">
        <v>0</v>
      </c>
      <c r="C1379" s="1">
        <v>8</v>
      </c>
      <c r="D1379" s="1">
        <v>4</v>
      </c>
      <c r="E1379" s="1">
        <v>3</v>
      </c>
      <c r="F1379" s="1">
        <v>8</v>
      </c>
      <c r="G1379" s="1">
        <v>6</v>
      </c>
      <c r="H1379" s="1">
        <v>1</v>
      </c>
      <c r="I1379" s="1">
        <v>1</v>
      </c>
      <c r="J1379" s="1">
        <v>4</v>
      </c>
    </row>
    <row r="1380" spans="1:10" x14ac:dyDescent="0.2">
      <c r="A1380" s="1">
        <v>1606</v>
      </c>
      <c r="B1380" s="1">
        <v>0</v>
      </c>
      <c r="C1380" s="1">
        <v>10</v>
      </c>
      <c r="D1380" s="1">
        <v>5</v>
      </c>
      <c r="E1380" s="1">
        <v>3</v>
      </c>
      <c r="F1380" s="1">
        <v>8</v>
      </c>
      <c r="G1380" s="1">
        <v>6</v>
      </c>
      <c r="H1380" s="1">
        <v>0</v>
      </c>
      <c r="I1380" s="1">
        <v>1</v>
      </c>
      <c r="J1380" s="1">
        <v>4</v>
      </c>
    </row>
    <row r="1381" spans="1:10" x14ac:dyDescent="0.2">
      <c r="A1381" s="1">
        <v>1592</v>
      </c>
      <c r="B1381" s="1">
        <v>0</v>
      </c>
      <c r="C1381" s="1">
        <v>5</v>
      </c>
      <c r="D1381" s="1">
        <v>1</v>
      </c>
      <c r="E1381" s="1">
        <v>2</v>
      </c>
      <c r="F1381" s="1">
        <v>9</v>
      </c>
      <c r="G1381" s="1">
        <v>6</v>
      </c>
      <c r="H1381" s="1">
        <v>1</v>
      </c>
      <c r="I1381" s="1">
        <v>0</v>
      </c>
      <c r="J1381" s="1">
        <v>4</v>
      </c>
    </row>
    <row r="1382" spans="1:10" x14ac:dyDescent="0.2">
      <c r="A1382" s="1">
        <v>4</v>
      </c>
      <c r="B1382" s="1">
        <v>0</v>
      </c>
      <c r="C1382" s="1">
        <v>7</v>
      </c>
      <c r="D1382" s="1">
        <v>2</v>
      </c>
      <c r="E1382" s="1">
        <v>2</v>
      </c>
      <c r="F1382" s="1">
        <v>9</v>
      </c>
      <c r="G1382" s="1">
        <v>6</v>
      </c>
      <c r="H1382" s="1">
        <v>0</v>
      </c>
      <c r="I1382" s="1">
        <v>3</v>
      </c>
      <c r="J1382" s="1">
        <v>4</v>
      </c>
    </row>
    <row r="1383" spans="1:10" x14ac:dyDescent="0.2">
      <c r="A1383" s="1">
        <v>2385</v>
      </c>
      <c r="B1383" s="1">
        <v>0</v>
      </c>
      <c r="C1383" s="1">
        <v>15</v>
      </c>
      <c r="D1383" s="1">
        <v>4</v>
      </c>
      <c r="E1383" s="1">
        <v>2</v>
      </c>
      <c r="F1383" s="1">
        <v>9</v>
      </c>
      <c r="G1383" s="1">
        <v>6</v>
      </c>
      <c r="H1383" s="1">
        <v>1</v>
      </c>
      <c r="I1383" s="1">
        <v>3</v>
      </c>
      <c r="J1383" s="1">
        <v>4</v>
      </c>
    </row>
    <row r="1384" spans="1:10" x14ac:dyDescent="0.2">
      <c r="A1384" s="1">
        <v>305</v>
      </c>
      <c r="B1384" s="1">
        <v>0</v>
      </c>
      <c r="C1384" s="1">
        <v>16</v>
      </c>
      <c r="D1384" s="1">
        <v>3</v>
      </c>
      <c r="E1384" s="1">
        <v>2</v>
      </c>
      <c r="F1384" s="1">
        <v>9</v>
      </c>
      <c r="G1384" s="1">
        <v>6</v>
      </c>
      <c r="H1384" s="1">
        <v>0</v>
      </c>
      <c r="I1384" s="1">
        <v>1</v>
      </c>
      <c r="J1384" s="1">
        <v>4</v>
      </c>
    </row>
    <row r="1385" spans="1:10" x14ac:dyDescent="0.2">
      <c r="A1385" s="1">
        <v>1747</v>
      </c>
      <c r="B1385" s="1">
        <v>0</v>
      </c>
      <c r="C1385" s="1">
        <v>10</v>
      </c>
      <c r="D1385" s="1">
        <v>3</v>
      </c>
      <c r="E1385" s="1">
        <v>3</v>
      </c>
      <c r="F1385" s="1">
        <v>9</v>
      </c>
      <c r="G1385" s="1">
        <v>6</v>
      </c>
      <c r="H1385" s="1">
        <v>0</v>
      </c>
      <c r="I1385" s="1">
        <v>3</v>
      </c>
      <c r="J1385" s="1">
        <v>4</v>
      </c>
    </row>
    <row r="1386" spans="1:10" x14ac:dyDescent="0.2">
      <c r="A1386" s="1">
        <v>1992</v>
      </c>
      <c r="B1386" s="1">
        <v>0</v>
      </c>
      <c r="C1386" s="1">
        <v>15</v>
      </c>
      <c r="D1386" s="1">
        <v>1</v>
      </c>
      <c r="E1386" s="1">
        <v>3</v>
      </c>
      <c r="F1386" s="1">
        <v>9</v>
      </c>
      <c r="G1386" s="1">
        <v>6</v>
      </c>
      <c r="H1386" s="1">
        <v>1</v>
      </c>
      <c r="I1386" s="1">
        <v>0</v>
      </c>
      <c r="J1386" s="1">
        <v>4</v>
      </c>
    </row>
    <row r="1387" spans="1:10" x14ac:dyDescent="0.2">
      <c r="A1387" s="1">
        <v>703</v>
      </c>
      <c r="B1387" s="1">
        <v>0</v>
      </c>
      <c r="C1387" s="1">
        <v>20</v>
      </c>
      <c r="D1387" s="1">
        <v>5</v>
      </c>
      <c r="E1387" s="1">
        <v>3</v>
      </c>
      <c r="F1387" s="1">
        <v>9</v>
      </c>
      <c r="G1387" s="1">
        <v>6</v>
      </c>
      <c r="H1387" s="1">
        <v>0</v>
      </c>
      <c r="I1387" s="1">
        <v>2</v>
      </c>
      <c r="J1387" s="1">
        <v>4</v>
      </c>
    </row>
    <row r="1388" spans="1:10" x14ac:dyDescent="0.2">
      <c r="A1388" s="1">
        <v>1005</v>
      </c>
      <c r="B1388" s="1">
        <v>0</v>
      </c>
      <c r="C1388" s="1">
        <v>15</v>
      </c>
      <c r="D1388" s="1">
        <v>5</v>
      </c>
      <c r="E1388" s="1">
        <v>3</v>
      </c>
      <c r="F1388" s="1">
        <v>10</v>
      </c>
      <c r="G1388" s="1">
        <v>6</v>
      </c>
      <c r="H1388" s="1">
        <v>1</v>
      </c>
      <c r="I1388" s="1">
        <v>3</v>
      </c>
      <c r="J1388" s="1">
        <v>4</v>
      </c>
    </row>
    <row r="1389" spans="1:10" x14ac:dyDescent="0.2">
      <c r="A1389" s="1">
        <v>1424</v>
      </c>
      <c r="B1389" s="1">
        <v>0</v>
      </c>
      <c r="C1389" s="1">
        <v>20</v>
      </c>
      <c r="D1389" s="1">
        <v>4</v>
      </c>
      <c r="E1389" s="1">
        <v>1</v>
      </c>
      <c r="F1389" s="1">
        <v>1</v>
      </c>
      <c r="G1389" s="1">
        <v>6</v>
      </c>
      <c r="H1389" s="1">
        <v>0</v>
      </c>
      <c r="I1389" s="1">
        <v>2</v>
      </c>
      <c r="J1389" s="1">
        <v>5</v>
      </c>
    </row>
    <row r="1390" spans="1:10" x14ac:dyDescent="0.2">
      <c r="A1390" s="1">
        <v>667</v>
      </c>
      <c r="B1390" s="1">
        <v>0</v>
      </c>
      <c r="C1390" s="1">
        <v>5</v>
      </c>
      <c r="D1390" s="1">
        <v>4</v>
      </c>
      <c r="E1390" s="1">
        <v>2</v>
      </c>
      <c r="F1390" s="1">
        <v>1</v>
      </c>
      <c r="G1390" s="1">
        <v>6</v>
      </c>
      <c r="H1390" s="1">
        <v>0</v>
      </c>
      <c r="I1390" s="1">
        <v>1</v>
      </c>
      <c r="J1390" s="1">
        <v>5</v>
      </c>
    </row>
    <row r="1391" spans="1:10" x14ac:dyDescent="0.2">
      <c r="A1391" s="1">
        <v>972</v>
      </c>
      <c r="B1391" s="1">
        <v>0</v>
      </c>
      <c r="C1391" s="1">
        <v>6</v>
      </c>
      <c r="D1391" s="1">
        <v>3</v>
      </c>
      <c r="E1391" s="1">
        <v>2</v>
      </c>
      <c r="F1391" s="1">
        <v>1</v>
      </c>
      <c r="G1391" s="1">
        <v>6</v>
      </c>
      <c r="H1391" s="1">
        <v>1</v>
      </c>
      <c r="I1391" s="1">
        <v>1</v>
      </c>
      <c r="J1391" s="1">
        <v>5</v>
      </c>
    </row>
    <row r="1392" spans="1:10" x14ac:dyDescent="0.2">
      <c r="A1392" s="1">
        <v>7</v>
      </c>
      <c r="B1392" s="1">
        <v>0</v>
      </c>
      <c r="C1392" s="1">
        <v>7</v>
      </c>
      <c r="D1392" s="1">
        <v>5</v>
      </c>
      <c r="E1392" s="1">
        <v>2</v>
      </c>
      <c r="F1392" s="1">
        <v>1</v>
      </c>
      <c r="G1392" s="1">
        <v>6</v>
      </c>
      <c r="H1392" s="1">
        <v>1</v>
      </c>
      <c r="I1392" s="1">
        <v>3</v>
      </c>
      <c r="J1392" s="1">
        <v>5</v>
      </c>
    </row>
    <row r="1393" spans="1:10" x14ac:dyDescent="0.2">
      <c r="A1393" s="1">
        <v>2388</v>
      </c>
      <c r="B1393" s="1">
        <v>0</v>
      </c>
      <c r="C1393" s="1">
        <v>15</v>
      </c>
      <c r="D1393" s="1">
        <v>4</v>
      </c>
      <c r="E1393" s="1">
        <v>2</v>
      </c>
      <c r="F1393" s="1">
        <v>1</v>
      </c>
      <c r="G1393" s="1">
        <v>6</v>
      </c>
      <c r="H1393" s="1">
        <v>1</v>
      </c>
      <c r="I1393" s="1">
        <v>1</v>
      </c>
      <c r="J1393" s="1">
        <v>5</v>
      </c>
    </row>
    <row r="1394" spans="1:10" x14ac:dyDescent="0.2">
      <c r="A1394" s="1">
        <v>1060</v>
      </c>
      <c r="B1394" s="1">
        <v>0</v>
      </c>
      <c r="C1394" s="1">
        <v>17</v>
      </c>
      <c r="D1394" s="1">
        <v>1</v>
      </c>
      <c r="E1394" s="1">
        <v>2</v>
      </c>
      <c r="F1394" s="1">
        <v>1</v>
      </c>
      <c r="G1394" s="1">
        <v>6</v>
      </c>
      <c r="H1394" s="1">
        <v>0</v>
      </c>
      <c r="I1394" s="1">
        <v>2</v>
      </c>
      <c r="J1394" s="1">
        <v>5</v>
      </c>
    </row>
    <row r="1395" spans="1:10" x14ac:dyDescent="0.2">
      <c r="A1395" s="1">
        <v>1974</v>
      </c>
      <c r="B1395" s="1">
        <v>0</v>
      </c>
      <c r="C1395" s="1">
        <v>19</v>
      </c>
      <c r="D1395" s="1">
        <v>3</v>
      </c>
      <c r="E1395" s="1">
        <v>2</v>
      </c>
      <c r="F1395" s="1">
        <v>1</v>
      </c>
      <c r="G1395" s="1">
        <v>6</v>
      </c>
      <c r="H1395" s="1">
        <v>0</v>
      </c>
      <c r="I1395" s="1">
        <v>2</v>
      </c>
      <c r="J1395" s="1">
        <v>5</v>
      </c>
    </row>
    <row r="1396" spans="1:10" x14ac:dyDescent="0.2">
      <c r="A1396" s="1">
        <v>1442</v>
      </c>
      <c r="B1396" s="1">
        <v>0</v>
      </c>
      <c r="C1396" s="1">
        <v>9</v>
      </c>
      <c r="D1396" s="1">
        <v>5</v>
      </c>
      <c r="E1396" s="1">
        <v>3</v>
      </c>
      <c r="F1396" s="1">
        <v>1</v>
      </c>
      <c r="G1396" s="1">
        <v>6</v>
      </c>
      <c r="H1396" s="1">
        <v>1</v>
      </c>
      <c r="I1396" s="1">
        <v>3</v>
      </c>
      <c r="J1396" s="1">
        <v>5</v>
      </c>
    </row>
    <row r="1397" spans="1:10" x14ac:dyDescent="0.2">
      <c r="A1397" s="1">
        <v>1223</v>
      </c>
      <c r="B1397" s="1">
        <v>0</v>
      </c>
      <c r="C1397" s="1">
        <v>18</v>
      </c>
      <c r="D1397" s="1">
        <v>5</v>
      </c>
      <c r="E1397" s="1">
        <v>3</v>
      </c>
      <c r="F1397" s="1">
        <v>1</v>
      </c>
      <c r="G1397" s="1">
        <v>6</v>
      </c>
      <c r="H1397" s="1">
        <v>0</v>
      </c>
      <c r="I1397" s="1">
        <v>3</v>
      </c>
      <c r="J1397" s="1">
        <v>5</v>
      </c>
    </row>
    <row r="1398" spans="1:10" x14ac:dyDescent="0.2">
      <c r="A1398" s="1">
        <v>1012</v>
      </c>
      <c r="B1398" s="1">
        <v>0</v>
      </c>
      <c r="C1398" s="1">
        <v>19</v>
      </c>
      <c r="D1398" s="1">
        <v>4</v>
      </c>
      <c r="E1398" s="1">
        <v>3</v>
      </c>
      <c r="F1398" s="1">
        <v>1</v>
      </c>
      <c r="G1398" s="1">
        <v>6</v>
      </c>
      <c r="H1398" s="1">
        <v>0</v>
      </c>
      <c r="I1398" s="1">
        <v>1</v>
      </c>
      <c r="J1398" s="1">
        <v>5</v>
      </c>
    </row>
    <row r="1399" spans="1:10" x14ac:dyDescent="0.2">
      <c r="A1399" s="1">
        <v>1204</v>
      </c>
      <c r="B1399" s="1">
        <v>0</v>
      </c>
      <c r="C1399" s="1">
        <v>17</v>
      </c>
      <c r="D1399" s="1">
        <v>3</v>
      </c>
      <c r="E1399" s="1">
        <v>1</v>
      </c>
      <c r="F1399" s="1">
        <v>2</v>
      </c>
      <c r="G1399" s="1">
        <v>6</v>
      </c>
      <c r="H1399" s="1">
        <v>0</v>
      </c>
      <c r="I1399" s="1">
        <v>0</v>
      </c>
      <c r="J1399" s="1">
        <v>5</v>
      </c>
    </row>
    <row r="1400" spans="1:10" x14ac:dyDescent="0.2">
      <c r="A1400" s="1">
        <v>1549</v>
      </c>
      <c r="B1400" s="1">
        <v>0</v>
      </c>
      <c r="C1400" s="1">
        <v>14</v>
      </c>
      <c r="D1400" s="1">
        <v>1</v>
      </c>
      <c r="E1400" s="1">
        <v>2</v>
      </c>
      <c r="F1400" s="1">
        <v>2</v>
      </c>
      <c r="G1400" s="1">
        <v>6</v>
      </c>
      <c r="H1400" s="1">
        <v>0</v>
      </c>
      <c r="I1400" s="1">
        <v>0</v>
      </c>
      <c r="J1400" s="1">
        <v>5</v>
      </c>
    </row>
    <row r="1401" spans="1:10" x14ac:dyDescent="0.2">
      <c r="A1401" s="1">
        <v>888</v>
      </c>
      <c r="B1401" s="1">
        <v>0</v>
      </c>
      <c r="C1401" s="1">
        <v>15</v>
      </c>
      <c r="D1401" s="1">
        <v>5</v>
      </c>
      <c r="E1401" s="1">
        <v>2</v>
      </c>
      <c r="F1401" s="1">
        <v>2</v>
      </c>
      <c r="G1401" s="1">
        <v>6</v>
      </c>
      <c r="H1401" s="1">
        <v>0</v>
      </c>
      <c r="I1401" s="1">
        <v>1</v>
      </c>
      <c r="J1401" s="1">
        <v>5</v>
      </c>
    </row>
    <row r="1402" spans="1:10" x14ac:dyDescent="0.2">
      <c r="A1402" s="1">
        <v>821</v>
      </c>
      <c r="B1402" s="1">
        <v>0</v>
      </c>
      <c r="C1402" s="1">
        <v>17</v>
      </c>
      <c r="D1402" s="1">
        <v>2</v>
      </c>
      <c r="E1402" s="1">
        <v>3</v>
      </c>
      <c r="F1402" s="1">
        <v>2</v>
      </c>
      <c r="G1402" s="1">
        <v>6</v>
      </c>
      <c r="H1402" s="1">
        <v>1</v>
      </c>
      <c r="I1402" s="1">
        <v>2</v>
      </c>
      <c r="J1402" s="1">
        <v>5</v>
      </c>
    </row>
    <row r="1403" spans="1:10" x14ac:dyDescent="0.2">
      <c r="A1403" s="1">
        <v>1518</v>
      </c>
      <c r="B1403" s="1">
        <v>0</v>
      </c>
      <c r="C1403" s="1">
        <v>5</v>
      </c>
      <c r="D1403" s="1">
        <v>4</v>
      </c>
      <c r="E1403" s="1">
        <v>1</v>
      </c>
      <c r="F1403" s="1">
        <v>3</v>
      </c>
      <c r="G1403" s="1">
        <v>6</v>
      </c>
      <c r="H1403" s="1">
        <v>1</v>
      </c>
      <c r="I1403" s="1">
        <v>3</v>
      </c>
      <c r="J1403" s="1">
        <v>5</v>
      </c>
    </row>
    <row r="1404" spans="1:10" x14ac:dyDescent="0.2">
      <c r="A1404" s="1">
        <v>681</v>
      </c>
      <c r="B1404" s="1">
        <v>0</v>
      </c>
      <c r="C1404" s="1">
        <v>11</v>
      </c>
      <c r="D1404" s="1">
        <v>3</v>
      </c>
      <c r="E1404" s="1">
        <v>1</v>
      </c>
      <c r="F1404" s="1">
        <v>3</v>
      </c>
      <c r="G1404" s="1">
        <v>6</v>
      </c>
      <c r="H1404" s="1">
        <v>0</v>
      </c>
      <c r="I1404" s="1">
        <v>3</v>
      </c>
      <c r="J1404" s="1">
        <v>5</v>
      </c>
    </row>
    <row r="1405" spans="1:10" x14ac:dyDescent="0.2">
      <c r="A1405" s="1">
        <v>1088</v>
      </c>
      <c r="B1405" s="1">
        <v>0</v>
      </c>
      <c r="C1405" s="1">
        <v>12</v>
      </c>
      <c r="D1405" s="1">
        <v>2</v>
      </c>
      <c r="E1405" s="1">
        <v>1</v>
      </c>
      <c r="F1405" s="1">
        <v>3</v>
      </c>
      <c r="G1405" s="1">
        <v>6</v>
      </c>
      <c r="H1405" s="1">
        <v>0</v>
      </c>
      <c r="I1405" s="1">
        <v>2</v>
      </c>
      <c r="J1405" s="1">
        <v>5</v>
      </c>
    </row>
    <row r="1406" spans="1:10" x14ac:dyDescent="0.2">
      <c r="A1406" s="1">
        <v>2303</v>
      </c>
      <c r="B1406" s="1">
        <v>0</v>
      </c>
      <c r="C1406" s="1">
        <v>7</v>
      </c>
      <c r="D1406" s="1">
        <v>5</v>
      </c>
      <c r="E1406" s="1">
        <v>2</v>
      </c>
      <c r="F1406" s="1">
        <v>3</v>
      </c>
      <c r="G1406" s="1">
        <v>6</v>
      </c>
      <c r="H1406" s="1">
        <v>1</v>
      </c>
      <c r="I1406" s="1">
        <v>1</v>
      </c>
      <c r="J1406" s="1">
        <v>5</v>
      </c>
    </row>
    <row r="1407" spans="1:10" x14ac:dyDescent="0.2">
      <c r="A1407" s="1">
        <v>941</v>
      </c>
      <c r="B1407" s="1">
        <v>0</v>
      </c>
      <c r="C1407" s="1">
        <v>11</v>
      </c>
      <c r="D1407" s="1">
        <v>2</v>
      </c>
      <c r="E1407" s="1">
        <v>2</v>
      </c>
      <c r="F1407" s="1">
        <v>3</v>
      </c>
      <c r="G1407" s="1">
        <v>6</v>
      </c>
      <c r="H1407" s="1">
        <v>1</v>
      </c>
      <c r="I1407" s="1">
        <v>2</v>
      </c>
      <c r="J1407" s="1">
        <v>5</v>
      </c>
    </row>
    <row r="1408" spans="1:10" x14ac:dyDescent="0.2">
      <c r="A1408" s="1">
        <v>1939</v>
      </c>
      <c r="B1408" s="1">
        <v>0</v>
      </c>
      <c r="C1408" s="1">
        <v>12</v>
      </c>
      <c r="D1408" s="1">
        <v>5</v>
      </c>
      <c r="E1408" s="1">
        <v>2</v>
      </c>
      <c r="F1408" s="1">
        <v>3</v>
      </c>
      <c r="G1408" s="1">
        <v>6</v>
      </c>
      <c r="H1408" s="1">
        <v>1</v>
      </c>
      <c r="I1408" s="1">
        <v>1</v>
      </c>
      <c r="J1408" s="1">
        <v>5</v>
      </c>
    </row>
    <row r="1409" spans="1:10" x14ac:dyDescent="0.2">
      <c r="A1409" s="1">
        <v>894</v>
      </c>
      <c r="B1409" s="1">
        <v>0</v>
      </c>
      <c r="C1409" s="1">
        <v>19</v>
      </c>
      <c r="D1409" s="1">
        <v>1</v>
      </c>
      <c r="E1409" s="1">
        <v>2</v>
      </c>
      <c r="F1409" s="1">
        <v>3</v>
      </c>
      <c r="G1409" s="1">
        <v>6</v>
      </c>
      <c r="H1409" s="1">
        <v>0</v>
      </c>
      <c r="I1409" s="1">
        <v>1</v>
      </c>
      <c r="J1409" s="1">
        <v>5</v>
      </c>
    </row>
    <row r="1410" spans="1:10" x14ac:dyDescent="0.2">
      <c r="A1410" s="1">
        <v>661</v>
      </c>
      <c r="B1410" s="1">
        <v>0</v>
      </c>
      <c r="C1410" s="1">
        <v>7</v>
      </c>
      <c r="D1410" s="1">
        <v>5</v>
      </c>
      <c r="E1410" s="1">
        <v>3</v>
      </c>
      <c r="F1410" s="1">
        <v>3</v>
      </c>
      <c r="G1410" s="1">
        <v>6</v>
      </c>
      <c r="H1410" s="1">
        <v>0</v>
      </c>
      <c r="I1410" s="1">
        <v>1</v>
      </c>
      <c r="J1410" s="1">
        <v>5</v>
      </c>
    </row>
    <row r="1411" spans="1:10" x14ac:dyDescent="0.2">
      <c r="A1411" s="1">
        <v>1508</v>
      </c>
      <c r="B1411" s="1">
        <v>0</v>
      </c>
      <c r="C1411" s="1">
        <v>8</v>
      </c>
      <c r="D1411" s="1">
        <v>1</v>
      </c>
      <c r="E1411" s="1">
        <v>3</v>
      </c>
      <c r="F1411" s="1">
        <v>3</v>
      </c>
      <c r="G1411" s="1">
        <v>6</v>
      </c>
      <c r="H1411" s="1">
        <v>1</v>
      </c>
      <c r="I1411" s="1">
        <v>2</v>
      </c>
      <c r="J1411" s="1">
        <v>5</v>
      </c>
    </row>
    <row r="1412" spans="1:10" x14ac:dyDescent="0.2">
      <c r="A1412" s="1">
        <v>464</v>
      </c>
      <c r="B1412" s="1">
        <v>0</v>
      </c>
      <c r="C1412" s="1">
        <v>16</v>
      </c>
      <c r="D1412" s="1">
        <v>3</v>
      </c>
      <c r="E1412" s="1">
        <v>3</v>
      </c>
      <c r="F1412" s="1">
        <v>3</v>
      </c>
      <c r="G1412" s="1">
        <v>6</v>
      </c>
      <c r="H1412" s="1">
        <v>0</v>
      </c>
      <c r="I1412" s="1">
        <v>1</v>
      </c>
      <c r="J1412" s="1">
        <v>5</v>
      </c>
    </row>
    <row r="1413" spans="1:10" x14ac:dyDescent="0.2">
      <c r="A1413" s="1">
        <v>710</v>
      </c>
      <c r="B1413" s="1">
        <v>0</v>
      </c>
      <c r="C1413" s="1">
        <v>16</v>
      </c>
      <c r="D1413" s="1">
        <v>2</v>
      </c>
      <c r="E1413" s="1">
        <v>3</v>
      </c>
      <c r="F1413" s="1">
        <v>4</v>
      </c>
      <c r="G1413" s="1">
        <v>6</v>
      </c>
      <c r="H1413" s="1">
        <v>0</v>
      </c>
      <c r="I1413" s="1">
        <v>2</v>
      </c>
      <c r="J1413" s="1">
        <v>5</v>
      </c>
    </row>
    <row r="1414" spans="1:10" x14ac:dyDescent="0.2">
      <c r="A1414" s="1">
        <v>1776</v>
      </c>
      <c r="B1414" s="1">
        <v>0</v>
      </c>
      <c r="C1414" s="1">
        <v>6</v>
      </c>
      <c r="D1414" s="1">
        <v>2</v>
      </c>
      <c r="E1414" s="1">
        <v>2</v>
      </c>
      <c r="F1414" s="1">
        <v>5</v>
      </c>
      <c r="G1414" s="1">
        <v>6</v>
      </c>
      <c r="H1414" s="1">
        <v>0</v>
      </c>
      <c r="I1414" s="1">
        <v>0</v>
      </c>
      <c r="J1414" s="1">
        <v>5</v>
      </c>
    </row>
    <row r="1415" spans="1:10" x14ac:dyDescent="0.2">
      <c r="A1415" s="1">
        <v>969</v>
      </c>
      <c r="B1415" s="1">
        <v>0</v>
      </c>
      <c r="C1415" s="1">
        <v>9</v>
      </c>
      <c r="D1415" s="1">
        <v>2</v>
      </c>
      <c r="E1415" s="1">
        <v>2</v>
      </c>
      <c r="F1415" s="1">
        <v>5</v>
      </c>
      <c r="G1415" s="1">
        <v>6</v>
      </c>
      <c r="H1415" s="1">
        <v>1</v>
      </c>
      <c r="I1415" s="1">
        <v>0</v>
      </c>
      <c r="J1415" s="1">
        <v>5</v>
      </c>
    </row>
    <row r="1416" spans="1:10" x14ac:dyDescent="0.2">
      <c r="A1416" s="1">
        <v>331</v>
      </c>
      <c r="B1416" s="1">
        <v>0</v>
      </c>
      <c r="C1416" s="1">
        <v>19</v>
      </c>
      <c r="D1416" s="1">
        <v>4</v>
      </c>
      <c r="E1416" s="1">
        <v>2</v>
      </c>
      <c r="F1416" s="1">
        <v>5</v>
      </c>
      <c r="G1416" s="1">
        <v>6</v>
      </c>
      <c r="H1416" s="1">
        <v>0</v>
      </c>
      <c r="I1416" s="1">
        <v>1</v>
      </c>
      <c r="J1416" s="1">
        <v>5</v>
      </c>
    </row>
    <row r="1417" spans="1:10" x14ac:dyDescent="0.2">
      <c r="A1417" s="1">
        <v>343</v>
      </c>
      <c r="B1417" s="1">
        <v>0</v>
      </c>
      <c r="C1417" s="1">
        <v>19</v>
      </c>
      <c r="D1417" s="1">
        <v>1</v>
      </c>
      <c r="E1417" s="1">
        <v>3</v>
      </c>
      <c r="F1417" s="1">
        <v>5</v>
      </c>
      <c r="G1417" s="1">
        <v>6</v>
      </c>
      <c r="H1417" s="1">
        <v>1</v>
      </c>
      <c r="I1417" s="1">
        <v>0</v>
      </c>
      <c r="J1417" s="1">
        <v>5</v>
      </c>
    </row>
    <row r="1418" spans="1:10" x14ac:dyDescent="0.2">
      <c r="A1418" s="1">
        <v>1972</v>
      </c>
      <c r="B1418" s="1">
        <v>0</v>
      </c>
      <c r="C1418" s="1">
        <v>8</v>
      </c>
      <c r="D1418" s="1">
        <v>5</v>
      </c>
      <c r="E1418" s="1">
        <v>2</v>
      </c>
      <c r="F1418" s="1">
        <v>6</v>
      </c>
      <c r="G1418" s="1">
        <v>6</v>
      </c>
      <c r="H1418" s="1">
        <v>0</v>
      </c>
      <c r="I1418" s="1">
        <v>0</v>
      </c>
      <c r="J1418" s="1">
        <v>5</v>
      </c>
    </row>
    <row r="1419" spans="1:10" x14ac:dyDescent="0.2">
      <c r="A1419" s="1">
        <v>1801</v>
      </c>
      <c r="B1419" s="1">
        <v>0</v>
      </c>
      <c r="C1419" s="1">
        <v>16</v>
      </c>
      <c r="D1419" s="1">
        <v>3</v>
      </c>
      <c r="E1419" s="1">
        <v>2</v>
      </c>
      <c r="F1419" s="1">
        <v>6</v>
      </c>
      <c r="G1419" s="1">
        <v>6</v>
      </c>
      <c r="H1419" s="1">
        <v>1</v>
      </c>
      <c r="I1419" s="1">
        <v>1</v>
      </c>
      <c r="J1419" s="1">
        <v>5</v>
      </c>
    </row>
    <row r="1420" spans="1:10" x14ac:dyDescent="0.2">
      <c r="A1420" s="1">
        <v>1326</v>
      </c>
      <c r="B1420" s="1">
        <v>0</v>
      </c>
      <c r="C1420" s="1">
        <v>12</v>
      </c>
      <c r="D1420" s="1">
        <v>4</v>
      </c>
      <c r="E1420" s="1">
        <v>3</v>
      </c>
      <c r="F1420" s="1">
        <v>6</v>
      </c>
      <c r="G1420" s="1">
        <v>6</v>
      </c>
      <c r="H1420" s="1">
        <v>1</v>
      </c>
      <c r="I1420" s="1">
        <v>3</v>
      </c>
      <c r="J1420" s="1">
        <v>5</v>
      </c>
    </row>
    <row r="1421" spans="1:10" x14ac:dyDescent="0.2">
      <c r="A1421" s="1">
        <v>519</v>
      </c>
      <c r="B1421" s="1">
        <v>0</v>
      </c>
      <c r="C1421" s="1">
        <v>19</v>
      </c>
      <c r="D1421" s="1">
        <v>5</v>
      </c>
      <c r="E1421" s="1">
        <v>3</v>
      </c>
      <c r="F1421" s="1">
        <v>6</v>
      </c>
      <c r="G1421" s="1">
        <v>6</v>
      </c>
      <c r="H1421" s="1">
        <v>0</v>
      </c>
      <c r="I1421" s="1">
        <v>1</v>
      </c>
      <c r="J1421" s="1">
        <v>5</v>
      </c>
    </row>
    <row r="1422" spans="1:10" x14ac:dyDescent="0.2">
      <c r="A1422" s="1">
        <v>2055</v>
      </c>
      <c r="B1422" s="1">
        <v>0</v>
      </c>
      <c r="C1422" s="1">
        <v>19</v>
      </c>
      <c r="D1422" s="1">
        <v>2</v>
      </c>
      <c r="E1422" s="1">
        <v>3</v>
      </c>
      <c r="F1422" s="1">
        <v>6</v>
      </c>
      <c r="G1422" s="1">
        <v>6</v>
      </c>
      <c r="H1422" s="1">
        <v>0</v>
      </c>
      <c r="I1422" s="1">
        <v>0</v>
      </c>
      <c r="J1422" s="1">
        <v>5</v>
      </c>
    </row>
    <row r="1423" spans="1:10" x14ac:dyDescent="0.2">
      <c r="A1423" s="1">
        <v>425</v>
      </c>
      <c r="B1423" s="1">
        <v>0</v>
      </c>
      <c r="C1423" s="1">
        <v>6</v>
      </c>
      <c r="D1423" s="1">
        <v>4</v>
      </c>
      <c r="E1423" s="1">
        <v>3</v>
      </c>
      <c r="F1423" s="1">
        <v>7</v>
      </c>
      <c r="G1423" s="1">
        <v>6</v>
      </c>
      <c r="H1423" s="1">
        <v>1</v>
      </c>
      <c r="I1423" s="1">
        <v>1</v>
      </c>
      <c r="J1423" s="1">
        <v>5</v>
      </c>
    </row>
    <row r="1424" spans="1:10" x14ac:dyDescent="0.2">
      <c r="A1424" s="1">
        <v>1884</v>
      </c>
      <c r="B1424" s="1">
        <v>0</v>
      </c>
      <c r="C1424" s="1">
        <v>7</v>
      </c>
      <c r="D1424" s="1">
        <v>3</v>
      </c>
      <c r="E1424" s="1">
        <v>3</v>
      </c>
      <c r="F1424" s="1">
        <v>7</v>
      </c>
      <c r="G1424" s="1">
        <v>6</v>
      </c>
      <c r="H1424" s="1">
        <v>0</v>
      </c>
      <c r="I1424" s="1">
        <v>1</v>
      </c>
      <c r="J1424" s="1">
        <v>5</v>
      </c>
    </row>
    <row r="1425" spans="1:10" x14ac:dyDescent="0.2">
      <c r="A1425" s="1">
        <v>2481</v>
      </c>
      <c r="B1425" s="1">
        <v>0</v>
      </c>
      <c r="C1425" s="1">
        <v>15</v>
      </c>
      <c r="D1425" s="1">
        <v>3</v>
      </c>
      <c r="E1425" s="1">
        <v>3</v>
      </c>
      <c r="F1425" s="1">
        <v>7</v>
      </c>
      <c r="G1425" s="1">
        <v>6</v>
      </c>
      <c r="H1425" s="1">
        <v>1</v>
      </c>
      <c r="I1425" s="1">
        <v>1</v>
      </c>
      <c r="J1425" s="1">
        <v>5</v>
      </c>
    </row>
    <row r="1426" spans="1:10" x14ac:dyDescent="0.2">
      <c r="A1426" s="1">
        <v>2201</v>
      </c>
      <c r="B1426" s="1">
        <v>0</v>
      </c>
      <c r="C1426" s="1">
        <v>12</v>
      </c>
      <c r="D1426" s="1">
        <v>4</v>
      </c>
      <c r="E1426" s="1">
        <v>3</v>
      </c>
      <c r="F1426" s="1">
        <v>8</v>
      </c>
      <c r="G1426" s="1">
        <v>6</v>
      </c>
      <c r="H1426" s="1">
        <v>0</v>
      </c>
      <c r="I1426" s="1">
        <v>3</v>
      </c>
      <c r="J1426" s="1">
        <v>5</v>
      </c>
    </row>
    <row r="1427" spans="1:10" x14ac:dyDescent="0.2">
      <c r="A1427" s="1">
        <v>1670</v>
      </c>
      <c r="B1427" s="1">
        <v>0</v>
      </c>
      <c r="C1427" s="1">
        <v>14</v>
      </c>
      <c r="D1427" s="1">
        <v>1</v>
      </c>
      <c r="E1427" s="1">
        <v>3</v>
      </c>
      <c r="F1427" s="1">
        <v>10</v>
      </c>
      <c r="G1427" s="1">
        <v>6</v>
      </c>
      <c r="H1427" s="1">
        <v>1</v>
      </c>
      <c r="I1427" s="1">
        <v>3</v>
      </c>
      <c r="J1427" s="1">
        <v>5</v>
      </c>
    </row>
    <row r="1428" spans="1:10" x14ac:dyDescent="0.2">
      <c r="A1428" s="1">
        <v>1652</v>
      </c>
      <c r="B1428" s="1">
        <v>0</v>
      </c>
      <c r="C1428" s="1">
        <v>9</v>
      </c>
      <c r="D1428" s="1">
        <v>4</v>
      </c>
      <c r="E1428" s="1">
        <v>2</v>
      </c>
      <c r="F1428" s="1">
        <v>1</v>
      </c>
      <c r="G1428" s="1">
        <v>7</v>
      </c>
      <c r="H1428" s="1">
        <v>1</v>
      </c>
      <c r="I1428" s="1">
        <v>1</v>
      </c>
      <c r="J1428" s="1">
        <v>1</v>
      </c>
    </row>
    <row r="1429" spans="1:10" x14ac:dyDescent="0.2">
      <c r="A1429" s="1">
        <v>621</v>
      </c>
      <c r="B1429" s="1">
        <v>0</v>
      </c>
      <c r="C1429" s="1">
        <v>14</v>
      </c>
      <c r="D1429" s="1">
        <v>3</v>
      </c>
      <c r="E1429" s="1">
        <v>2</v>
      </c>
      <c r="F1429" s="1">
        <v>1</v>
      </c>
      <c r="G1429" s="1">
        <v>7</v>
      </c>
      <c r="H1429" s="1">
        <v>0</v>
      </c>
      <c r="I1429" s="1">
        <v>3</v>
      </c>
      <c r="J1429" s="1">
        <v>1</v>
      </c>
    </row>
    <row r="1430" spans="1:10" x14ac:dyDescent="0.2">
      <c r="A1430" s="1">
        <v>770</v>
      </c>
      <c r="B1430" s="1">
        <v>0</v>
      </c>
      <c r="C1430" s="1">
        <v>16</v>
      </c>
      <c r="D1430" s="1">
        <v>3</v>
      </c>
      <c r="E1430" s="1">
        <v>2</v>
      </c>
      <c r="F1430" s="1">
        <v>1</v>
      </c>
      <c r="G1430" s="1">
        <v>7</v>
      </c>
      <c r="H1430" s="1">
        <v>0</v>
      </c>
      <c r="I1430" s="1">
        <v>3</v>
      </c>
      <c r="J1430" s="1">
        <v>1</v>
      </c>
    </row>
    <row r="1431" spans="1:10" x14ac:dyDescent="0.2">
      <c r="A1431" s="1">
        <v>380</v>
      </c>
      <c r="B1431" s="1">
        <v>0</v>
      </c>
      <c r="C1431" s="1">
        <v>12</v>
      </c>
      <c r="D1431" s="1">
        <v>2</v>
      </c>
      <c r="E1431" s="1">
        <v>3</v>
      </c>
      <c r="F1431" s="1">
        <v>1</v>
      </c>
      <c r="G1431" s="1">
        <v>7</v>
      </c>
      <c r="H1431" s="1">
        <v>0</v>
      </c>
      <c r="I1431" s="1">
        <v>2</v>
      </c>
      <c r="J1431" s="1">
        <v>1</v>
      </c>
    </row>
    <row r="1432" spans="1:10" x14ac:dyDescent="0.2">
      <c r="A1432" s="1">
        <v>2104</v>
      </c>
      <c r="B1432" s="1">
        <v>0</v>
      </c>
      <c r="C1432" s="1">
        <v>19</v>
      </c>
      <c r="D1432" s="1">
        <v>4</v>
      </c>
      <c r="E1432" s="1">
        <v>3</v>
      </c>
      <c r="F1432" s="1">
        <v>1</v>
      </c>
      <c r="G1432" s="1">
        <v>7</v>
      </c>
      <c r="H1432" s="1">
        <v>0</v>
      </c>
      <c r="I1432" s="1">
        <v>3</v>
      </c>
      <c r="J1432" s="1">
        <v>1</v>
      </c>
    </row>
    <row r="1433" spans="1:10" x14ac:dyDescent="0.2">
      <c r="A1433" s="1">
        <v>2494</v>
      </c>
      <c r="B1433" s="1">
        <v>0</v>
      </c>
      <c r="C1433" s="1">
        <v>20</v>
      </c>
      <c r="D1433" s="1">
        <v>4</v>
      </c>
      <c r="E1433" s="1">
        <v>3</v>
      </c>
      <c r="F1433" s="1">
        <v>1</v>
      </c>
      <c r="G1433" s="1">
        <v>7</v>
      </c>
      <c r="H1433" s="1">
        <v>1</v>
      </c>
      <c r="I1433" s="1">
        <v>2</v>
      </c>
      <c r="J1433" s="1">
        <v>1</v>
      </c>
    </row>
    <row r="1434" spans="1:10" x14ac:dyDescent="0.2">
      <c r="A1434" s="1">
        <v>2281</v>
      </c>
      <c r="B1434" s="1">
        <v>0</v>
      </c>
      <c r="C1434" s="1">
        <v>7</v>
      </c>
      <c r="D1434" s="1">
        <v>4</v>
      </c>
      <c r="E1434" s="1">
        <v>1</v>
      </c>
      <c r="F1434" s="1">
        <v>2</v>
      </c>
      <c r="G1434" s="1">
        <v>7</v>
      </c>
      <c r="H1434" s="1">
        <v>1</v>
      </c>
      <c r="I1434" s="1">
        <v>0</v>
      </c>
      <c r="J1434" s="1">
        <v>1</v>
      </c>
    </row>
    <row r="1435" spans="1:10" x14ac:dyDescent="0.2">
      <c r="A1435" s="1">
        <v>1194</v>
      </c>
      <c r="B1435" s="1">
        <v>0</v>
      </c>
      <c r="C1435" s="1">
        <v>7</v>
      </c>
      <c r="D1435" s="1">
        <v>1</v>
      </c>
      <c r="E1435" s="1">
        <v>2</v>
      </c>
      <c r="F1435" s="1">
        <v>2</v>
      </c>
      <c r="G1435" s="1">
        <v>7</v>
      </c>
      <c r="H1435" s="1">
        <v>1</v>
      </c>
      <c r="I1435" s="1">
        <v>1</v>
      </c>
      <c r="J1435" s="1">
        <v>1</v>
      </c>
    </row>
    <row r="1436" spans="1:10" x14ac:dyDescent="0.2">
      <c r="A1436" s="1">
        <v>1887</v>
      </c>
      <c r="B1436" s="1">
        <v>0</v>
      </c>
      <c r="C1436" s="1">
        <v>10</v>
      </c>
      <c r="D1436" s="1">
        <v>3</v>
      </c>
      <c r="E1436" s="1">
        <v>2</v>
      </c>
      <c r="F1436" s="1">
        <v>2</v>
      </c>
      <c r="G1436" s="1">
        <v>7</v>
      </c>
      <c r="H1436" s="1">
        <v>1</v>
      </c>
      <c r="I1436" s="1">
        <v>3</v>
      </c>
      <c r="J1436" s="1">
        <v>1</v>
      </c>
    </row>
    <row r="1437" spans="1:10" x14ac:dyDescent="0.2">
      <c r="A1437" s="1">
        <v>22</v>
      </c>
      <c r="B1437" s="1">
        <v>0</v>
      </c>
      <c r="C1437" s="1">
        <v>16</v>
      </c>
      <c r="D1437" s="1">
        <v>2</v>
      </c>
      <c r="E1437" s="1">
        <v>2</v>
      </c>
      <c r="F1437" s="1">
        <v>2</v>
      </c>
      <c r="G1437" s="1">
        <v>7</v>
      </c>
      <c r="H1437" s="1">
        <v>0</v>
      </c>
      <c r="I1437" s="1">
        <v>0</v>
      </c>
      <c r="J1437" s="1">
        <v>1</v>
      </c>
    </row>
    <row r="1438" spans="1:10" x14ac:dyDescent="0.2">
      <c r="A1438" s="1">
        <v>1773</v>
      </c>
      <c r="B1438" s="1">
        <v>0</v>
      </c>
      <c r="C1438" s="1">
        <v>7</v>
      </c>
      <c r="D1438" s="1">
        <v>5</v>
      </c>
      <c r="E1438" s="1">
        <v>3</v>
      </c>
      <c r="F1438" s="1">
        <v>2</v>
      </c>
      <c r="G1438" s="1">
        <v>7</v>
      </c>
      <c r="H1438" s="1">
        <v>1</v>
      </c>
      <c r="I1438" s="1">
        <v>0</v>
      </c>
      <c r="J1438" s="1">
        <v>1</v>
      </c>
    </row>
    <row r="1439" spans="1:10" x14ac:dyDescent="0.2">
      <c r="A1439" s="1">
        <v>1497</v>
      </c>
      <c r="B1439" s="1">
        <v>0</v>
      </c>
      <c r="C1439" s="1">
        <v>20</v>
      </c>
      <c r="D1439" s="1">
        <v>2</v>
      </c>
      <c r="E1439" s="1">
        <v>1</v>
      </c>
      <c r="F1439" s="1">
        <v>3</v>
      </c>
      <c r="G1439" s="1">
        <v>7</v>
      </c>
      <c r="H1439" s="1">
        <v>1</v>
      </c>
      <c r="I1439" s="1">
        <v>0</v>
      </c>
      <c r="J1439" s="1">
        <v>1</v>
      </c>
    </row>
    <row r="1440" spans="1:10" x14ac:dyDescent="0.2">
      <c r="A1440" s="1">
        <v>1594</v>
      </c>
      <c r="B1440" s="1">
        <v>0</v>
      </c>
      <c r="C1440" s="1">
        <v>8</v>
      </c>
      <c r="D1440" s="1">
        <v>2</v>
      </c>
      <c r="E1440" s="1">
        <v>2</v>
      </c>
      <c r="F1440" s="1">
        <v>3</v>
      </c>
      <c r="G1440" s="1">
        <v>7</v>
      </c>
      <c r="H1440" s="1">
        <v>0</v>
      </c>
      <c r="I1440" s="1">
        <v>3</v>
      </c>
      <c r="J1440" s="1">
        <v>1</v>
      </c>
    </row>
    <row r="1441" spans="1:10" x14ac:dyDescent="0.2">
      <c r="A1441" s="1">
        <v>531</v>
      </c>
      <c r="B1441" s="1">
        <v>0</v>
      </c>
      <c r="C1441" s="1">
        <v>10</v>
      </c>
      <c r="D1441" s="1">
        <v>4</v>
      </c>
      <c r="E1441" s="1">
        <v>2</v>
      </c>
      <c r="F1441" s="1">
        <v>3</v>
      </c>
      <c r="G1441" s="1">
        <v>7</v>
      </c>
      <c r="H1441" s="1">
        <v>0</v>
      </c>
      <c r="I1441" s="1">
        <v>1</v>
      </c>
      <c r="J1441" s="1">
        <v>1</v>
      </c>
    </row>
    <row r="1442" spans="1:10" x14ac:dyDescent="0.2">
      <c r="A1442" s="1">
        <v>906</v>
      </c>
      <c r="B1442" s="1">
        <v>0</v>
      </c>
      <c r="C1442" s="1">
        <v>13</v>
      </c>
      <c r="D1442" s="1">
        <v>5</v>
      </c>
      <c r="E1442" s="1">
        <v>2</v>
      </c>
      <c r="F1442" s="1">
        <v>3</v>
      </c>
      <c r="G1442" s="1">
        <v>7</v>
      </c>
      <c r="H1442" s="1">
        <v>0</v>
      </c>
      <c r="I1442" s="1">
        <v>2</v>
      </c>
      <c r="J1442" s="1">
        <v>1</v>
      </c>
    </row>
    <row r="1443" spans="1:10" x14ac:dyDescent="0.2">
      <c r="A1443" s="1">
        <v>1362</v>
      </c>
      <c r="B1443" s="1">
        <v>0</v>
      </c>
      <c r="C1443" s="1">
        <v>18</v>
      </c>
      <c r="D1443" s="1">
        <v>5</v>
      </c>
      <c r="E1443" s="1">
        <v>2</v>
      </c>
      <c r="F1443" s="1">
        <v>3</v>
      </c>
      <c r="G1443" s="1">
        <v>7</v>
      </c>
      <c r="H1443" s="1">
        <v>0</v>
      </c>
      <c r="I1443" s="1">
        <v>0</v>
      </c>
      <c r="J1443" s="1">
        <v>1</v>
      </c>
    </row>
    <row r="1444" spans="1:10" x14ac:dyDescent="0.2">
      <c r="A1444" s="1">
        <v>1925</v>
      </c>
      <c r="B1444" s="1">
        <v>0</v>
      </c>
      <c r="C1444" s="1">
        <v>13</v>
      </c>
      <c r="D1444" s="1">
        <v>3</v>
      </c>
      <c r="E1444" s="1">
        <v>3</v>
      </c>
      <c r="F1444" s="1">
        <v>3</v>
      </c>
      <c r="G1444" s="1">
        <v>7</v>
      </c>
      <c r="H1444" s="1">
        <v>1</v>
      </c>
      <c r="I1444" s="1">
        <v>1</v>
      </c>
      <c r="J1444" s="1">
        <v>1</v>
      </c>
    </row>
    <row r="1445" spans="1:10" x14ac:dyDescent="0.2">
      <c r="A1445" s="1">
        <v>1206</v>
      </c>
      <c r="B1445" s="1">
        <v>0</v>
      </c>
      <c r="C1445" s="1">
        <v>15</v>
      </c>
      <c r="D1445" s="1">
        <v>3</v>
      </c>
      <c r="E1445" s="1">
        <v>3</v>
      </c>
      <c r="F1445" s="1">
        <v>3</v>
      </c>
      <c r="G1445" s="1">
        <v>7</v>
      </c>
      <c r="H1445" s="1">
        <v>1</v>
      </c>
      <c r="I1445" s="1">
        <v>2</v>
      </c>
      <c r="J1445" s="1">
        <v>1</v>
      </c>
    </row>
    <row r="1446" spans="1:10" x14ac:dyDescent="0.2">
      <c r="A1446" s="1">
        <v>110</v>
      </c>
      <c r="B1446" s="1">
        <v>0</v>
      </c>
      <c r="C1446" s="1">
        <v>17</v>
      </c>
      <c r="D1446" s="1">
        <v>3</v>
      </c>
      <c r="E1446" s="1">
        <v>3</v>
      </c>
      <c r="F1446" s="1">
        <v>3</v>
      </c>
      <c r="G1446" s="1">
        <v>7</v>
      </c>
      <c r="H1446" s="1">
        <v>1</v>
      </c>
      <c r="I1446" s="1">
        <v>0</v>
      </c>
      <c r="J1446" s="1">
        <v>1</v>
      </c>
    </row>
    <row r="1447" spans="1:10" x14ac:dyDescent="0.2">
      <c r="A1447" s="1">
        <v>1384</v>
      </c>
      <c r="B1447" s="1">
        <v>0</v>
      </c>
      <c r="C1447" s="1">
        <v>20</v>
      </c>
      <c r="D1447" s="1">
        <v>3</v>
      </c>
      <c r="E1447" s="1">
        <v>3</v>
      </c>
      <c r="F1447" s="1">
        <v>3</v>
      </c>
      <c r="G1447" s="1">
        <v>7</v>
      </c>
      <c r="H1447" s="1">
        <v>1</v>
      </c>
      <c r="I1447" s="1">
        <v>2</v>
      </c>
      <c r="J1447" s="1">
        <v>1</v>
      </c>
    </row>
    <row r="1448" spans="1:10" x14ac:dyDescent="0.2">
      <c r="A1448" s="1">
        <v>236</v>
      </c>
      <c r="B1448" s="1">
        <v>0</v>
      </c>
      <c r="C1448" s="1">
        <v>10</v>
      </c>
      <c r="D1448" s="1">
        <v>1</v>
      </c>
      <c r="E1448" s="1">
        <v>1</v>
      </c>
      <c r="F1448" s="1">
        <v>4</v>
      </c>
      <c r="G1448" s="1">
        <v>7</v>
      </c>
      <c r="H1448" s="1">
        <v>0</v>
      </c>
      <c r="I1448" s="1">
        <v>3</v>
      </c>
      <c r="J1448" s="1">
        <v>1</v>
      </c>
    </row>
    <row r="1449" spans="1:10" x14ac:dyDescent="0.2">
      <c r="A1449" s="1">
        <v>2191</v>
      </c>
      <c r="B1449" s="1">
        <v>0</v>
      </c>
      <c r="C1449" s="1">
        <v>13</v>
      </c>
      <c r="D1449" s="1">
        <v>3</v>
      </c>
      <c r="E1449" s="1">
        <v>1</v>
      </c>
      <c r="F1449" s="1">
        <v>4</v>
      </c>
      <c r="G1449" s="1">
        <v>7</v>
      </c>
      <c r="H1449" s="1">
        <v>0</v>
      </c>
      <c r="I1449" s="1">
        <v>1</v>
      </c>
      <c r="J1449" s="1">
        <v>1</v>
      </c>
    </row>
    <row r="1450" spans="1:10" x14ac:dyDescent="0.2">
      <c r="A1450" s="1">
        <v>2234</v>
      </c>
      <c r="B1450" s="1">
        <v>0</v>
      </c>
      <c r="C1450" s="1">
        <v>20</v>
      </c>
      <c r="D1450" s="1">
        <v>3</v>
      </c>
      <c r="E1450" s="1">
        <v>1</v>
      </c>
      <c r="F1450" s="1">
        <v>4</v>
      </c>
      <c r="G1450" s="1">
        <v>7</v>
      </c>
      <c r="H1450" s="1">
        <v>1</v>
      </c>
      <c r="I1450" s="1">
        <v>1</v>
      </c>
      <c r="J1450" s="1">
        <v>1</v>
      </c>
    </row>
    <row r="1451" spans="1:10" x14ac:dyDescent="0.2">
      <c r="A1451" s="1">
        <v>1663</v>
      </c>
      <c r="B1451" s="1">
        <v>0</v>
      </c>
      <c r="C1451" s="1">
        <v>18</v>
      </c>
      <c r="D1451" s="1">
        <v>1</v>
      </c>
      <c r="E1451" s="1">
        <v>2</v>
      </c>
      <c r="F1451" s="1">
        <v>4</v>
      </c>
      <c r="G1451" s="1">
        <v>7</v>
      </c>
      <c r="H1451" s="1">
        <v>1</v>
      </c>
      <c r="I1451" s="1">
        <v>2</v>
      </c>
      <c r="J1451" s="1">
        <v>1</v>
      </c>
    </row>
    <row r="1452" spans="1:10" x14ac:dyDescent="0.2">
      <c r="A1452" s="1">
        <v>1700</v>
      </c>
      <c r="B1452" s="1">
        <v>0</v>
      </c>
      <c r="C1452" s="1">
        <v>19</v>
      </c>
      <c r="D1452" s="1">
        <v>5</v>
      </c>
      <c r="E1452" s="1">
        <v>2</v>
      </c>
      <c r="F1452" s="1">
        <v>4</v>
      </c>
      <c r="G1452" s="1">
        <v>7</v>
      </c>
      <c r="H1452" s="1">
        <v>0</v>
      </c>
      <c r="I1452" s="1">
        <v>1</v>
      </c>
      <c r="J1452" s="1">
        <v>1</v>
      </c>
    </row>
    <row r="1453" spans="1:10" x14ac:dyDescent="0.2">
      <c r="A1453" s="1">
        <v>2021</v>
      </c>
      <c r="B1453" s="1">
        <v>0</v>
      </c>
      <c r="C1453" s="1">
        <v>20</v>
      </c>
      <c r="D1453" s="1">
        <v>3</v>
      </c>
      <c r="E1453" s="1">
        <v>2</v>
      </c>
      <c r="F1453" s="1">
        <v>4</v>
      </c>
      <c r="G1453" s="1">
        <v>7</v>
      </c>
      <c r="H1453" s="1">
        <v>1</v>
      </c>
      <c r="I1453" s="1">
        <v>2</v>
      </c>
      <c r="J1453" s="1">
        <v>1</v>
      </c>
    </row>
    <row r="1454" spans="1:10" x14ac:dyDescent="0.2">
      <c r="A1454" s="1">
        <v>1191</v>
      </c>
      <c r="B1454" s="1">
        <v>0</v>
      </c>
      <c r="C1454" s="1">
        <v>13</v>
      </c>
      <c r="D1454" s="1">
        <v>3</v>
      </c>
      <c r="E1454" s="1">
        <v>3</v>
      </c>
      <c r="F1454" s="1">
        <v>4</v>
      </c>
      <c r="G1454" s="1">
        <v>7</v>
      </c>
      <c r="H1454" s="1">
        <v>0</v>
      </c>
      <c r="I1454" s="1">
        <v>1</v>
      </c>
      <c r="J1454" s="1">
        <v>1</v>
      </c>
    </row>
    <row r="1455" spans="1:10" x14ac:dyDescent="0.2">
      <c r="A1455" s="1">
        <v>1236</v>
      </c>
      <c r="B1455" s="1">
        <v>0</v>
      </c>
      <c r="C1455" s="1">
        <v>20</v>
      </c>
      <c r="D1455" s="1">
        <v>5</v>
      </c>
      <c r="E1455" s="1">
        <v>3</v>
      </c>
      <c r="F1455" s="1">
        <v>4</v>
      </c>
      <c r="G1455" s="1">
        <v>7</v>
      </c>
      <c r="H1455" s="1">
        <v>1</v>
      </c>
      <c r="I1455" s="1">
        <v>2</v>
      </c>
      <c r="J1455" s="1">
        <v>1</v>
      </c>
    </row>
    <row r="1456" spans="1:10" x14ac:dyDescent="0.2">
      <c r="A1456" s="1">
        <v>237</v>
      </c>
      <c r="B1456" s="1">
        <v>0</v>
      </c>
      <c r="C1456" s="1">
        <v>10</v>
      </c>
      <c r="D1456" s="1">
        <v>3</v>
      </c>
      <c r="E1456" s="1">
        <v>1</v>
      </c>
      <c r="F1456" s="1">
        <v>5</v>
      </c>
      <c r="G1456" s="1">
        <v>7</v>
      </c>
      <c r="H1456" s="1">
        <v>0</v>
      </c>
      <c r="I1456" s="1">
        <v>0</v>
      </c>
      <c r="J1456" s="1">
        <v>1</v>
      </c>
    </row>
    <row r="1457" spans="1:10" x14ac:dyDescent="0.2">
      <c r="A1457" s="1">
        <v>1597</v>
      </c>
      <c r="B1457" s="1">
        <v>0</v>
      </c>
      <c r="C1457" s="1">
        <v>9</v>
      </c>
      <c r="D1457" s="1">
        <v>2</v>
      </c>
      <c r="E1457" s="1">
        <v>2</v>
      </c>
      <c r="F1457" s="1">
        <v>5</v>
      </c>
      <c r="G1457" s="1">
        <v>7</v>
      </c>
      <c r="H1457" s="1">
        <v>1</v>
      </c>
      <c r="I1457" s="1">
        <v>2</v>
      </c>
      <c r="J1457" s="1">
        <v>1</v>
      </c>
    </row>
    <row r="1458" spans="1:10" x14ac:dyDescent="0.2">
      <c r="A1458" s="1">
        <v>57</v>
      </c>
      <c r="B1458" s="1">
        <v>0</v>
      </c>
      <c r="C1458" s="1">
        <v>14</v>
      </c>
      <c r="D1458" s="1">
        <v>4</v>
      </c>
      <c r="E1458" s="1">
        <v>2</v>
      </c>
      <c r="F1458" s="1">
        <v>5</v>
      </c>
      <c r="G1458" s="1">
        <v>7</v>
      </c>
      <c r="H1458" s="1">
        <v>0</v>
      </c>
      <c r="I1458" s="1">
        <v>0</v>
      </c>
      <c r="J1458" s="1">
        <v>1</v>
      </c>
    </row>
    <row r="1459" spans="1:10" x14ac:dyDescent="0.2">
      <c r="A1459" s="1">
        <v>1589</v>
      </c>
      <c r="B1459" s="1">
        <v>0</v>
      </c>
      <c r="C1459" s="1">
        <v>14</v>
      </c>
      <c r="D1459" s="1">
        <v>4</v>
      </c>
      <c r="E1459" s="1">
        <v>2</v>
      </c>
      <c r="F1459" s="1">
        <v>6</v>
      </c>
      <c r="G1459" s="1">
        <v>7</v>
      </c>
      <c r="H1459" s="1">
        <v>0</v>
      </c>
      <c r="I1459" s="1">
        <v>1</v>
      </c>
      <c r="J1459" s="1">
        <v>1</v>
      </c>
    </row>
    <row r="1460" spans="1:10" x14ac:dyDescent="0.2">
      <c r="A1460" s="1">
        <v>1249</v>
      </c>
      <c r="B1460" s="1">
        <v>0</v>
      </c>
      <c r="C1460" s="1">
        <v>20</v>
      </c>
      <c r="D1460" s="1">
        <v>4</v>
      </c>
      <c r="E1460" s="1">
        <v>3</v>
      </c>
      <c r="F1460" s="1">
        <v>6</v>
      </c>
      <c r="G1460" s="1">
        <v>7</v>
      </c>
      <c r="H1460" s="1">
        <v>0</v>
      </c>
      <c r="I1460" s="1">
        <v>2</v>
      </c>
      <c r="J1460" s="1">
        <v>1</v>
      </c>
    </row>
    <row r="1461" spans="1:10" x14ac:dyDescent="0.2">
      <c r="A1461" s="1">
        <v>303</v>
      </c>
      <c r="B1461" s="1">
        <v>0</v>
      </c>
      <c r="C1461" s="1">
        <v>7</v>
      </c>
      <c r="D1461" s="1">
        <v>2</v>
      </c>
      <c r="E1461" s="1">
        <v>1</v>
      </c>
      <c r="F1461" s="1">
        <v>7</v>
      </c>
      <c r="G1461" s="1">
        <v>7</v>
      </c>
      <c r="H1461" s="1">
        <v>1</v>
      </c>
      <c r="I1461" s="1">
        <v>0</v>
      </c>
      <c r="J1461" s="1">
        <v>1</v>
      </c>
    </row>
    <row r="1462" spans="1:10" x14ac:dyDescent="0.2">
      <c r="A1462" s="1">
        <v>97</v>
      </c>
      <c r="B1462" s="1">
        <v>0</v>
      </c>
      <c r="C1462" s="1">
        <v>5</v>
      </c>
      <c r="D1462" s="1">
        <v>2</v>
      </c>
      <c r="E1462" s="1">
        <v>2</v>
      </c>
      <c r="F1462" s="1">
        <v>7</v>
      </c>
      <c r="G1462" s="1">
        <v>7</v>
      </c>
      <c r="H1462" s="1">
        <v>0</v>
      </c>
      <c r="I1462" s="1">
        <v>2</v>
      </c>
      <c r="J1462" s="1">
        <v>1</v>
      </c>
    </row>
    <row r="1463" spans="1:10" x14ac:dyDescent="0.2">
      <c r="A1463" s="1">
        <v>811</v>
      </c>
      <c r="B1463" s="1">
        <v>0</v>
      </c>
      <c r="C1463" s="1">
        <v>17</v>
      </c>
      <c r="D1463" s="1">
        <v>3</v>
      </c>
      <c r="E1463" s="1">
        <v>2</v>
      </c>
      <c r="F1463" s="1">
        <v>7</v>
      </c>
      <c r="G1463" s="1">
        <v>7</v>
      </c>
      <c r="H1463" s="1">
        <v>1</v>
      </c>
      <c r="I1463" s="1">
        <v>1</v>
      </c>
      <c r="J1463" s="1">
        <v>1</v>
      </c>
    </row>
    <row r="1464" spans="1:10" x14ac:dyDescent="0.2">
      <c r="A1464" s="1">
        <v>1764</v>
      </c>
      <c r="B1464" s="1">
        <v>0</v>
      </c>
      <c r="C1464" s="1">
        <v>5</v>
      </c>
      <c r="D1464" s="1">
        <v>2</v>
      </c>
      <c r="E1464" s="1">
        <v>1</v>
      </c>
      <c r="F1464" s="1">
        <v>8</v>
      </c>
      <c r="G1464" s="1">
        <v>7</v>
      </c>
      <c r="H1464" s="1">
        <v>0</v>
      </c>
      <c r="I1464" s="1">
        <v>1</v>
      </c>
      <c r="J1464" s="1">
        <v>1</v>
      </c>
    </row>
    <row r="1465" spans="1:10" x14ac:dyDescent="0.2">
      <c r="A1465" s="1">
        <v>470</v>
      </c>
      <c r="B1465" s="1">
        <v>0</v>
      </c>
      <c r="C1465" s="1">
        <v>7</v>
      </c>
      <c r="D1465" s="1">
        <v>5</v>
      </c>
      <c r="E1465" s="1">
        <v>1</v>
      </c>
      <c r="F1465" s="1">
        <v>8</v>
      </c>
      <c r="G1465" s="1">
        <v>7</v>
      </c>
      <c r="H1465" s="1">
        <v>0</v>
      </c>
      <c r="I1465" s="1">
        <v>1</v>
      </c>
      <c r="J1465" s="1">
        <v>1</v>
      </c>
    </row>
    <row r="1466" spans="1:10" x14ac:dyDescent="0.2">
      <c r="A1466" s="1">
        <v>564</v>
      </c>
      <c r="B1466" s="1">
        <v>0</v>
      </c>
      <c r="C1466" s="1">
        <v>8</v>
      </c>
      <c r="D1466" s="1">
        <v>5</v>
      </c>
      <c r="E1466" s="1">
        <v>1</v>
      </c>
      <c r="F1466" s="1">
        <v>8</v>
      </c>
      <c r="G1466" s="1">
        <v>7</v>
      </c>
      <c r="H1466" s="1">
        <v>0</v>
      </c>
      <c r="I1466" s="1">
        <v>3</v>
      </c>
      <c r="J1466" s="1">
        <v>1</v>
      </c>
    </row>
    <row r="1467" spans="1:10" x14ac:dyDescent="0.2">
      <c r="A1467" s="1">
        <v>2447</v>
      </c>
      <c r="B1467" s="1">
        <v>0</v>
      </c>
      <c r="C1467" s="1">
        <v>17</v>
      </c>
      <c r="D1467" s="1">
        <v>4</v>
      </c>
      <c r="E1467" s="1">
        <v>2</v>
      </c>
      <c r="F1467" s="1">
        <v>8</v>
      </c>
      <c r="G1467" s="1">
        <v>7</v>
      </c>
      <c r="H1467" s="1">
        <v>1</v>
      </c>
      <c r="I1467" s="1">
        <v>3</v>
      </c>
      <c r="J1467" s="1">
        <v>1</v>
      </c>
    </row>
    <row r="1468" spans="1:10" x14ac:dyDescent="0.2">
      <c r="A1468" s="1">
        <v>1965</v>
      </c>
      <c r="B1468" s="1">
        <v>0</v>
      </c>
      <c r="C1468" s="1">
        <v>6</v>
      </c>
      <c r="D1468" s="1">
        <v>5</v>
      </c>
      <c r="E1468" s="1">
        <v>3</v>
      </c>
      <c r="F1468" s="1">
        <v>8</v>
      </c>
      <c r="G1468" s="1">
        <v>7</v>
      </c>
      <c r="H1468" s="1">
        <v>0</v>
      </c>
      <c r="I1468" s="1">
        <v>3</v>
      </c>
      <c r="J1468" s="1">
        <v>1</v>
      </c>
    </row>
    <row r="1469" spans="1:10" x14ac:dyDescent="0.2">
      <c r="A1469" s="1">
        <v>2153</v>
      </c>
      <c r="B1469" s="1">
        <v>0</v>
      </c>
      <c r="C1469" s="1">
        <v>16</v>
      </c>
      <c r="D1469" s="1">
        <v>4</v>
      </c>
      <c r="E1469" s="1">
        <v>3</v>
      </c>
      <c r="F1469" s="1">
        <v>8</v>
      </c>
      <c r="G1469" s="1">
        <v>7</v>
      </c>
      <c r="H1469" s="1">
        <v>0</v>
      </c>
      <c r="I1469" s="1">
        <v>2</v>
      </c>
      <c r="J1469" s="1">
        <v>1</v>
      </c>
    </row>
    <row r="1470" spans="1:10" x14ac:dyDescent="0.2">
      <c r="A1470" s="1">
        <v>639</v>
      </c>
      <c r="B1470" s="1">
        <v>0</v>
      </c>
      <c r="C1470" s="1">
        <v>5</v>
      </c>
      <c r="D1470" s="1">
        <v>1</v>
      </c>
      <c r="E1470" s="1">
        <v>1</v>
      </c>
      <c r="F1470" s="1">
        <v>9</v>
      </c>
      <c r="G1470" s="1">
        <v>7</v>
      </c>
      <c r="H1470" s="1">
        <v>0</v>
      </c>
      <c r="I1470" s="1">
        <v>2</v>
      </c>
      <c r="J1470" s="1">
        <v>1</v>
      </c>
    </row>
    <row r="1471" spans="1:10" x14ac:dyDescent="0.2">
      <c r="A1471" s="1">
        <v>506</v>
      </c>
      <c r="B1471" s="1">
        <v>0</v>
      </c>
      <c r="C1471" s="1">
        <v>8</v>
      </c>
      <c r="D1471" s="1">
        <v>5</v>
      </c>
      <c r="E1471" s="1">
        <v>1</v>
      </c>
      <c r="F1471" s="1">
        <v>9</v>
      </c>
      <c r="G1471" s="1">
        <v>7</v>
      </c>
      <c r="H1471" s="1">
        <v>0</v>
      </c>
      <c r="I1471" s="1">
        <v>2</v>
      </c>
      <c r="J1471" s="1">
        <v>1</v>
      </c>
    </row>
    <row r="1472" spans="1:10" x14ac:dyDescent="0.2">
      <c r="A1472" s="1">
        <v>1810</v>
      </c>
      <c r="B1472" s="1">
        <v>0</v>
      </c>
      <c r="C1472" s="1">
        <v>12</v>
      </c>
      <c r="D1472" s="1">
        <v>4</v>
      </c>
      <c r="E1472" s="1">
        <v>1</v>
      </c>
      <c r="F1472" s="1">
        <v>9</v>
      </c>
      <c r="G1472" s="1">
        <v>7</v>
      </c>
      <c r="H1472" s="1">
        <v>0</v>
      </c>
      <c r="I1472" s="1">
        <v>1</v>
      </c>
      <c r="J1472" s="1">
        <v>1</v>
      </c>
    </row>
    <row r="1473" spans="1:10" x14ac:dyDescent="0.2">
      <c r="A1473" s="1">
        <v>1570</v>
      </c>
      <c r="B1473" s="1">
        <v>0</v>
      </c>
      <c r="C1473" s="1">
        <v>13</v>
      </c>
      <c r="D1473" s="1">
        <v>2</v>
      </c>
      <c r="E1473" s="1">
        <v>2</v>
      </c>
      <c r="F1473" s="1">
        <v>9</v>
      </c>
      <c r="G1473" s="1">
        <v>7</v>
      </c>
      <c r="H1473" s="1">
        <v>1</v>
      </c>
      <c r="I1473" s="1">
        <v>1</v>
      </c>
      <c r="J1473" s="1">
        <v>1</v>
      </c>
    </row>
    <row r="1474" spans="1:10" x14ac:dyDescent="0.2">
      <c r="A1474" s="1">
        <v>2068</v>
      </c>
      <c r="B1474" s="1">
        <v>0</v>
      </c>
      <c r="C1474" s="1">
        <v>6</v>
      </c>
      <c r="D1474" s="1">
        <v>5</v>
      </c>
      <c r="E1474" s="1">
        <v>3</v>
      </c>
      <c r="F1474" s="1">
        <v>9</v>
      </c>
      <c r="G1474" s="1">
        <v>7</v>
      </c>
      <c r="H1474" s="1">
        <v>1</v>
      </c>
      <c r="I1474" s="1">
        <v>0</v>
      </c>
      <c r="J1474" s="1">
        <v>1</v>
      </c>
    </row>
    <row r="1475" spans="1:10" x14ac:dyDescent="0.2">
      <c r="A1475" s="1">
        <v>1156</v>
      </c>
      <c r="B1475" s="1">
        <v>0</v>
      </c>
      <c r="C1475" s="1">
        <v>16</v>
      </c>
      <c r="D1475" s="1">
        <v>5</v>
      </c>
      <c r="E1475" s="1">
        <v>2</v>
      </c>
      <c r="F1475" s="1">
        <v>10</v>
      </c>
      <c r="G1475" s="1">
        <v>7</v>
      </c>
      <c r="H1475" s="1">
        <v>0</v>
      </c>
      <c r="I1475" s="1">
        <v>3</v>
      </c>
      <c r="J1475" s="1">
        <v>1</v>
      </c>
    </row>
    <row r="1476" spans="1:10" x14ac:dyDescent="0.2">
      <c r="A1476" s="1">
        <v>1564</v>
      </c>
      <c r="B1476" s="1">
        <v>0</v>
      </c>
      <c r="C1476" s="1">
        <v>13</v>
      </c>
      <c r="D1476" s="1">
        <v>1</v>
      </c>
      <c r="E1476" s="1">
        <v>3</v>
      </c>
      <c r="F1476" s="1">
        <v>10</v>
      </c>
      <c r="G1476" s="1">
        <v>7</v>
      </c>
      <c r="H1476" s="1">
        <v>1</v>
      </c>
      <c r="I1476" s="1">
        <v>3</v>
      </c>
      <c r="J1476" s="1">
        <v>1</v>
      </c>
    </row>
    <row r="1477" spans="1:10" x14ac:dyDescent="0.2">
      <c r="A1477" s="1">
        <v>824</v>
      </c>
      <c r="B1477" s="1">
        <v>0</v>
      </c>
      <c r="C1477" s="1">
        <v>20</v>
      </c>
      <c r="D1477" s="1">
        <v>1</v>
      </c>
      <c r="E1477" s="1">
        <v>3</v>
      </c>
      <c r="F1477" s="1">
        <v>10</v>
      </c>
      <c r="G1477" s="1">
        <v>7</v>
      </c>
      <c r="H1477" s="1">
        <v>0</v>
      </c>
      <c r="I1477" s="1">
        <v>0</v>
      </c>
      <c r="J1477" s="1">
        <v>1</v>
      </c>
    </row>
    <row r="1478" spans="1:10" x14ac:dyDescent="0.2">
      <c r="A1478" s="1">
        <v>860</v>
      </c>
      <c r="B1478" s="1">
        <v>0</v>
      </c>
      <c r="C1478" s="1">
        <v>11</v>
      </c>
      <c r="D1478" s="1">
        <v>5</v>
      </c>
      <c r="E1478" s="1">
        <v>2</v>
      </c>
      <c r="F1478" s="1">
        <v>1</v>
      </c>
      <c r="G1478" s="1">
        <v>7</v>
      </c>
      <c r="H1478" s="1">
        <v>1</v>
      </c>
      <c r="I1478" s="1">
        <v>1</v>
      </c>
      <c r="J1478" s="1">
        <v>2</v>
      </c>
    </row>
    <row r="1479" spans="1:10" x14ac:dyDescent="0.2">
      <c r="A1479" s="1">
        <v>2381</v>
      </c>
      <c r="B1479" s="1">
        <v>0</v>
      </c>
      <c r="C1479" s="1">
        <v>19</v>
      </c>
      <c r="D1479" s="1">
        <v>5</v>
      </c>
      <c r="E1479" s="1">
        <v>2</v>
      </c>
      <c r="F1479" s="1">
        <v>1</v>
      </c>
      <c r="G1479" s="1">
        <v>7</v>
      </c>
      <c r="H1479" s="1">
        <v>1</v>
      </c>
      <c r="I1479" s="1">
        <v>3</v>
      </c>
      <c r="J1479" s="1">
        <v>2</v>
      </c>
    </row>
    <row r="1480" spans="1:10" x14ac:dyDescent="0.2">
      <c r="A1480" s="1">
        <v>1435</v>
      </c>
      <c r="B1480" s="1">
        <v>0</v>
      </c>
      <c r="C1480" s="1">
        <v>16</v>
      </c>
      <c r="D1480" s="1">
        <v>3</v>
      </c>
      <c r="E1480" s="1">
        <v>3</v>
      </c>
      <c r="F1480" s="1">
        <v>1</v>
      </c>
      <c r="G1480" s="1">
        <v>7</v>
      </c>
      <c r="H1480" s="1">
        <v>0</v>
      </c>
      <c r="I1480" s="1">
        <v>2</v>
      </c>
      <c r="J1480" s="1">
        <v>2</v>
      </c>
    </row>
    <row r="1481" spans="1:10" x14ac:dyDescent="0.2">
      <c r="A1481" s="1">
        <v>687</v>
      </c>
      <c r="B1481" s="1">
        <v>0</v>
      </c>
      <c r="C1481" s="1">
        <v>11</v>
      </c>
      <c r="D1481" s="1">
        <v>1</v>
      </c>
      <c r="E1481" s="1">
        <v>1</v>
      </c>
      <c r="F1481" s="1">
        <v>2</v>
      </c>
      <c r="G1481" s="1">
        <v>7</v>
      </c>
      <c r="H1481" s="1">
        <v>0</v>
      </c>
      <c r="I1481" s="1">
        <v>2</v>
      </c>
      <c r="J1481" s="1">
        <v>2</v>
      </c>
    </row>
    <row r="1482" spans="1:10" x14ac:dyDescent="0.2">
      <c r="A1482" s="1">
        <v>498</v>
      </c>
      <c r="B1482" s="1">
        <v>0</v>
      </c>
      <c r="C1482" s="1">
        <v>15</v>
      </c>
      <c r="D1482" s="1">
        <v>4</v>
      </c>
      <c r="E1482" s="1">
        <v>1</v>
      </c>
      <c r="F1482" s="1">
        <v>2</v>
      </c>
      <c r="G1482" s="1">
        <v>7</v>
      </c>
      <c r="H1482" s="1">
        <v>1</v>
      </c>
      <c r="I1482" s="1">
        <v>3</v>
      </c>
      <c r="J1482" s="1">
        <v>2</v>
      </c>
    </row>
    <row r="1483" spans="1:10" x14ac:dyDescent="0.2">
      <c r="A1483" s="1">
        <v>766</v>
      </c>
      <c r="B1483" s="1">
        <v>0</v>
      </c>
      <c r="C1483" s="1">
        <v>16</v>
      </c>
      <c r="D1483" s="1">
        <v>3</v>
      </c>
      <c r="E1483" s="1">
        <v>1</v>
      </c>
      <c r="F1483" s="1">
        <v>2</v>
      </c>
      <c r="G1483" s="1">
        <v>7</v>
      </c>
      <c r="H1483" s="1">
        <v>1</v>
      </c>
      <c r="I1483" s="1">
        <v>0</v>
      </c>
      <c r="J1483" s="1">
        <v>2</v>
      </c>
    </row>
    <row r="1484" spans="1:10" x14ac:dyDescent="0.2">
      <c r="A1484" s="1">
        <v>1957</v>
      </c>
      <c r="B1484" s="1">
        <v>0</v>
      </c>
      <c r="C1484" s="1">
        <v>8</v>
      </c>
      <c r="D1484" s="1">
        <v>3</v>
      </c>
      <c r="E1484" s="1">
        <v>3</v>
      </c>
      <c r="F1484" s="1">
        <v>2</v>
      </c>
      <c r="G1484" s="1">
        <v>7</v>
      </c>
      <c r="H1484" s="1">
        <v>1</v>
      </c>
      <c r="I1484" s="1">
        <v>0</v>
      </c>
      <c r="J1484" s="1">
        <v>2</v>
      </c>
    </row>
    <row r="1485" spans="1:10" x14ac:dyDescent="0.2">
      <c r="A1485" s="1">
        <v>2442</v>
      </c>
      <c r="B1485" s="1">
        <v>0</v>
      </c>
      <c r="C1485" s="1">
        <v>9</v>
      </c>
      <c r="D1485" s="1">
        <v>2</v>
      </c>
      <c r="E1485" s="1">
        <v>3</v>
      </c>
      <c r="F1485" s="1">
        <v>2</v>
      </c>
      <c r="G1485" s="1">
        <v>7</v>
      </c>
      <c r="H1485" s="1">
        <v>0</v>
      </c>
      <c r="I1485" s="1">
        <v>0</v>
      </c>
      <c r="J1485" s="1">
        <v>2</v>
      </c>
    </row>
    <row r="1486" spans="1:10" x14ac:dyDescent="0.2">
      <c r="A1486" s="1">
        <v>1467</v>
      </c>
      <c r="B1486" s="1">
        <v>0</v>
      </c>
      <c r="C1486" s="1">
        <v>10</v>
      </c>
      <c r="D1486" s="1">
        <v>5</v>
      </c>
      <c r="E1486" s="1">
        <v>3</v>
      </c>
      <c r="F1486" s="1">
        <v>2</v>
      </c>
      <c r="G1486" s="1">
        <v>7</v>
      </c>
      <c r="H1486" s="1">
        <v>0</v>
      </c>
      <c r="I1486" s="1">
        <v>1</v>
      </c>
      <c r="J1486" s="1">
        <v>2</v>
      </c>
    </row>
    <row r="1487" spans="1:10" x14ac:dyDescent="0.2">
      <c r="A1487" s="1">
        <v>2365</v>
      </c>
      <c r="B1487" s="1">
        <v>0</v>
      </c>
      <c r="C1487" s="1">
        <v>12</v>
      </c>
      <c r="D1487" s="1">
        <v>1</v>
      </c>
      <c r="E1487" s="1">
        <v>3</v>
      </c>
      <c r="F1487" s="1">
        <v>2</v>
      </c>
      <c r="G1487" s="1">
        <v>7</v>
      </c>
      <c r="H1487" s="1">
        <v>0</v>
      </c>
      <c r="I1487" s="1">
        <v>0</v>
      </c>
      <c r="J1487" s="1">
        <v>2</v>
      </c>
    </row>
    <row r="1488" spans="1:10" x14ac:dyDescent="0.2">
      <c r="A1488" s="1">
        <v>123</v>
      </c>
      <c r="B1488" s="1">
        <v>0</v>
      </c>
      <c r="C1488" s="1">
        <v>14</v>
      </c>
      <c r="D1488" s="1">
        <v>1</v>
      </c>
      <c r="E1488" s="1">
        <v>1</v>
      </c>
      <c r="F1488" s="1">
        <v>3</v>
      </c>
      <c r="G1488" s="1">
        <v>7</v>
      </c>
      <c r="H1488" s="1">
        <v>1</v>
      </c>
      <c r="I1488" s="1">
        <v>0</v>
      </c>
      <c r="J1488" s="1">
        <v>2</v>
      </c>
    </row>
    <row r="1489" spans="1:10" x14ac:dyDescent="0.2">
      <c r="A1489" s="1">
        <v>2159</v>
      </c>
      <c r="B1489" s="1">
        <v>0</v>
      </c>
      <c r="C1489" s="1">
        <v>13</v>
      </c>
      <c r="D1489" s="1">
        <v>3</v>
      </c>
      <c r="E1489" s="1">
        <v>2</v>
      </c>
      <c r="F1489" s="1">
        <v>3</v>
      </c>
      <c r="G1489" s="1">
        <v>7</v>
      </c>
      <c r="H1489" s="1">
        <v>0</v>
      </c>
      <c r="I1489" s="1">
        <v>3</v>
      </c>
      <c r="J1489" s="1">
        <v>2</v>
      </c>
    </row>
    <row r="1490" spans="1:10" x14ac:dyDescent="0.2">
      <c r="A1490" s="1">
        <v>516</v>
      </c>
      <c r="B1490" s="1">
        <v>0</v>
      </c>
      <c r="C1490" s="1">
        <v>18</v>
      </c>
      <c r="D1490" s="1">
        <v>3</v>
      </c>
      <c r="E1490" s="1">
        <v>2</v>
      </c>
      <c r="F1490" s="1">
        <v>3</v>
      </c>
      <c r="G1490" s="1">
        <v>7</v>
      </c>
      <c r="H1490" s="1">
        <v>0</v>
      </c>
      <c r="I1490" s="1">
        <v>3</v>
      </c>
      <c r="J1490" s="1">
        <v>2</v>
      </c>
    </row>
    <row r="1491" spans="1:10" x14ac:dyDescent="0.2">
      <c r="A1491" s="1">
        <v>361</v>
      </c>
      <c r="B1491" s="1">
        <v>0</v>
      </c>
      <c r="C1491" s="1">
        <v>5</v>
      </c>
      <c r="D1491" s="1">
        <v>5</v>
      </c>
      <c r="E1491" s="1">
        <v>3</v>
      </c>
      <c r="F1491" s="1">
        <v>3</v>
      </c>
      <c r="G1491" s="1">
        <v>7</v>
      </c>
      <c r="H1491" s="1">
        <v>1</v>
      </c>
      <c r="I1491" s="1">
        <v>3</v>
      </c>
      <c r="J1491" s="1">
        <v>2</v>
      </c>
    </row>
    <row r="1492" spans="1:10" x14ac:dyDescent="0.2">
      <c r="A1492" s="1">
        <v>2393</v>
      </c>
      <c r="B1492" s="1">
        <v>0</v>
      </c>
      <c r="C1492" s="1">
        <v>5</v>
      </c>
      <c r="D1492" s="1">
        <v>3</v>
      </c>
      <c r="E1492" s="1">
        <v>3</v>
      </c>
      <c r="F1492" s="1">
        <v>3</v>
      </c>
      <c r="G1492" s="1">
        <v>7</v>
      </c>
      <c r="H1492" s="1">
        <v>1</v>
      </c>
      <c r="I1492" s="1">
        <v>3</v>
      </c>
      <c r="J1492" s="1">
        <v>2</v>
      </c>
    </row>
    <row r="1493" spans="1:10" x14ac:dyDescent="0.2">
      <c r="A1493" s="1">
        <v>562</v>
      </c>
      <c r="B1493" s="1">
        <v>0</v>
      </c>
      <c r="C1493" s="1">
        <v>16</v>
      </c>
      <c r="D1493" s="1">
        <v>3</v>
      </c>
      <c r="E1493" s="1">
        <v>3</v>
      </c>
      <c r="F1493" s="1">
        <v>3</v>
      </c>
      <c r="G1493" s="1">
        <v>7</v>
      </c>
      <c r="H1493" s="1">
        <v>0</v>
      </c>
      <c r="I1493" s="1">
        <v>1</v>
      </c>
      <c r="J1493" s="1">
        <v>2</v>
      </c>
    </row>
    <row r="1494" spans="1:10" x14ac:dyDescent="0.2">
      <c r="A1494" s="1">
        <v>2138</v>
      </c>
      <c r="B1494" s="1">
        <v>0</v>
      </c>
      <c r="C1494" s="1">
        <v>7</v>
      </c>
      <c r="D1494" s="1">
        <v>1</v>
      </c>
      <c r="E1494" s="1">
        <v>1</v>
      </c>
      <c r="F1494" s="1">
        <v>4</v>
      </c>
      <c r="G1494" s="1">
        <v>7</v>
      </c>
      <c r="H1494" s="1">
        <v>1</v>
      </c>
      <c r="I1494" s="1">
        <v>3</v>
      </c>
      <c r="J1494" s="1">
        <v>2</v>
      </c>
    </row>
    <row r="1495" spans="1:10" x14ac:dyDescent="0.2">
      <c r="A1495" s="1">
        <v>853</v>
      </c>
      <c r="B1495" s="1">
        <v>0</v>
      </c>
      <c r="C1495" s="1">
        <v>15</v>
      </c>
      <c r="D1495" s="1">
        <v>2</v>
      </c>
      <c r="E1495" s="1">
        <v>1</v>
      </c>
      <c r="F1495" s="1">
        <v>4</v>
      </c>
      <c r="G1495" s="1">
        <v>7</v>
      </c>
      <c r="H1495" s="1">
        <v>1</v>
      </c>
      <c r="I1495" s="1">
        <v>3</v>
      </c>
      <c r="J1495" s="1">
        <v>2</v>
      </c>
    </row>
    <row r="1496" spans="1:10" x14ac:dyDescent="0.2">
      <c r="A1496" s="1">
        <v>2070</v>
      </c>
      <c r="B1496" s="1">
        <v>0</v>
      </c>
      <c r="C1496" s="1">
        <v>20</v>
      </c>
      <c r="D1496" s="1">
        <v>5</v>
      </c>
      <c r="E1496" s="1">
        <v>1</v>
      </c>
      <c r="F1496" s="1">
        <v>4</v>
      </c>
      <c r="G1496" s="1">
        <v>7</v>
      </c>
      <c r="H1496" s="1">
        <v>1</v>
      </c>
      <c r="I1496" s="1">
        <v>0</v>
      </c>
      <c r="J1496" s="1">
        <v>2</v>
      </c>
    </row>
    <row r="1497" spans="1:10" x14ac:dyDescent="0.2">
      <c r="A1497" s="1">
        <v>2141</v>
      </c>
      <c r="B1497" s="1">
        <v>0</v>
      </c>
      <c r="C1497" s="1">
        <v>12</v>
      </c>
      <c r="D1497" s="1">
        <v>2</v>
      </c>
      <c r="E1497" s="1">
        <v>2</v>
      </c>
      <c r="F1497" s="1">
        <v>4</v>
      </c>
      <c r="G1497" s="1">
        <v>7</v>
      </c>
      <c r="H1497" s="1">
        <v>1</v>
      </c>
      <c r="I1497" s="1">
        <v>1</v>
      </c>
      <c r="J1497" s="1">
        <v>2</v>
      </c>
    </row>
    <row r="1498" spans="1:10" x14ac:dyDescent="0.2">
      <c r="A1498" s="1">
        <v>1125</v>
      </c>
      <c r="B1498" s="1">
        <v>0</v>
      </c>
      <c r="C1498" s="1">
        <v>5</v>
      </c>
      <c r="D1498" s="1">
        <v>5</v>
      </c>
      <c r="E1498" s="1">
        <v>3</v>
      </c>
      <c r="F1498" s="1">
        <v>4</v>
      </c>
      <c r="G1498" s="1">
        <v>7</v>
      </c>
      <c r="H1498" s="1">
        <v>0</v>
      </c>
      <c r="I1498" s="1">
        <v>3</v>
      </c>
      <c r="J1498" s="1">
        <v>2</v>
      </c>
    </row>
    <row r="1499" spans="1:10" x14ac:dyDescent="0.2">
      <c r="A1499" s="1">
        <v>995</v>
      </c>
      <c r="B1499" s="1">
        <v>0</v>
      </c>
      <c r="C1499" s="1">
        <v>10</v>
      </c>
      <c r="D1499" s="1">
        <v>2</v>
      </c>
      <c r="E1499" s="1">
        <v>3</v>
      </c>
      <c r="F1499" s="1">
        <v>4</v>
      </c>
      <c r="G1499" s="1">
        <v>7</v>
      </c>
      <c r="H1499" s="1">
        <v>0</v>
      </c>
      <c r="I1499" s="1">
        <v>3</v>
      </c>
      <c r="J1499" s="1">
        <v>2</v>
      </c>
    </row>
    <row r="1500" spans="1:10" x14ac:dyDescent="0.2">
      <c r="A1500" s="1">
        <v>1309</v>
      </c>
      <c r="B1500" s="1">
        <v>0</v>
      </c>
      <c r="C1500" s="1">
        <v>17</v>
      </c>
      <c r="D1500" s="1">
        <v>5</v>
      </c>
      <c r="E1500" s="1">
        <v>1</v>
      </c>
      <c r="F1500" s="1">
        <v>5</v>
      </c>
      <c r="G1500" s="1">
        <v>7</v>
      </c>
      <c r="H1500" s="1">
        <v>1</v>
      </c>
      <c r="I1500" s="1">
        <v>1</v>
      </c>
      <c r="J1500" s="1">
        <v>2</v>
      </c>
    </row>
    <row r="1501" spans="1:10" x14ac:dyDescent="0.2">
      <c r="A1501" s="1">
        <v>1848</v>
      </c>
      <c r="B1501" s="1">
        <v>0</v>
      </c>
      <c r="C1501" s="1">
        <v>15</v>
      </c>
      <c r="D1501" s="1">
        <v>2</v>
      </c>
      <c r="E1501" s="1">
        <v>2</v>
      </c>
      <c r="F1501" s="1">
        <v>5</v>
      </c>
      <c r="G1501" s="1">
        <v>7</v>
      </c>
      <c r="H1501" s="1">
        <v>1</v>
      </c>
      <c r="I1501" s="1">
        <v>1</v>
      </c>
      <c r="J1501" s="1">
        <v>2</v>
      </c>
    </row>
    <row r="1502" spans="1:10" x14ac:dyDescent="0.2">
      <c r="A1502" s="1">
        <v>2037</v>
      </c>
      <c r="B1502" s="1">
        <v>0</v>
      </c>
      <c r="C1502" s="1">
        <v>15</v>
      </c>
      <c r="D1502" s="1">
        <v>2</v>
      </c>
      <c r="E1502" s="1">
        <v>2</v>
      </c>
      <c r="F1502" s="1">
        <v>5</v>
      </c>
      <c r="G1502" s="1">
        <v>7</v>
      </c>
      <c r="H1502" s="1">
        <v>0</v>
      </c>
      <c r="I1502" s="1">
        <v>3</v>
      </c>
      <c r="J1502" s="1">
        <v>2</v>
      </c>
    </row>
    <row r="1503" spans="1:10" x14ac:dyDescent="0.2">
      <c r="A1503" s="1">
        <v>18</v>
      </c>
      <c r="B1503" s="1">
        <v>0</v>
      </c>
      <c r="C1503" s="1">
        <v>7</v>
      </c>
      <c r="D1503" s="1">
        <v>1</v>
      </c>
      <c r="E1503" s="1">
        <v>3</v>
      </c>
      <c r="F1503" s="1">
        <v>5</v>
      </c>
      <c r="G1503" s="1">
        <v>7</v>
      </c>
      <c r="H1503" s="1">
        <v>1</v>
      </c>
      <c r="I1503" s="1">
        <v>2</v>
      </c>
      <c r="J1503" s="1">
        <v>2</v>
      </c>
    </row>
    <row r="1504" spans="1:10" x14ac:dyDescent="0.2">
      <c r="A1504" s="1">
        <v>603</v>
      </c>
      <c r="B1504" s="1">
        <v>0</v>
      </c>
      <c r="C1504" s="1">
        <v>9</v>
      </c>
      <c r="D1504" s="1">
        <v>4</v>
      </c>
      <c r="E1504" s="1">
        <v>3</v>
      </c>
      <c r="F1504" s="1">
        <v>5</v>
      </c>
      <c r="G1504" s="1">
        <v>7</v>
      </c>
      <c r="H1504" s="1">
        <v>0</v>
      </c>
      <c r="I1504" s="1">
        <v>2</v>
      </c>
      <c r="J1504" s="1">
        <v>2</v>
      </c>
    </row>
    <row r="1505" spans="1:10" x14ac:dyDescent="0.2">
      <c r="A1505" s="1">
        <v>2081</v>
      </c>
      <c r="B1505" s="1">
        <v>0</v>
      </c>
      <c r="C1505" s="1">
        <v>5</v>
      </c>
      <c r="D1505" s="1">
        <v>5</v>
      </c>
      <c r="E1505" s="1">
        <v>1</v>
      </c>
      <c r="F1505" s="1">
        <v>6</v>
      </c>
      <c r="G1505" s="1">
        <v>7</v>
      </c>
      <c r="H1505" s="1">
        <v>1</v>
      </c>
      <c r="I1505" s="1">
        <v>0</v>
      </c>
      <c r="J1505" s="1">
        <v>2</v>
      </c>
    </row>
    <row r="1506" spans="1:10" x14ac:dyDescent="0.2">
      <c r="A1506" s="1">
        <v>191</v>
      </c>
      <c r="B1506" s="1">
        <v>0</v>
      </c>
      <c r="C1506" s="1">
        <v>12</v>
      </c>
      <c r="D1506" s="1">
        <v>2</v>
      </c>
      <c r="E1506" s="1">
        <v>1</v>
      </c>
      <c r="F1506" s="1">
        <v>6</v>
      </c>
      <c r="G1506" s="1">
        <v>7</v>
      </c>
      <c r="H1506" s="1">
        <v>1</v>
      </c>
      <c r="I1506" s="1">
        <v>2</v>
      </c>
      <c r="J1506" s="1">
        <v>2</v>
      </c>
    </row>
    <row r="1507" spans="1:10" x14ac:dyDescent="0.2">
      <c r="A1507" s="1">
        <v>5</v>
      </c>
      <c r="B1507" s="1">
        <v>0</v>
      </c>
      <c r="C1507" s="1">
        <v>13</v>
      </c>
      <c r="D1507" s="1">
        <v>1</v>
      </c>
      <c r="E1507" s="1">
        <v>2</v>
      </c>
      <c r="F1507" s="1">
        <v>6</v>
      </c>
      <c r="G1507" s="1">
        <v>7</v>
      </c>
      <c r="H1507" s="1">
        <v>1</v>
      </c>
      <c r="I1507" s="1">
        <v>1</v>
      </c>
      <c r="J1507" s="1">
        <v>2</v>
      </c>
    </row>
    <row r="1508" spans="1:10" x14ac:dyDescent="0.2">
      <c r="A1508" s="1">
        <v>1831</v>
      </c>
      <c r="B1508" s="1">
        <v>0</v>
      </c>
      <c r="C1508" s="1">
        <v>14</v>
      </c>
      <c r="D1508" s="1">
        <v>3</v>
      </c>
      <c r="E1508" s="1">
        <v>2</v>
      </c>
      <c r="F1508" s="1">
        <v>6</v>
      </c>
      <c r="G1508" s="1">
        <v>7</v>
      </c>
      <c r="H1508" s="1">
        <v>0</v>
      </c>
      <c r="I1508" s="1">
        <v>1</v>
      </c>
      <c r="J1508" s="1">
        <v>2</v>
      </c>
    </row>
    <row r="1509" spans="1:10" x14ac:dyDescent="0.2">
      <c r="A1509" s="1">
        <v>2410</v>
      </c>
      <c r="B1509" s="1">
        <v>0</v>
      </c>
      <c r="C1509" s="1">
        <v>15</v>
      </c>
      <c r="D1509" s="1">
        <v>3</v>
      </c>
      <c r="E1509" s="1">
        <v>2</v>
      </c>
      <c r="F1509" s="1">
        <v>6</v>
      </c>
      <c r="G1509" s="1">
        <v>7</v>
      </c>
      <c r="H1509" s="1">
        <v>0</v>
      </c>
      <c r="I1509" s="1">
        <v>2</v>
      </c>
      <c r="J1509" s="1">
        <v>2</v>
      </c>
    </row>
    <row r="1510" spans="1:10" x14ac:dyDescent="0.2">
      <c r="A1510" s="1">
        <v>269</v>
      </c>
      <c r="B1510" s="1">
        <v>0</v>
      </c>
      <c r="C1510" s="1">
        <v>11</v>
      </c>
      <c r="D1510" s="1">
        <v>3</v>
      </c>
      <c r="E1510" s="1">
        <v>3</v>
      </c>
      <c r="F1510" s="1">
        <v>6</v>
      </c>
      <c r="G1510" s="1">
        <v>7</v>
      </c>
      <c r="H1510" s="1">
        <v>0</v>
      </c>
      <c r="I1510" s="1">
        <v>0</v>
      </c>
      <c r="J1510" s="1">
        <v>2</v>
      </c>
    </row>
    <row r="1511" spans="1:10" x14ac:dyDescent="0.2">
      <c r="A1511" s="1">
        <v>513</v>
      </c>
      <c r="B1511" s="1">
        <v>0</v>
      </c>
      <c r="C1511" s="1">
        <v>7</v>
      </c>
      <c r="D1511" s="1">
        <v>4</v>
      </c>
      <c r="E1511" s="1">
        <v>1</v>
      </c>
      <c r="F1511" s="1">
        <v>7</v>
      </c>
      <c r="G1511" s="1">
        <v>7</v>
      </c>
      <c r="H1511" s="1">
        <v>0</v>
      </c>
      <c r="I1511" s="1">
        <v>0</v>
      </c>
      <c r="J1511" s="1">
        <v>2</v>
      </c>
    </row>
    <row r="1512" spans="1:10" x14ac:dyDescent="0.2">
      <c r="A1512" s="1">
        <v>1985</v>
      </c>
      <c r="B1512" s="1">
        <v>0</v>
      </c>
      <c r="C1512" s="1">
        <v>18</v>
      </c>
      <c r="D1512" s="1">
        <v>5</v>
      </c>
      <c r="E1512" s="1">
        <v>1</v>
      </c>
      <c r="F1512" s="1">
        <v>7</v>
      </c>
      <c r="G1512" s="1">
        <v>7</v>
      </c>
      <c r="H1512" s="1">
        <v>0</v>
      </c>
      <c r="I1512" s="1">
        <v>3</v>
      </c>
      <c r="J1512" s="1">
        <v>2</v>
      </c>
    </row>
    <row r="1513" spans="1:10" x14ac:dyDescent="0.2">
      <c r="A1513" s="1">
        <v>403</v>
      </c>
      <c r="B1513" s="1">
        <v>0</v>
      </c>
      <c r="C1513" s="1">
        <v>15</v>
      </c>
      <c r="D1513" s="1">
        <v>5</v>
      </c>
      <c r="E1513" s="1">
        <v>3</v>
      </c>
      <c r="F1513" s="1">
        <v>7</v>
      </c>
      <c r="G1513" s="1">
        <v>7</v>
      </c>
      <c r="H1513" s="1">
        <v>1</v>
      </c>
      <c r="I1513" s="1">
        <v>1</v>
      </c>
      <c r="J1513" s="1">
        <v>2</v>
      </c>
    </row>
    <row r="1514" spans="1:10" x14ac:dyDescent="0.2">
      <c r="A1514" s="1">
        <v>200</v>
      </c>
      <c r="B1514" s="1">
        <v>0</v>
      </c>
      <c r="C1514" s="1">
        <v>18</v>
      </c>
      <c r="D1514" s="1">
        <v>2</v>
      </c>
      <c r="E1514" s="1">
        <v>3</v>
      </c>
      <c r="F1514" s="1">
        <v>7</v>
      </c>
      <c r="G1514" s="1">
        <v>7</v>
      </c>
      <c r="H1514" s="1">
        <v>0</v>
      </c>
      <c r="I1514" s="1">
        <v>3</v>
      </c>
      <c r="J1514" s="1">
        <v>2</v>
      </c>
    </row>
    <row r="1515" spans="1:10" x14ac:dyDescent="0.2">
      <c r="A1515" s="1">
        <v>1850</v>
      </c>
      <c r="B1515" s="1">
        <v>0</v>
      </c>
      <c r="C1515" s="1">
        <v>12</v>
      </c>
      <c r="D1515" s="1">
        <v>2</v>
      </c>
      <c r="E1515" s="1">
        <v>2</v>
      </c>
      <c r="F1515" s="1">
        <v>8</v>
      </c>
      <c r="G1515" s="1">
        <v>7</v>
      </c>
      <c r="H1515" s="1">
        <v>1</v>
      </c>
      <c r="I1515" s="1">
        <v>2</v>
      </c>
      <c r="J1515" s="1">
        <v>2</v>
      </c>
    </row>
    <row r="1516" spans="1:10" x14ac:dyDescent="0.2">
      <c r="A1516" s="1">
        <v>1023</v>
      </c>
      <c r="B1516" s="1">
        <v>0</v>
      </c>
      <c r="C1516" s="1">
        <v>5</v>
      </c>
      <c r="D1516" s="1">
        <v>1</v>
      </c>
      <c r="E1516" s="1">
        <v>3</v>
      </c>
      <c r="F1516" s="1">
        <v>8</v>
      </c>
      <c r="G1516" s="1">
        <v>7</v>
      </c>
      <c r="H1516" s="1">
        <v>0</v>
      </c>
      <c r="I1516" s="1">
        <v>3</v>
      </c>
      <c r="J1516" s="1">
        <v>2</v>
      </c>
    </row>
    <row r="1517" spans="1:10" x14ac:dyDescent="0.2">
      <c r="A1517" s="1">
        <v>471</v>
      </c>
      <c r="B1517" s="1">
        <v>0</v>
      </c>
      <c r="C1517" s="1">
        <v>6</v>
      </c>
      <c r="D1517" s="1">
        <v>4</v>
      </c>
      <c r="E1517" s="1">
        <v>2</v>
      </c>
      <c r="F1517" s="1">
        <v>9</v>
      </c>
      <c r="G1517" s="1">
        <v>7</v>
      </c>
      <c r="H1517" s="1">
        <v>0</v>
      </c>
      <c r="I1517" s="1">
        <v>1</v>
      </c>
      <c r="J1517" s="1">
        <v>2</v>
      </c>
    </row>
    <row r="1518" spans="1:10" x14ac:dyDescent="0.2">
      <c r="A1518" s="1">
        <v>862</v>
      </c>
      <c r="B1518" s="1">
        <v>0</v>
      </c>
      <c r="C1518" s="1">
        <v>13</v>
      </c>
      <c r="D1518" s="1">
        <v>3</v>
      </c>
      <c r="E1518" s="1">
        <v>2</v>
      </c>
      <c r="F1518" s="1">
        <v>9</v>
      </c>
      <c r="G1518" s="1">
        <v>7</v>
      </c>
      <c r="H1518" s="1">
        <v>1</v>
      </c>
      <c r="I1518" s="1">
        <v>3</v>
      </c>
      <c r="J1518" s="1">
        <v>2</v>
      </c>
    </row>
    <row r="1519" spans="1:10" x14ac:dyDescent="0.2">
      <c r="A1519" s="1">
        <v>316</v>
      </c>
      <c r="B1519" s="1">
        <v>0</v>
      </c>
      <c r="C1519" s="1">
        <v>19</v>
      </c>
      <c r="D1519" s="1">
        <v>5</v>
      </c>
      <c r="E1519" s="1">
        <v>2</v>
      </c>
      <c r="F1519" s="1">
        <v>9</v>
      </c>
      <c r="G1519" s="1">
        <v>7</v>
      </c>
      <c r="H1519" s="1">
        <v>1</v>
      </c>
      <c r="I1519" s="1">
        <v>3</v>
      </c>
      <c r="J1519" s="1">
        <v>2</v>
      </c>
    </row>
    <row r="1520" spans="1:10" x14ac:dyDescent="0.2">
      <c r="A1520" s="1">
        <v>1330</v>
      </c>
      <c r="B1520" s="1">
        <v>0</v>
      </c>
      <c r="C1520" s="1">
        <v>20</v>
      </c>
      <c r="D1520" s="1">
        <v>3</v>
      </c>
      <c r="E1520" s="1">
        <v>2</v>
      </c>
      <c r="F1520" s="1">
        <v>9</v>
      </c>
      <c r="G1520" s="1">
        <v>7</v>
      </c>
      <c r="H1520" s="1">
        <v>1</v>
      </c>
      <c r="I1520" s="1">
        <v>2</v>
      </c>
      <c r="J1520" s="1">
        <v>2</v>
      </c>
    </row>
    <row r="1521" spans="1:10" x14ac:dyDescent="0.2">
      <c r="A1521" s="1">
        <v>878</v>
      </c>
      <c r="B1521" s="1">
        <v>0</v>
      </c>
      <c r="C1521" s="1">
        <v>7</v>
      </c>
      <c r="D1521" s="1">
        <v>4</v>
      </c>
      <c r="E1521" s="1">
        <v>3</v>
      </c>
      <c r="F1521" s="1">
        <v>9</v>
      </c>
      <c r="G1521" s="1">
        <v>7</v>
      </c>
      <c r="H1521" s="1">
        <v>0</v>
      </c>
      <c r="I1521" s="1">
        <v>0</v>
      </c>
      <c r="J1521" s="1">
        <v>2</v>
      </c>
    </row>
    <row r="1522" spans="1:10" x14ac:dyDescent="0.2">
      <c r="A1522" s="1">
        <v>1759</v>
      </c>
      <c r="B1522" s="1">
        <v>0</v>
      </c>
      <c r="C1522" s="1">
        <v>10</v>
      </c>
      <c r="D1522" s="1">
        <v>4</v>
      </c>
      <c r="E1522" s="1">
        <v>3</v>
      </c>
      <c r="F1522" s="1">
        <v>9</v>
      </c>
      <c r="G1522" s="1">
        <v>7</v>
      </c>
      <c r="H1522" s="1">
        <v>0</v>
      </c>
      <c r="I1522" s="1">
        <v>3</v>
      </c>
      <c r="J1522" s="1">
        <v>2</v>
      </c>
    </row>
    <row r="1523" spans="1:10" x14ac:dyDescent="0.2">
      <c r="A1523" s="1">
        <v>1368</v>
      </c>
      <c r="B1523" s="1">
        <v>0</v>
      </c>
      <c r="C1523" s="1">
        <v>8</v>
      </c>
      <c r="D1523" s="1">
        <v>1</v>
      </c>
      <c r="E1523" s="1">
        <v>2</v>
      </c>
      <c r="F1523" s="1">
        <v>10</v>
      </c>
      <c r="G1523" s="1">
        <v>7</v>
      </c>
      <c r="H1523" s="1">
        <v>1</v>
      </c>
      <c r="I1523" s="1">
        <v>0</v>
      </c>
      <c r="J1523" s="1">
        <v>2</v>
      </c>
    </row>
    <row r="1524" spans="1:10" x14ac:dyDescent="0.2">
      <c r="A1524" s="1">
        <v>1870</v>
      </c>
      <c r="B1524" s="1">
        <v>0</v>
      </c>
      <c r="C1524" s="1">
        <v>8</v>
      </c>
      <c r="D1524" s="1">
        <v>4</v>
      </c>
      <c r="E1524" s="1">
        <v>3</v>
      </c>
      <c r="F1524" s="1">
        <v>10</v>
      </c>
      <c r="G1524" s="1">
        <v>7</v>
      </c>
      <c r="H1524" s="1">
        <v>1</v>
      </c>
      <c r="I1524" s="1">
        <v>0</v>
      </c>
      <c r="J1524" s="1">
        <v>2</v>
      </c>
    </row>
    <row r="1525" spans="1:10" x14ac:dyDescent="0.2">
      <c r="A1525" s="1">
        <v>1351</v>
      </c>
      <c r="B1525" s="1">
        <v>0</v>
      </c>
      <c r="C1525" s="1">
        <v>10</v>
      </c>
      <c r="D1525" s="1">
        <v>1</v>
      </c>
      <c r="E1525" s="1">
        <v>1</v>
      </c>
      <c r="F1525" s="1">
        <v>1</v>
      </c>
      <c r="G1525" s="1">
        <v>7</v>
      </c>
      <c r="H1525" s="1">
        <v>1</v>
      </c>
      <c r="I1525" s="1">
        <v>2</v>
      </c>
      <c r="J1525" s="1">
        <v>3</v>
      </c>
    </row>
    <row r="1526" spans="1:10" x14ac:dyDescent="0.2">
      <c r="A1526" s="1">
        <v>1343</v>
      </c>
      <c r="B1526" s="1">
        <v>0</v>
      </c>
      <c r="C1526" s="1">
        <v>19</v>
      </c>
      <c r="D1526" s="1">
        <v>2</v>
      </c>
      <c r="E1526" s="1">
        <v>1</v>
      </c>
      <c r="F1526" s="1">
        <v>1</v>
      </c>
      <c r="G1526" s="1">
        <v>7</v>
      </c>
      <c r="H1526" s="1">
        <v>0</v>
      </c>
      <c r="I1526" s="1">
        <v>2</v>
      </c>
      <c r="J1526" s="1">
        <v>3</v>
      </c>
    </row>
    <row r="1527" spans="1:10" x14ac:dyDescent="0.2">
      <c r="A1527" s="1">
        <v>2203</v>
      </c>
      <c r="B1527" s="1">
        <v>0</v>
      </c>
      <c r="C1527" s="1">
        <v>11</v>
      </c>
      <c r="D1527" s="1">
        <v>1</v>
      </c>
      <c r="E1527" s="1">
        <v>2</v>
      </c>
      <c r="F1527" s="1">
        <v>1</v>
      </c>
      <c r="G1527" s="1">
        <v>7</v>
      </c>
      <c r="H1527" s="1">
        <v>0</v>
      </c>
      <c r="I1527" s="1">
        <v>0</v>
      </c>
      <c r="J1527" s="1">
        <v>3</v>
      </c>
    </row>
    <row r="1528" spans="1:10" x14ac:dyDescent="0.2">
      <c r="A1528" s="1">
        <v>1134</v>
      </c>
      <c r="B1528" s="1">
        <v>0</v>
      </c>
      <c r="C1528" s="1">
        <v>5</v>
      </c>
      <c r="D1528" s="1">
        <v>3</v>
      </c>
      <c r="E1528" s="1">
        <v>3</v>
      </c>
      <c r="F1528" s="1">
        <v>1</v>
      </c>
      <c r="G1528" s="1">
        <v>7</v>
      </c>
      <c r="H1528" s="1">
        <v>1</v>
      </c>
      <c r="I1528" s="1">
        <v>1</v>
      </c>
      <c r="J1528" s="1">
        <v>3</v>
      </c>
    </row>
    <row r="1529" spans="1:10" x14ac:dyDescent="0.2">
      <c r="A1529" s="1">
        <v>134</v>
      </c>
      <c r="B1529" s="1">
        <v>0</v>
      </c>
      <c r="C1529" s="1">
        <v>19</v>
      </c>
      <c r="D1529" s="1">
        <v>2</v>
      </c>
      <c r="E1529" s="1">
        <v>3</v>
      </c>
      <c r="F1529" s="1">
        <v>1</v>
      </c>
      <c r="G1529" s="1">
        <v>7</v>
      </c>
      <c r="H1529" s="1">
        <v>0</v>
      </c>
      <c r="I1529" s="1">
        <v>0</v>
      </c>
      <c r="J1529" s="1">
        <v>3</v>
      </c>
    </row>
    <row r="1530" spans="1:10" x14ac:dyDescent="0.2">
      <c r="A1530" s="1">
        <v>384</v>
      </c>
      <c r="B1530" s="1">
        <v>0</v>
      </c>
      <c r="C1530" s="1">
        <v>6</v>
      </c>
      <c r="D1530" s="1">
        <v>1</v>
      </c>
      <c r="E1530" s="1">
        <v>1</v>
      </c>
      <c r="F1530" s="1">
        <v>2</v>
      </c>
      <c r="G1530" s="1">
        <v>7</v>
      </c>
      <c r="H1530" s="1">
        <v>1</v>
      </c>
      <c r="I1530" s="1">
        <v>2</v>
      </c>
      <c r="J1530" s="1">
        <v>3</v>
      </c>
    </row>
    <row r="1531" spans="1:10" x14ac:dyDescent="0.2">
      <c r="A1531" s="1">
        <v>850</v>
      </c>
      <c r="B1531" s="1">
        <v>0</v>
      </c>
      <c r="C1531" s="1">
        <v>6</v>
      </c>
      <c r="D1531" s="1">
        <v>4</v>
      </c>
      <c r="E1531" s="1">
        <v>3</v>
      </c>
      <c r="F1531" s="1">
        <v>2</v>
      </c>
      <c r="G1531" s="1">
        <v>7</v>
      </c>
      <c r="H1531" s="1">
        <v>1</v>
      </c>
      <c r="I1531" s="1">
        <v>1</v>
      </c>
      <c r="J1531" s="1">
        <v>3</v>
      </c>
    </row>
    <row r="1532" spans="1:10" x14ac:dyDescent="0.2">
      <c r="A1532" s="1">
        <v>1818</v>
      </c>
      <c r="B1532" s="1">
        <v>0</v>
      </c>
      <c r="C1532" s="1">
        <v>12</v>
      </c>
      <c r="D1532" s="1">
        <v>2</v>
      </c>
      <c r="E1532" s="1">
        <v>3</v>
      </c>
      <c r="F1532" s="1">
        <v>2</v>
      </c>
      <c r="G1532" s="1">
        <v>7</v>
      </c>
      <c r="H1532" s="1">
        <v>1</v>
      </c>
      <c r="I1532" s="1">
        <v>3</v>
      </c>
      <c r="J1532" s="1">
        <v>3</v>
      </c>
    </row>
    <row r="1533" spans="1:10" x14ac:dyDescent="0.2">
      <c r="A1533" s="1">
        <v>1270</v>
      </c>
      <c r="B1533" s="1">
        <v>0</v>
      </c>
      <c r="C1533" s="1">
        <v>16</v>
      </c>
      <c r="D1533" s="1">
        <v>4</v>
      </c>
      <c r="E1533" s="1">
        <v>3</v>
      </c>
      <c r="F1533" s="1">
        <v>2</v>
      </c>
      <c r="G1533" s="1">
        <v>7</v>
      </c>
      <c r="H1533" s="1">
        <v>1</v>
      </c>
      <c r="I1533" s="1">
        <v>0</v>
      </c>
      <c r="J1533" s="1">
        <v>3</v>
      </c>
    </row>
    <row r="1534" spans="1:10" x14ac:dyDescent="0.2">
      <c r="A1534" s="1">
        <v>266</v>
      </c>
      <c r="B1534" s="1">
        <v>0</v>
      </c>
      <c r="C1534" s="1">
        <v>5</v>
      </c>
      <c r="D1534" s="1">
        <v>2</v>
      </c>
      <c r="E1534" s="1">
        <v>1</v>
      </c>
      <c r="F1534" s="1">
        <v>3</v>
      </c>
      <c r="G1534" s="1">
        <v>7</v>
      </c>
      <c r="H1534" s="1">
        <v>1</v>
      </c>
      <c r="I1534" s="1">
        <v>3</v>
      </c>
      <c r="J1534" s="1">
        <v>3</v>
      </c>
    </row>
    <row r="1535" spans="1:10" x14ac:dyDescent="0.2">
      <c r="A1535" s="1">
        <v>939</v>
      </c>
      <c r="B1535" s="1">
        <v>0</v>
      </c>
      <c r="C1535" s="1">
        <v>18</v>
      </c>
      <c r="D1535" s="1">
        <v>3</v>
      </c>
      <c r="E1535" s="1">
        <v>1</v>
      </c>
      <c r="F1535" s="1">
        <v>3</v>
      </c>
      <c r="G1535" s="1">
        <v>7</v>
      </c>
      <c r="H1535" s="1">
        <v>1</v>
      </c>
      <c r="I1535" s="1">
        <v>0</v>
      </c>
      <c r="J1535" s="1">
        <v>3</v>
      </c>
    </row>
    <row r="1536" spans="1:10" x14ac:dyDescent="0.2">
      <c r="A1536" s="1">
        <v>1855</v>
      </c>
      <c r="B1536" s="1">
        <v>0</v>
      </c>
      <c r="C1536" s="1">
        <v>6</v>
      </c>
      <c r="D1536" s="1">
        <v>3</v>
      </c>
      <c r="E1536" s="1">
        <v>3</v>
      </c>
      <c r="F1536" s="1">
        <v>3</v>
      </c>
      <c r="G1536" s="1">
        <v>7</v>
      </c>
      <c r="H1536" s="1">
        <v>1</v>
      </c>
      <c r="I1536" s="1">
        <v>3</v>
      </c>
      <c r="J1536" s="1">
        <v>3</v>
      </c>
    </row>
    <row r="1537" spans="1:10" x14ac:dyDescent="0.2">
      <c r="A1537" s="1">
        <v>725</v>
      </c>
      <c r="B1537" s="1">
        <v>0</v>
      </c>
      <c r="C1537" s="1">
        <v>18</v>
      </c>
      <c r="D1537" s="1">
        <v>3</v>
      </c>
      <c r="E1537" s="1">
        <v>3</v>
      </c>
      <c r="F1537" s="1">
        <v>3</v>
      </c>
      <c r="G1537" s="1">
        <v>7</v>
      </c>
      <c r="H1537" s="1">
        <v>1</v>
      </c>
      <c r="I1537" s="1">
        <v>3</v>
      </c>
      <c r="J1537" s="1">
        <v>3</v>
      </c>
    </row>
    <row r="1538" spans="1:10" x14ac:dyDescent="0.2">
      <c r="A1538" s="1">
        <v>624</v>
      </c>
      <c r="B1538" s="1">
        <v>0</v>
      </c>
      <c r="C1538" s="1">
        <v>12</v>
      </c>
      <c r="D1538" s="1">
        <v>1</v>
      </c>
      <c r="E1538" s="1">
        <v>1</v>
      </c>
      <c r="F1538" s="1">
        <v>4</v>
      </c>
      <c r="G1538" s="1">
        <v>7</v>
      </c>
      <c r="H1538" s="1">
        <v>1</v>
      </c>
      <c r="I1538" s="1">
        <v>2</v>
      </c>
      <c r="J1538" s="1">
        <v>3</v>
      </c>
    </row>
    <row r="1539" spans="1:10" x14ac:dyDescent="0.2">
      <c r="A1539" s="1">
        <v>69</v>
      </c>
      <c r="B1539" s="1">
        <v>0</v>
      </c>
      <c r="C1539" s="1">
        <v>5</v>
      </c>
      <c r="D1539" s="1">
        <v>1</v>
      </c>
      <c r="E1539" s="1">
        <v>2</v>
      </c>
      <c r="F1539" s="1">
        <v>4</v>
      </c>
      <c r="G1539" s="1">
        <v>7</v>
      </c>
      <c r="H1539" s="1">
        <v>0</v>
      </c>
      <c r="I1539" s="1">
        <v>0</v>
      </c>
      <c r="J1539" s="1">
        <v>3</v>
      </c>
    </row>
    <row r="1540" spans="1:10" x14ac:dyDescent="0.2">
      <c r="A1540" s="1">
        <v>1359</v>
      </c>
      <c r="B1540" s="1">
        <v>0</v>
      </c>
      <c r="C1540" s="1">
        <v>14</v>
      </c>
      <c r="D1540" s="1">
        <v>1</v>
      </c>
      <c r="E1540" s="1">
        <v>3</v>
      </c>
      <c r="F1540" s="1">
        <v>4</v>
      </c>
      <c r="G1540" s="1">
        <v>7</v>
      </c>
      <c r="H1540" s="1">
        <v>1</v>
      </c>
      <c r="I1540" s="1">
        <v>1</v>
      </c>
      <c r="J1540" s="1">
        <v>3</v>
      </c>
    </row>
    <row r="1541" spans="1:10" x14ac:dyDescent="0.2">
      <c r="A1541" s="1">
        <v>61</v>
      </c>
      <c r="B1541" s="1">
        <v>0</v>
      </c>
      <c r="C1541" s="1">
        <v>17</v>
      </c>
      <c r="D1541" s="1">
        <v>4</v>
      </c>
      <c r="E1541" s="1">
        <v>3</v>
      </c>
      <c r="F1541" s="1">
        <v>4</v>
      </c>
      <c r="G1541" s="1">
        <v>7</v>
      </c>
      <c r="H1541" s="1">
        <v>0</v>
      </c>
      <c r="I1541" s="1">
        <v>3</v>
      </c>
      <c r="J1541" s="1">
        <v>3</v>
      </c>
    </row>
    <row r="1542" spans="1:10" x14ac:dyDescent="0.2">
      <c r="A1542" s="1">
        <v>800</v>
      </c>
      <c r="B1542" s="1">
        <v>0</v>
      </c>
      <c r="C1542" s="1">
        <v>18</v>
      </c>
      <c r="D1542" s="1">
        <v>5</v>
      </c>
      <c r="E1542" s="1">
        <v>3</v>
      </c>
      <c r="F1542" s="1">
        <v>4</v>
      </c>
      <c r="G1542" s="1">
        <v>7</v>
      </c>
      <c r="H1542" s="1">
        <v>0</v>
      </c>
      <c r="I1542" s="1">
        <v>0</v>
      </c>
      <c r="J1542" s="1">
        <v>3</v>
      </c>
    </row>
    <row r="1543" spans="1:10" x14ac:dyDescent="0.2">
      <c r="A1543" s="1">
        <v>989</v>
      </c>
      <c r="B1543" s="1">
        <v>0</v>
      </c>
      <c r="C1543" s="1">
        <v>14</v>
      </c>
      <c r="D1543" s="1">
        <v>5</v>
      </c>
      <c r="E1543" s="1">
        <v>2</v>
      </c>
      <c r="F1543" s="1">
        <v>5</v>
      </c>
      <c r="G1543" s="1">
        <v>7</v>
      </c>
      <c r="H1543" s="1">
        <v>1</v>
      </c>
      <c r="I1543" s="1">
        <v>3</v>
      </c>
      <c r="J1543" s="1">
        <v>3</v>
      </c>
    </row>
    <row r="1544" spans="1:10" x14ac:dyDescent="0.2">
      <c r="A1544" s="1">
        <v>1668</v>
      </c>
      <c r="B1544" s="1">
        <v>0</v>
      </c>
      <c r="C1544" s="1">
        <v>12</v>
      </c>
      <c r="D1544" s="1">
        <v>4</v>
      </c>
      <c r="E1544" s="1">
        <v>2</v>
      </c>
      <c r="F1544" s="1">
        <v>6</v>
      </c>
      <c r="G1544" s="1">
        <v>7</v>
      </c>
      <c r="H1544" s="1">
        <v>1</v>
      </c>
      <c r="I1544" s="1">
        <v>1</v>
      </c>
      <c r="J1544" s="1">
        <v>3</v>
      </c>
    </row>
    <row r="1545" spans="1:10" x14ac:dyDescent="0.2">
      <c r="A1545" s="1">
        <v>1657</v>
      </c>
      <c r="B1545" s="1">
        <v>0</v>
      </c>
      <c r="C1545" s="1">
        <v>20</v>
      </c>
      <c r="D1545" s="1">
        <v>5</v>
      </c>
      <c r="E1545" s="1">
        <v>2</v>
      </c>
      <c r="F1545" s="1">
        <v>7</v>
      </c>
      <c r="G1545" s="1">
        <v>7</v>
      </c>
      <c r="H1545" s="1">
        <v>0</v>
      </c>
      <c r="I1545" s="1">
        <v>2</v>
      </c>
      <c r="J1545" s="1">
        <v>3</v>
      </c>
    </row>
    <row r="1546" spans="1:10" x14ac:dyDescent="0.2">
      <c r="A1546" s="1">
        <v>2033</v>
      </c>
      <c r="B1546" s="1">
        <v>0</v>
      </c>
      <c r="C1546" s="1">
        <v>5</v>
      </c>
      <c r="D1546" s="1">
        <v>4</v>
      </c>
      <c r="E1546" s="1">
        <v>2</v>
      </c>
      <c r="F1546" s="1">
        <v>8</v>
      </c>
      <c r="G1546" s="1">
        <v>7</v>
      </c>
      <c r="H1546" s="1">
        <v>1</v>
      </c>
      <c r="I1546" s="1">
        <v>0</v>
      </c>
      <c r="J1546" s="1">
        <v>3</v>
      </c>
    </row>
    <row r="1547" spans="1:10" x14ac:dyDescent="0.2">
      <c r="A1547" s="1">
        <v>781</v>
      </c>
      <c r="B1547" s="1">
        <v>0</v>
      </c>
      <c r="C1547" s="1">
        <v>6</v>
      </c>
      <c r="D1547" s="1">
        <v>1</v>
      </c>
      <c r="E1547" s="1">
        <v>2</v>
      </c>
      <c r="F1547" s="1">
        <v>8</v>
      </c>
      <c r="G1547" s="1">
        <v>7</v>
      </c>
      <c r="H1547" s="1">
        <v>0</v>
      </c>
      <c r="I1547" s="1">
        <v>0</v>
      </c>
      <c r="J1547" s="1">
        <v>3</v>
      </c>
    </row>
    <row r="1548" spans="1:10" x14ac:dyDescent="0.2">
      <c r="A1548" s="1">
        <v>180</v>
      </c>
      <c r="B1548" s="1">
        <v>0</v>
      </c>
      <c r="C1548" s="1">
        <v>8</v>
      </c>
      <c r="D1548" s="1">
        <v>1</v>
      </c>
      <c r="E1548" s="1">
        <v>3</v>
      </c>
      <c r="F1548" s="1">
        <v>8</v>
      </c>
      <c r="G1548" s="1">
        <v>7</v>
      </c>
      <c r="H1548" s="1">
        <v>0</v>
      </c>
      <c r="I1548" s="1">
        <v>0</v>
      </c>
      <c r="J1548" s="1">
        <v>3</v>
      </c>
    </row>
    <row r="1549" spans="1:10" x14ac:dyDescent="0.2">
      <c r="A1549" s="1">
        <v>1579</v>
      </c>
      <c r="B1549" s="1">
        <v>0</v>
      </c>
      <c r="C1549" s="1">
        <v>10</v>
      </c>
      <c r="D1549" s="1">
        <v>4</v>
      </c>
      <c r="E1549" s="1">
        <v>3</v>
      </c>
      <c r="F1549" s="1">
        <v>8</v>
      </c>
      <c r="G1549" s="1">
        <v>7</v>
      </c>
      <c r="H1549" s="1">
        <v>1</v>
      </c>
      <c r="I1549" s="1">
        <v>1</v>
      </c>
      <c r="J1549" s="1">
        <v>3</v>
      </c>
    </row>
    <row r="1550" spans="1:10" x14ac:dyDescent="0.2">
      <c r="A1550" s="1">
        <v>1109</v>
      </c>
      <c r="B1550" s="1">
        <v>0</v>
      </c>
      <c r="C1550" s="1">
        <v>18</v>
      </c>
      <c r="D1550" s="1">
        <v>2</v>
      </c>
      <c r="E1550" s="1">
        <v>3</v>
      </c>
      <c r="F1550" s="1">
        <v>8</v>
      </c>
      <c r="G1550" s="1">
        <v>7</v>
      </c>
      <c r="H1550" s="1">
        <v>1</v>
      </c>
      <c r="I1550" s="1">
        <v>0</v>
      </c>
      <c r="J1550" s="1">
        <v>3</v>
      </c>
    </row>
    <row r="1551" spans="1:10" x14ac:dyDescent="0.2">
      <c r="A1551" s="1">
        <v>1539</v>
      </c>
      <c r="B1551" s="1">
        <v>0</v>
      </c>
      <c r="C1551" s="1">
        <v>5</v>
      </c>
      <c r="D1551" s="1">
        <v>5</v>
      </c>
      <c r="E1551" s="1">
        <v>2</v>
      </c>
      <c r="F1551" s="1">
        <v>9</v>
      </c>
      <c r="G1551" s="1">
        <v>7</v>
      </c>
      <c r="H1551" s="1">
        <v>0</v>
      </c>
      <c r="I1551" s="1">
        <v>2</v>
      </c>
      <c r="J1551" s="1">
        <v>3</v>
      </c>
    </row>
    <row r="1552" spans="1:10" x14ac:dyDescent="0.2">
      <c r="A1552" s="1">
        <v>598</v>
      </c>
      <c r="B1552" s="1">
        <v>0</v>
      </c>
      <c r="C1552" s="1">
        <v>10</v>
      </c>
      <c r="D1552" s="1">
        <v>2</v>
      </c>
      <c r="E1552" s="1">
        <v>2</v>
      </c>
      <c r="F1552" s="1">
        <v>9</v>
      </c>
      <c r="G1552" s="1">
        <v>7</v>
      </c>
      <c r="H1552" s="1">
        <v>1</v>
      </c>
      <c r="I1552" s="1">
        <v>0</v>
      </c>
      <c r="J1552" s="1">
        <v>3</v>
      </c>
    </row>
    <row r="1553" spans="1:10" x14ac:dyDescent="0.2">
      <c r="A1553" s="1">
        <v>2375</v>
      </c>
      <c r="B1553" s="1">
        <v>0</v>
      </c>
      <c r="C1553" s="1">
        <v>5</v>
      </c>
      <c r="D1553" s="1">
        <v>5</v>
      </c>
      <c r="E1553" s="1">
        <v>2</v>
      </c>
      <c r="F1553" s="1">
        <v>10</v>
      </c>
      <c r="G1553" s="1">
        <v>7</v>
      </c>
      <c r="H1553" s="1">
        <v>1</v>
      </c>
      <c r="I1553" s="1">
        <v>3</v>
      </c>
      <c r="J1553" s="1">
        <v>3</v>
      </c>
    </row>
    <row r="1554" spans="1:10" x14ac:dyDescent="0.2">
      <c r="A1554" s="1">
        <v>1854</v>
      </c>
      <c r="B1554" s="1">
        <v>0</v>
      </c>
      <c r="C1554" s="1">
        <v>14</v>
      </c>
      <c r="D1554" s="1">
        <v>3</v>
      </c>
      <c r="E1554" s="1">
        <v>2</v>
      </c>
      <c r="F1554" s="1">
        <v>10</v>
      </c>
      <c r="G1554" s="1">
        <v>7</v>
      </c>
      <c r="H1554" s="1">
        <v>0</v>
      </c>
      <c r="I1554" s="1">
        <v>3</v>
      </c>
      <c r="J1554" s="1">
        <v>3</v>
      </c>
    </row>
    <row r="1555" spans="1:10" x14ac:dyDescent="0.2">
      <c r="A1555" s="1">
        <v>2343</v>
      </c>
      <c r="B1555" s="1">
        <v>0</v>
      </c>
      <c r="C1555" s="1">
        <v>5</v>
      </c>
      <c r="D1555" s="1">
        <v>4</v>
      </c>
      <c r="E1555" s="1">
        <v>3</v>
      </c>
      <c r="F1555" s="1">
        <v>10</v>
      </c>
      <c r="G1555" s="1">
        <v>7</v>
      </c>
      <c r="H1555" s="1">
        <v>1</v>
      </c>
      <c r="I1555" s="1">
        <v>3</v>
      </c>
      <c r="J1555" s="1">
        <v>3</v>
      </c>
    </row>
    <row r="1556" spans="1:10" x14ac:dyDescent="0.2">
      <c r="A1556" s="1">
        <v>799</v>
      </c>
      <c r="B1556" s="1">
        <v>0</v>
      </c>
      <c r="C1556" s="1">
        <v>17</v>
      </c>
      <c r="D1556" s="1">
        <v>4</v>
      </c>
      <c r="E1556" s="1">
        <v>3</v>
      </c>
      <c r="F1556" s="1">
        <v>10</v>
      </c>
      <c r="G1556" s="1">
        <v>7</v>
      </c>
      <c r="H1556" s="1">
        <v>0</v>
      </c>
      <c r="I1556" s="1">
        <v>1</v>
      </c>
      <c r="J1556" s="1">
        <v>3</v>
      </c>
    </row>
    <row r="1557" spans="1:10" x14ac:dyDescent="0.2">
      <c r="A1557" s="1">
        <v>401</v>
      </c>
      <c r="B1557" s="1">
        <v>0</v>
      </c>
      <c r="C1557" s="1">
        <v>18</v>
      </c>
      <c r="D1557" s="1">
        <v>3</v>
      </c>
      <c r="E1557" s="1">
        <v>3</v>
      </c>
      <c r="F1557" s="1">
        <v>10</v>
      </c>
      <c r="G1557" s="1">
        <v>7</v>
      </c>
      <c r="H1557" s="1">
        <v>1</v>
      </c>
      <c r="I1557" s="1">
        <v>1</v>
      </c>
      <c r="J1557" s="1">
        <v>3</v>
      </c>
    </row>
    <row r="1558" spans="1:10" x14ac:dyDescent="0.2">
      <c r="A1558" s="1">
        <v>589</v>
      </c>
      <c r="B1558" s="1">
        <v>0</v>
      </c>
      <c r="C1558" s="1">
        <v>8</v>
      </c>
      <c r="D1558" s="1">
        <v>4</v>
      </c>
      <c r="E1558" s="1">
        <v>2</v>
      </c>
      <c r="F1558" s="1">
        <v>1</v>
      </c>
      <c r="G1558" s="1">
        <v>7</v>
      </c>
      <c r="H1558" s="1">
        <v>0</v>
      </c>
      <c r="I1558" s="1">
        <v>3</v>
      </c>
      <c r="J1558" s="1">
        <v>4</v>
      </c>
    </row>
    <row r="1559" spans="1:10" x14ac:dyDescent="0.2">
      <c r="A1559" s="1">
        <v>2429</v>
      </c>
      <c r="B1559" s="1">
        <v>0</v>
      </c>
      <c r="C1559" s="1">
        <v>10</v>
      </c>
      <c r="D1559" s="1">
        <v>1</v>
      </c>
      <c r="E1559" s="1">
        <v>2</v>
      </c>
      <c r="F1559" s="1">
        <v>1</v>
      </c>
      <c r="G1559" s="1">
        <v>7</v>
      </c>
      <c r="H1559" s="1">
        <v>1</v>
      </c>
      <c r="I1559" s="1">
        <v>3</v>
      </c>
      <c r="J1559" s="1">
        <v>4</v>
      </c>
    </row>
    <row r="1560" spans="1:10" x14ac:dyDescent="0.2">
      <c r="A1560" s="1">
        <v>369</v>
      </c>
      <c r="B1560" s="1">
        <v>0</v>
      </c>
      <c r="C1560" s="1">
        <v>17</v>
      </c>
      <c r="D1560" s="1">
        <v>3</v>
      </c>
      <c r="E1560" s="1">
        <v>2</v>
      </c>
      <c r="F1560" s="1">
        <v>1</v>
      </c>
      <c r="G1560" s="1">
        <v>7</v>
      </c>
      <c r="H1560" s="1">
        <v>0</v>
      </c>
      <c r="I1560" s="1">
        <v>0</v>
      </c>
      <c r="J1560" s="1">
        <v>4</v>
      </c>
    </row>
    <row r="1561" spans="1:10" x14ac:dyDescent="0.2">
      <c r="A1561" s="1">
        <v>1339</v>
      </c>
      <c r="B1561" s="1">
        <v>0</v>
      </c>
      <c r="C1561" s="1">
        <v>18</v>
      </c>
      <c r="D1561" s="1">
        <v>4</v>
      </c>
      <c r="E1561" s="1">
        <v>3</v>
      </c>
      <c r="F1561" s="1">
        <v>1</v>
      </c>
      <c r="G1561" s="1">
        <v>7</v>
      </c>
      <c r="H1561" s="1">
        <v>0</v>
      </c>
      <c r="I1561" s="1">
        <v>1</v>
      </c>
      <c r="J1561" s="1">
        <v>4</v>
      </c>
    </row>
    <row r="1562" spans="1:10" x14ac:dyDescent="0.2">
      <c r="A1562" s="1">
        <v>943</v>
      </c>
      <c r="B1562" s="1">
        <v>0</v>
      </c>
      <c r="C1562" s="1">
        <v>6</v>
      </c>
      <c r="D1562" s="1">
        <v>4</v>
      </c>
      <c r="E1562" s="1">
        <v>1</v>
      </c>
      <c r="F1562" s="1">
        <v>2</v>
      </c>
      <c r="G1562" s="1">
        <v>7</v>
      </c>
      <c r="H1562" s="1">
        <v>0</v>
      </c>
      <c r="I1562" s="1">
        <v>0</v>
      </c>
      <c r="J1562" s="1">
        <v>4</v>
      </c>
    </row>
    <row r="1563" spans="1:10" x14ac:dyDescent="0.2">
      <c r="A1563" s="1">
        <v>551</v>
      </c>
      <c r="B1563" s="1">
        <v>0</v>
      </c>
      <c r="C1563" s="1">
        <v>13</v>
      </c>
      <c r="D1563" s="1">
        <v>1</v>
      </c>
      <c r="E1563" s="1">
        <v>1</v>
      </c>
      <c r="F1563" s="1">
        <v>2</v>
      </c>
      <c r="G1563" s="1">
        <v>7</v>
      </c>
      <c r="H1563" s="1">
        <v>0</v>
      </c>
      <c r="I1563" s="1">
        <v>0</v>
      </c>
      <c r="J1563" s="1">
        <v>4</v>
      </c>
    </row>
    <row r="1564" spans="1:10" x14ac:dyDescent="0.2">
      <c r="A1564" s="1">
        <v>522</v>
      </c>
      <c r="B1564" s="1">
        <v>0</v>
      </c>
      <c r="C1564" s="1">
        <v>9</v>
      </c>
      <c r="D1564" s="1">
        <v>1</v>
      </c>
      <c r="E1564" s="1">
        <v>2</v>
      </c>
      <c r="F1564" s="1">
        <v>2</v>
      </c>
      <c r="G1564" s="1">
        <v>7</v>
      </c>
      <c r="H1564" s="1">
        <v>0</v>
      </c>
      <c r="I1564" s="1">
        <v>1</v>
      </c>
      <c r="J1564" s="1">
        <v>4</v>
      </c>
    </row>
    <row r="1565" spans="1:10" x14ac:dyDescent="0.2">
      <c r="A1565" s="1">
        <v>1905</v>
      </c>
      <c r="B1565" s="1">
        <v>0</v>
      </c>
      <c r="C1565" s="1">
        <v>17</v>
      </c>
      <c r="D1565" s="1">
        <v>1</v>
      </c>
      <c r="E1565" s="1">
        <v>2</v>
      </c>
      <c r="F1565" s="1">
        <v>2</v>
      </c>
      <c r="G1565" s="1">
        <v>7</v>
      </c>
      <c r="H1565" s="1">
        <v>0</v>
      </c>
      <c r="I1565" s="1">
        <v>0</v>
      </c>
      <c r="J1565" s="1">
        <v>4</v>
      </c>
    </row>
    <row r="1566" spans="1:10" x14ac:dyDescent="0.2">
      <c r="A1566" s="1">
        <v>1568</v>
      </c>
      <c r="B1566" s="1">
        <v>0</v>
      </c>
      <c r="C1566" s="1">
        <v>10</v>
      </c>
      <c r="D1566" s="1">
        <v>2</v>
      </c>
      <c r="E1566" s="1">
        <v>3</v>
      </c>
      <c r="F1566" s="1">
        <v>2</v>
      </c>
      <c r="G1566" s="1">
        <v>7</v>
      </c>
      <c r="H1566" s="1">
        <v>1</v>
      </c>
      <c r="I1566" s="1">
        <v>0</v>
      </c>
      <c r="J1566" s="1">
        <v>4</v>
      </c>
    </row>
    <row r="1567" spans="1:10" x14ac:dyDescent="0.2">
      <c r="A1567" s="1">
        <v>2082</v>
      </c>
      <c r="B1567" s="1">
        <v>0</v>
      </c>
      <c r="C1567" s="1">
        <v>13</v>
      </c>
      <c r="D1567" s="1">
        <v>1</v>
      </c>
      <c r="E1567" s="1">
        <v>3</v>
      </c>
      <c r="F1567" s="1">
        <v>2</v>
      </c>
      <c r="G1567" s="1">
        <v>7</v>
      </c>
      <c r="H1567" s="1">
        <v>1</v>
      </c>
      <c r="I1567" s="1">
        <v>2</v>
      </c>
      <c r="J1567" s="1">
        <v>4</v>
      </c>
    </row>
    <row r="1568" spans="1:10" x14ac:dyDescent="0.2">
      <c r="A1568" s="1">
        <v>632</v>
      </c>
      <c r="B1568" s="1">
        <v>0</v>
      </c>
      <c r="C1568" s="1">
        <v>14</v>
      </c>
      <c r="D1568" s="1">
        <v>1</v>
      </c>
      <c r="E1568" s="1">
        <v>3</v>
      </c>
      <c r="F1568" s="1">
        <v>2</v>
      </c>
      <c r="G1568" s="1">
        <v>7</v>
      </c>
      <c r="H1568" s="1">
        <v>0</v>
      </c>
      <c r="I1568" s="1">
        <v>2</v>
      </c>
      <c r="J1568" s="1">
        <v>4</v>
      </c>
    </row>
    <row r="1569" spans="1:10" x14ac:dyDescent="0.2">
      <c r="A1569" s="1">
        <v>1380</v>
      </c>
      <c r="B1569" s="1">
        <v>0</v>
      </c>
      <c r="C1569" s="1">
        <v>16</v>
      </c>
      <c r="D1569" s="1">
        <v>2</v>
      </c>
      <c r="E1569" s="1">
        <v>3</v>
      </c>
      <c r="F1569" s="1">
        <v>2</v>
      </c>
      <c r="G1569" s="1">
        <v>7</v>
      </c>
      <c r="H1569" s="1">
        <v>1</v>
      </c>
      <c r="I1569" s="1">
        <v>2</v>
      </c>
      <c r="J1569" s="1">
        <v>4</v>
      </c>
    </row>
    <row r="1570" spans="1:10" x14ac:dyDescent="0.2">
      <c r="A1570" s="1">
        <v>2287</v>
      </c>
      <c r="B1570" s="1">
        <v>0</v>
      </c>
      <c r="C1570" s="1">
        <v>20</v>
      </c>
      <c r="D1570" s="1">
        <v>5</v>
      </c>
      <c r="E1570" s="1">
        <v>3</v>
      </c>
      <c r="F1570" s="1">
        <v>2</v>
      </c>
      <c r="G1570" s="1">
        <v>7</v>
      </c>
      <c r="H1570" s="1">
        <v>1</v>
      </c>
      <c r="I1570" s="1">
        <v>0</v>
      </c>
      <c r="J1570" s="1">
        <v>4</v>
      </c>
    </row>
    <row r="1571" spans="1:10" x14ac:dyDescent="0.2">
      <c r="A1571" s="1">
        <v>189</v>
      </c>
      <c r="B1571" s="1">
        <v>0</v>
      </c>
      <c r="C1571" s="1">
        <v>5</v>
      </c>
      <c r="D1571" s="1">
        <v>1</v>
      </c>
      <c r="E1571" s="1">
        <v>2</v>
      </c>
      <c r="F1571" s="1">
        <v>3</v>
      </c>
      <c r="G1571" s="1">
        <v>7</v>
      </c>
      <c r="H1571" s="1">
        <v>1</v>
      </c>
      <c r="I1571" s="1">
        <v>3</v>
      </c>
      <c r="J1571" s="1">
        <v>4</v>
      </c>
    </row>
    <row r="1572" spans="1:10" x14ac:dyDescent="0.2">
      <c r="A1572" s="1">
        <v>1521</v>
      </c>
      <c r="B1572" s="1">
        <v>0</v>
      </c>
      <c r="C1572" s="1">
        <v>19</v>
      </c>
      <c r="D1572" s="1">
        <v>1</v>
      </c>
      <c r="E1572" s="1">
        <v>3</v>
      </c>
      <c r="F1572" s="1">
        <v>3</v>
      </c>
      <c r="G1572" s="1">
        <v>7</v>
      </c>
      <c r="H1572" s="1">
        <v>1</v>
      </c>
      <c r="I1572" s="1">
        <v>1</v>
      </c>
      <c r="J1572" s="1">
        <v>4</v>
      </c>
    </row>
    <row r="1573" spans="1:10" x14ac:dyDescent="0.2">
      <c r="A1573" s="1">
        <v>314</v>
      </c>
      <c r="B1573" s="1">
        <v>0</v>
      </c>
      <c r="C1573" s="1">
        <v>10</v>
      </c>
      <c r="D1573" s="1">
        <v>5</v>
      </c>
      <c r="E1573" s="1">
        <v>2</v>
      </c>
      <c r="F1573" s="1">
        <v>4</v>
      </c>
      <c r="G1573" s="1">
        <v>7</v>
      </c>
      <c r="H1573" s="1">
        <v>0</v>
      </c>
      <c r="I1573" s="1">
        <v>3</v>
      </c>
      <c r="J1573" s="1">
        <v>4</v>
      </c>
    </row>
    <row r="1574" spans="1:10" x14ac:dyDescent="0.2">
      <c r="A1574" s="1">
        <v>1799</v>
      </c>
      <c r="B1574" s="1">
        <v>0</v>
      </c>
      <c r="C1574" s="1">
        <v>8</v>
      </c>
      <c r="D1574" s="1">
        <v>3</v>
      </c>
      <c r="E1574" s="1">
        <v>3</v>
      </c>
      <c r="F1574" s="1">
        <v>4</v>
      </c>
      <c r="G1574" s="1">
        <v>7</v>
      </c>
      <c r="H1574" s="1">
        <v>1</v>
      </c>
      <c r="I1574" s="1">
        <v>0</v>
      </c>
      <c r="J1574" s="1">
        <v>4</v>
      </c>
    </row>
    <row r="1575" spans="1:10" x14ac:dyDescent="0.2">
      <c r="A1575" s="1">
        <v>1217</v>
      </c>
      <c r="B1575" s="1">
        <v>0</v>
      </c>
      <c r="C1575" s="1">
        <v>16</v>
      </c>
      <c r="D1575" s="1">
        <v>3</v>
      </c>
      <c r="E1575" s="1">
        <v>3</v>
      </c>
      <c r="F1575" s="1">
        <v>4</v>
      </c>
      <c r="G1575" s="1">
        <v>7</v>
      </c>
      <c r="H1575" s="1">
        <v>0</v>
      </c>
      <c r="I1575" s="1">
        <v>0</v>
      </c>
      <c r="J1575" s="1">
        <v>4</v>
      </c>
    </row>
    <row r="1576" spans="1:10" x14ac:dyDescent="0.2">
      <c r="A1576" s="1">
        <v>1305</v>
      </c>
      <c r="B1576" s="1">
        <v>0</v>
      </c>
      <c r="C1576" s="1">
        <v>13</v>
      </c>
      <c r="D1576" s="1">
        <v>1</v>
      </c>
      <c r="E1576" s="1">
        <v>2</v>
      </c>
      <c r="F1576" s="1">
        <v>5</v>
      </c>
      <c r="G1576" s="1">
        <v>7</v>
      </c>
      <c r="H1576" s="1">
        <v>1</v>
      </c>
      <c r="I1576" s="1">
        <v>3</v>
      </c>
      <c r="J1576" s="1">
        <v>4</v>
      </c>
    </row>
    <row r="1577" spans="1:10" x14ac:dyDescent="0.2">
      <c r="A1577" s="1">
        <v>1025</v>
      </c>
      <c r="B1577" s="1">
        <v>0</v>
      </c>
      <c r="C1577" s="1">
        <v>15</v>
      </c>
      <c r="D1577" s="1">
        <v>3</v>
      </c>
      <c r="E1577" s="1">
        <v>2</v>
      </c>
      <c r="F1577" s="1">
        <v>5</v>
      </c>
      <c r="G1577" s="1">
        <v>7</v>
      </c>
      <c r="H1577" s="1">
        <v>0</v>
      </c>
      <c r="I1577" s="1">
        <v>0</v>
      </c>
      <c r="J1577" s="1">
        <v>4</v>
      </c>
    </row>
    <row r="1578" spans="1:10" x14ac:dyDescent="0.2">
      <c r="A1578" s="1">
        <v>87</v>
      </c>
      <c r="B1578" s="1">
        <v>0</v>
      </c>
      <c r="C1578" s="1">
        <v>7</v>
      </c>
      <c r="D1578" s="1">
        <v>1</v>
      </c>
      <c r="E1578" s="1">
        <v>3</v>
      </c>
      <c r="F1578" s="1">
        <v>5</v>
      </c>
      <c r="G1578" s="1">
        <v>7</v>
      </c>
      <c r="H1578" s="1">
        <v>1</v>
      </c>
      <c r="I1578" s="1">
        <v>2</v>
      </c>
      <c r="J1578" s="1">
        <v>4</v>
      </c>
    </row>
    <row r="1579" spans="1:10" x14ac:dyDescent="0.2">
      <c r="A1579" s="1">
        <v>410</v>
      </c>
      <c r="B1579" s="1">
        <v>0</v>
      </c>
      <c r="C1579" s="1">
        <v>13</v>
      </c>
      <c r="D1579" s="1">
        <v>5</v>
      </c>
      <c r="E1579" s="1">
        <v>3</v>
      </c>
      <c r="F1579" s="1">
        <v>5</v>
      </c>
      <c r="G1579" s="1">
        <v>7</v>
      </c>
      <c r="H1579" s="1">
        <v>1</v>
      </c>
      <c r="I1579" s="1">
        <v>2</v>
      </c>
      <c r="J1579" s="1">
        <v>4</v>
      </c>
    </row>
    <row r="1580" spans="1:10" x14ac:dyDescent="0.2">
      <c r="A1580" s="1">
        <v>2246</v>
      </c>
      <c r="B1580" s="1">
        <v>0</v>
      </c>
      <c r="C1580" s="1">
        <v>11</v>
      </c>
      <c r="D1580" s="1">
        <v>1</v>
      </c>
      <c r="E1580" s="1">
        <v>2</v>
      </c>
      <c r="F1580" s="1">
        <v>6</v>
      </c>
      <c r="G1580" s="1">
        <v>7</v>
      </c>
      <c r="H1580" s="1">
        <v>0</v>
      </c>
      <c r="I1580" s="1">
        <v>3</v>
      </c>
      <c r="J1580" s="1">
        <v>4</v>
      </c>
    </row>
    <row r="1581" spans="1:10" x14ac:dyDescent="0.2">
      <c r="A1581" s="1">
        <v>458</v>
      </c>
      <c r="B1581" s="1">
        <v>0</v>
      </c>
      <c r="C1581" s="1">
        <v>13</v>
      </c>
      <c r="D1581" s="1">
        <v>2</v>
      </c>
      <c r="E1581" s="1">
        <v>2</v>
      </c>
      <c r="F1581" s="1">
        <v>6</v>
      </c>
      <c r="G1581" s="1">
        <v>7</v>
      </c>
      <c r="H1581" s="1">
        <v>1</v>
      </c>
      <c r="I1581" s="1">
        <v>2</v>
      </c>
      <c r="J1581" s="1">
        <v>4</v>
      </c>
    </row>
    <row r="1582" spans="1:10" x14ac:dyDescent="0.2">
      <c r="A1582" s="1">
        <v>1995</v>
      </c>
      <c r="B1582" s="1">
        <v>0</v>
      </c>
      <c r="C1582" s="1">
        <v>6</v>
      </c>
      <c r="D1582" s="1">
        <v>5</v>
      </c>
      <c r="E1582" s="1">
        <v>3</v>
      </c>
      <c r="F1582" s="1">
        <v>6</v>
      </c>
      <c r="G1582" s="1">
        <v>7</v>
      </c>
      <c r="H1582" s="1">
        <v>1</v>
      </c>
      <c r="I1582" s="1">
        <v>3</v>
      </c>
      <c r="J1582" s="1">
        <v>4</v>
      </c>
    </row>
    <row r="1583" spans="1:10" x14ac:dyDescent="0.2">
      <c r="A1583" s="1">
        <v>1414</v>
      </c>
      <c r="B1583" s="1">
        <v>0</v>
      </c>
      <c r="C1583" s="1">
        <v>7</v>
      </c>
      <c r="D1583" s="1">
        <v>2</v>
      </c>
      <c r="E1583" s="1">
        <v>3</v>
      </c>
      <c r="F1583" s="1">
        <v>6</v>
      </c>
      <c r="G1583" s="1">
        <v>7</v>
      </c>
      <c r="H1583" s="1">
        <v>0</v>
      </c>
      <c r="I1583" s="1">
        <v>1</v>
      </c>
      <c r="J1583" s="1">
        <v>4</v>
      </c>
    </row>
    <row r="1584" spans="1:10" x14ac:dyDescent="0.2">
      <c r="A1584" s="1">
        <v>36</v>
      </c>
      <c r="B1584" s="1">
        <v>0</v>
      </c>
      <c r="C1584" s="1">
        <v>11</v>
      </c>
      <c r="D1584" s="1">
        <v>4</v>
      </c>
      <c r="E1584" s="1">
        <v>3</v>
      </c>
      <c r="F1584" s="1">
        <v>6</v>
      </c>
      <c r="G1584" s="1">
        <v>7</v>
      </c>
      <c r="H1584" s="1">
        <v>1</v>
      </c>
      <c r="I1584" s="1">
        <v>2</v>
      </c>
      <c r="J1584" s="1">
        <v>4</v>
      </c>
    </row>
    <row r="1585" spans="1:10" x14ac:dyDescent="0.2">
      <c r="A1585" s="1">
        <v>39</v>
      </c>
      <c r="B1585" s="1">
        <v>0</v>
      </c>
      <c r="C1585" s="1">
        <v>11</v>
      </c>
      <c r="D1585" s="1">
        <v>2</v>
      </c>
      <c r="E1585" s="1">
        <v>2</v>
      </c>
      <c r="F1585" s="1">
        <v>7</v>
      </c>
      <c r="G1585" s="1">
        <v>7</v>
      </c>
      <c r="H1585" s="1">
        <v>0</v>
      </c>
      <c r="I1585" s="1">
        <v>3</v>
      </c>
      <c r="J1585" s="1">
        <v>4</v>
      </c>
    </row>
    <row r="1586" spans="1:10" x14ac:dyDescent="0.2">
      <c r="A1586" s="1">
        <v>1822</v>
      </c>
      <c r="B1586" s="1">
        <v>0</v>
      </c>
      <c r="C1586" s="1">
        <v>20</v>
      </c>
      <c r="D1586" s="1">
        <v>5</v>
      </c>
      <c r="E1586" s="1">
        <v>2</v>
      </c>
      <c r="F1586" s="1">
        <v>7</v>
      </c>
      <c r="G1586" s="1">
        <v>7</v>
      </c>
      <c r="H1586" s="1">
        <v>1</v>
      </c>
      <c r="I1586" s="1">
        <v>1</v>
      </c>
      <c r="J1586" s="1">
        <v>4</v>
      </c>
    </row>
    <row r="1587" spans="1:10" x14ac:dyDescent="0.2">
      <c r="A1587" s="1">
        <v>1927</v>
      </c>
      <c r="B1587" s="1">
        <v>0</v>
      </c>
      <c r="C1587" s="1">
        <v>20</v>
      </c>
      <c r="D1587" s="1">
        <v>1</v>
      </c>
      <c r="E1587" s="1">
        <v>2</v>
      </c>
      <c r="F1587" s="1">
        <v>7</v>
      </c>
      <c r="G1587" s="1">
        <v>7</v>
      </c>
      <c r="H1587" s="1">
        <v>1</v>
      </c>
      <c r="I1587" s="1">
        <v>0</v>
      </c>
      <c r="J1587" s="1">
        <v>4</v>
      </c>
    </row>
    <row r="1588" spans="1:10" x14ac:dyDescent="0.2">
      <c r="A1588" s="1">
        <v>78</v>
      </c>
      <c r="B1588" s="1">
        <v>0</v>
      </c>
      <c r="C1588" s="1">
        <v>7</v>
      </c>
      <c r="D1588" s="1">
        <v>3</v>
      </c>
      <c r="E1588" s="1">
        <v>3</v>
      </c>
      <c r="F1588" s="1">
        <v>7</v>
      </c>
      <c r="G1588" s="1">
        <v>7</v>
      </c>
      <c r="H1588" s="1">
        <v>0</v>
      </c>
      <c r="I1588" s="1">
        <v>2</v>
      </c>
      <c r="J1588" s="1">
        <v>4</v>
      </c>
    </row>
    <row r="1589" spans="1:10" x14ac:dyDescent="0.2">
      <c r="A1589" s="1">
        <v>867</v>
      </c>
      <c r="B1589" s="1">
        <v>0</v>
      </c>
      <c r="C1589" s="1">
        <v>17</v>
      </c>
      <c r="D1589" s="1">
        <v>2</v>
      </c>
      <c r="E1589" s="1">
        <v>3</v>
      </c>
      <c r="F1589" s="1">
        <v>8</v>
      </c>
      <c r="G1589" s="1">
        <v>7</v>
      </c>
      <c r="H1589" s="1">
        <v>0</v>
      </c>
      <c r="I1589" s="1">
        <v>1</v>
      </c>
      <c r="J1589" s="1">
        <v>4</v>
      </c>
    </row>
    <row r="1590" spans="1:10" x14ac:dyDescent="0.2">
      <c r="A1590" s="1">
        <v>1969</v>
      </c>
      <c r="B1590" s="1">
        <v>0</v>
      </c>
      <c r="C1590" s="1">
        <v>17</v>
      </c>
      <c r="D1590" s="1">
        <v>2</v>
      </c>
      <c r="E1590" s="1">
        <v>3</v>
      </c>
      <c r="F1590" s="1">
        <v>8</v>
      </c>
      <c r="G1590" s="1">
        <v>7</v>
      </c>
      <c r="H1590" s="1">
        <v>1</v>
      </c>
      <c r="I1590" s="1">
        <v>0</v>
      </c>
      <c r="J1590" s="1">
        <v>4</v>
      </c>
    </row>
    <row r="1591" spans="1:10" x14ac:dyDescent="0.2">
      <c r="A1591" s="1">
        <v>1226</v>
      </c>
      <c r="B1591" s="1">
        <v>0</v>
      </c>
      <c r="C1591" s="1">
        <v>14</v>
      </c>
      <c r="D1591" s="1">
        <v>5</v>
      </c>
      <c r="E1591" s="1">
        <v>3</v>
      </c>
      <c r="F1591" s="1">
        <v>9</v>
      </c>
      <c r="G1591" s="1">
        <v>7</v>
      </c>
      <c r="H1591" s="1">
        <v>0</v>
      </c>
      <c r="I1591" s="1">
        <v>1</v>
      </c>
      <c r="J1591" s="1">
        <v>4</v>
      </c>
    </row>
    <row r="1592" spans="1:10" x14ac:dyDescent="0.2">
      <c r="A1592" s="1">
        <v>869</v>
      </c>
      <c r="B1592" s="1">
        <v>0</v>
      </c>
      <c r="C1592" s="1">
        <v>15</v>
      </c>
      <c r="D1592" s="1">
        <v>2</v>
      </c>
      <c r="E1592" s="1">
        <v>3</v>
      </c>
      <c r="F1592" s="1">
        <v>10</v>
      </c>
      <c r="G1592" s="1">
        <v>7</v>
      </c>
      <c r="H1592" s="1">
        <v>0</v>
      </c>
      <c r="I1592" s="1">
        <v>0</v>
      </c>
      <c r="J1592" s="1">
        <v>4</v>
      </c>
    </row>
    <row r="1593" spans="1:10" x14ac:dyDescent="0.2">
      <c r="A1593" s="1">
        <v>262</v>
      </c>
      <c r="B1593" s="1">
        <v>0</v>
      </c>
      <c r="C1593" s="1">
        <v>5</v>
      </c>
      <c r="D1593" s="1">
        <v>3</v>
      </c>
      <c r="E1593" s="1">
        <v>1</v>
      </c>
      <c r="F1593" s="1">
        <v>1</v>
      </c>
      <c r="G1593" s="1">
        <v>7</v>
      </c>
      <c r="H1593" s="1">
        <v>0</v>
      </c>
      <c r="I1593" s="1">
        <v>1</v>
      </c>
      <c r="J1593" s="1">
        <v>5</v>
      </c>
    </row>
    <row r="1594" spans="1:10" x14ac:dyDescent="0.2">
      <c r="A1594" s="1">
        <v>1423</v>
      </c>
      <c r="B1594" s="1">
        <v>0</v>
      </c>
      <c r="C1594" s="1">
        <v>9</v>
      </c>
      <c r="D1594" s="1">
        <v>2</v>
      </c>
      <c r="E1594" s="1">
        <v>1</v>
      </c>
      <c r="F1594" s="1">
        <v>1</v>
      </c>
      <c r="G1594" s="1">
        <v>7</v>
      </c>
      <c r="H1594" s="1">
        <v>1</v>
      </c>
      <c r="I1594" s="1">
        <v>2</v>
      </c>
      <c r="J1594" s="1">
        <v>5</v>
      </c>
    </row>
    <row r="1595" spans="1:10" x14ac:dyDescent="0.2">
      <c r="A1595" s="1">
        <v>1382</v>
      </c>
      <c r="B1595" s="1">
        <v>0</v>
      </c>
      <c r="C1595" s="1">
        <v>10</v>
      </c>
      <c r="D1595" s="1">
        <v>4</v>
      </c>
      <c r="E1595" s="1">
        <v>1</v>
      </c>
      <c r="F1595" s="1">
        <v>1</v>
      </c>
      <c r="G1595" s="1">
        <v>7</v>
      </c>
      <c r="H1595" s="1">
        <v>0</v>
      </c>
      <c r="I1595" s="1">
        <v>3</v>
      </c>
      <c r="J1595" s="1">
        <v>5</v>
      </c>
    </row>
    <row r="1596" spans="1:10" x14ac:dyDescent="0.2">
      <c r="A1596" s="1">
        <v>1732</v>
      </c>
      <c r="B1596" s="1">
        <v>0</v>
      </c>
      <c r="C1596" s="1">
        <v>11</v>
      </c>
      <c r="D1596" s="1">
        <v>5</v>
      </c>
      <c r="E1596" s="1">
        <v>2</v>
      </c>
      <c r="F1596" s="1">
        <v>1</v>
      </c>
      <c r="G1596" s="1">
        <v>7</v>
      </c>
      <c r="H1596" s="1">
        <v>0</v>
      </c>
      <c r="I1596" s="1">
        <v>0</v>
      </c>
      <c r="J1596" s="1">
        <v>5</v>
      </c>
    </row>
    <row r="1597" spans="1:10" x14ac:dyDescent="0.2">
      <c r="A1597" s="1">
        <v>1746</v>
      </c>
      <c r="B1597" s="1">
        <v>0</v>
      </c>
      <c r="C1597" s="1">
        <v>18</v>
      </c>
      <c r="D1597" s="1">
        <v>1</v>
      </c>
      <c r="E1597" s="1">
        <v>2</v>
      </c>
      <c r="F1597" s="1">
        <v>1</v>
      </c>
      <c r="G1597" s="1">
        <v>7</v>
      </c>
      <c r="H1597" s="1">
        <v>1</v>
      </c>
      <c r="I1597" s="1">
        <v>0</v>
      </c>
      <c r="J1597" s="1">
        <v>5</v>
      </c>
    </row>
    <row r="1598" spans="1:10" x14ac:dyDescent="0.2">
      <c r="A1598" s="1">
        <v>1375</v>
      </c>
      <c r="B1598" s="1">
        <v>0</v>
      </c>
      <c r="C1598" s="1">
        <v>11</v>
      </c>
      <c r="D1598" s="1">
        <v>1</v>
      </c>
      <c r="E1598" s="1">
        <v>2</v>
      </c>
      <c r="F1598" s="1">
        <v>2</v>
      </c>
      <c r="G1598" s="1">
        <v>7</v>
      </c>
      <c r="H1598" s="1">
        <v>0</v>
      </c>
      <c r="I1598" s="1">
        <v>2</v>
      </c>
      <c r="J1598" s="1">
        <v>5</v>
      </c>
    </row>
    <row r="1599" spans="1:10" x14ac:dyDescent="0.2">
      <c r="A1599" s="1">
        <v>2443</v>
      </c>
      <c r="B1599" s="1">
        <v>0</v>
      </c>
      <c r="C1599" s="1">
        <v>17</v>
      </c>
      <c r="D1599" s="1">
        <v>4</v>
      </c>
      <c r="E1599" s="1">
        <v>3</v>
      </c>
      <c r="F1599" s="1">
        <v>2</v>
      </c>
      <c r="G1599" s="1">
        <v>7</v>
      </c>
      <c r="H1599" s="1">
        <v>1</v>
      </c>
      <c r="I1599" s="1">
        <v>2</v>
      </c>
      <c r="J1599" s="1">
        <v>5</v>
      </c>
    </row>
    <row r="1600" spans="1:10" x14ac:dyDescent="0.2">
      <c r="A1600" s="1">
        <v>1631</v>
      </c>
      <c r="B1600" s="1">
        <v>0</v>
      </c>
      <c r="C1600" s="1">
        <v>10</v>
      </c>
      <c r="D1600" s="1">
        <v>5</v>
      </c>
      <c r="E1600" s="1">
        <v>2</v>
      </c>
      <c r="F1600" s="1">
        <v>3</v>
      </c>
      <c r="G1600" s="1">
        <v>7</v>
      </c>
      <c r="H1600" s="1">
        <v>1</v>
      </c>
      <c r="I1600" s="1">
        <v>3</v>
      </c>
      <c r="J1600" s="1">
        <v>5</v>
      </c>
    </row>
    <row r="1601" spans="1:10" x14ac:dyDescent="0.2">
      <c r="A1601" s="1">
        <v>441</v>
      </c>
      <c r="B1601" s="1">
        <v>0</v>
      </c>
      <c r="C1601" s="1">
        <v>14</v>
      </c>
      <c r="D1601" s="1">
        <v>1</v>
      </c>
      <c r="E1601" s="1">
        <v>2</v>
      </c>
      <c r="F1601" s="1">
        <v>3</v>
      </c>
      <c r="G1601" s="1">
        <v>7</v>
      </c>
      <c r="H1601" s="1">
        <v>1</v>
      </c>
      <c r="I1601" s="1">
        <v>2</v>
      </c>
      <c r="J1601" s="1">
        <v>5</v>
      </c>
    </row>
    <row r="1602" spans="1:10" x14ac:dyDescent="0.2">
      <c r="A1602" s="1">
        <v>1696</v>
      </c>
      <c r="B1602" s="1">
        <v>0</v>
      </c>
      <c r="C1602" s="1">
        <v>7</v>
      </c>
      <c r="D1602" s="1">
        <v>4</v>
      </c>
      <c r="E1602" s="1">
        <v>3</v>
      </c>
      <c r="F1602" s="1">
        <v>3</v>
      </c>
      <c r="G1602" s="1">
        <v>7</v>
      </c>
      <c r="H1602" s="1">
        <v>0</v>
      </c>
      <c r="I1602" s="1">
        <v>2</v>
      </c>
      <c r="J1602" s="1">
        <v>5</v>
      </c>
    </row>
    <row r="1603" spans="1:10" x14ac:dyDescent="0.2">
      <c r="A1603" s="1">
        <v>1042</v>
      </c>
      <c r="B1603" s="1">
        <v>0</v>
      </c>
      <c r="C1603" s="1">
        <v>12</v>
      </c>
      <c r="D1603" s="1">
        <v>4</v>
      </c>
      <c r="E1603" s="1">
        <v>3</v>
      </c>
      <c r="F1603" s="1">
        <v>3</v>
      </c>
      <c r="G1603" s="1">
        <v>7</v>
      </c>
      <c r="H1603" s="1">
        <v>0</v>
      </c>
      <c r="I1603" s="1">
        <v>3</v>
      </c>
      <c r="J1603" s="1">
        <v>5</v>
      </c>
    </row>
    <row r="1604" spans="1:10" x14ac:dyDescent="0.2">
      <c r="A1604" s="1">
        <v>1772</v>
      </c>
      <c r="B1604" s="1">
        <v>0</v>
      </c>
      <c r="C1604" s="1">
        <v>12</v>
      </c>
      <c r="D1604" s="1">
        <v>1</v>
      </c>
      <c r="E1604" s="1">
        <v>3</v>
      </c>
      <c r="F1604" s="1">
        <v>3</v>
      </c>
      <c r="G1604" s="1">
        <v>7</v>
      </c>
      <c r="H1604" s="1">
        <v>1</v>
      </c>
      <c r="I1604" s="1">
        <v>1</v>
      </c>
      <c r="J1604" s="1">
        <v>5</v>
      </c>
    </row>
    <row r="1605" spans="1:10" x14ac:dyDescent="0.2">
      <c r="A1605" s="1">
        <v>1779</v>
      </c>
      <c r="B1605" s="1">
        <v>0</v>
      </c>
      <c r="C1605" s="1">
        <v>19</v>
      </c>
      <c r="D1605" s="1">
        <v>1</v>
      </c>
      <c r="E1605" s="1">
        <v>3</v>
      </c>
      <c r="F1605" s="1">
        <v>3</v>
      </c>
      <c r="G1605" s="1">
        <v>7</v>
      </c>
      <c r="H1605" s="1">
        <v>0</v>
      </c>
      <c r="I1605" s="1">
        <v>1</v>
      </c>
      <c r="J1605" s="1">
        <v>5</v>
      </c>
    </row>
    <row r="1606" spans="1:10" x14ac:dyDescent="0.2">
      <c r="A1606" s="1">
        <v>792</v>
      </c>
      <c r="B1606" s="1">
        <v>0</v>
      </c>
      <c r="C1606" s="1">
        <v>6</v>
      </c>
      <c r="D1606" s="1">
        <v>3</v>
      </c>
      <c r="E1606" s="1">
        <v>3</v>
      </c>
      <c r="F1606" s="1">
        <v>4</v>
      </c>
      <c r="G1606" s="1">
        <v>7</v>
      </c>
      <c r="H1606" s="1">
        <v>0</v>
      </c>
      <c r="I1606" s="1">
        <v>3</v>
      </c>
      <c r="J1606" s="1">
        <v>5</v>
      </c>
    </row>
    <row r="1607" spans="1:10" x14ac:dyDescent="0.2">
      <c r="A1607" s="1">
        <v>877</v>
      </c>
      <c r="B1607" s="1">
        <v>0</v>
      </c>
      <c r="C1607" s="1">
        <v>6</v>
      </c>
      <c r="D1607" s="1">
        <v>1</v>
      </c>
      <c r="E1607" s="1">
        <v>3</v>
      </c>
      <c r="F1607" s="1">
        <v>4</v>
      </c>
      <c r="G1607" s="1">
        <v>7</v>
      </c>
      <c r="H1607" s="1">
        <v>0</v>
      </c>
      <c r="I1607" s="1">
        <v>2</v>
      </c>
      <c r="J1607" s="1">
        <v>5</v>
      </c>
    </row>
    <row r="1608" spans="1:10" x14ac:dyDescent="0.2">
      <c r="A1608" s="1">
        <v>2477</v>
      </c>
      <c r="B1608" s="1">
        <v>0</v>
      </c>
      <c r="C1608" s="1">
        <v>7</v>
      </c>
      <c r="D1608" s="1">
        <v>5</v>
      </c>
      <c r="E1608" s="1">
        <v>3</v>
      </c>
      <c r="F1608" s="1">
        <v>4</v>
      </c>
      <c r="G1608" s="1">
        <v>7</v>
      </c>
      <c r="H1608" s="1">
        <v>1</v>
      </c>
      <c r="I1608" s="1">
        <v>3</v>
      </c>
      <c r="J1608" s="1">
        <v>5</v>
      </c>
    </row>
    <row r="1609" spans="1:10" x14ac:dyDescent="0.2">
      <c r="A1609" s="1">
        <v>359</v>
      </c>
      <c r="B1609" s="1">
        <v>0</v>
      </c>
      <c r="C1609" s="1">
        <v>9</v>
      </c>
      <c r="D1609" s="1">
        <v>1</v>
      </c>
      <c r="E1609" s="1">
        <v>3</v>
      </c>
      <c r="F1609" s="1">
        <v>5</v>
      </c>
      <c r="G1609" s="1">
        <v>7</v>
      </c>
      <c r="H1609" s="1">
        <v>0</v>
      </c>
      <c r="I1609" s="1">
        <v>3</v>
      </c>
      <c r="J1609" s="1">
        <v>5</v>
      </c>
    </row>
    <row r="1610" spans="1:10" x14ac:dyDescent="0.2">
      <c r="A1610" s="1">
        <v>1951</v>
      </c>
      <c r="B1610" s="1">
        <v>0</v>
      </c>
      <c r="C1610" s="1">
        <v>18</v>
      </c>
      <c r="D1610" s="1">
        <v>1</v>
      </c>
      <c r="E1610" s="1">
        <v>3</v>
      </c>
      <c r="F1610" s="1">
        <v>5</v>
      </c>
      <c r="G1610" s="1">
        <v>7</v>
      </c>
      <c r="H1610" s="1">
        <v>1</v>
      </c>
      <c r="I1610" s="1">
        <v>3</v>
      </c>
      <c r="J1610" s="1">
        <v>5</v>
      </c>
    </row>
    <row r="1611" spans="1:10" x14ac:dyDescent="0.2">
      <c r="A1611" s="1">
        <v>1374</v>
      </c>
      <c r="B1611" s="1">
        <v>0</v>
      </c>
      <c r="C1611" s="1">
        <v>6</v>
      </c>
      <c r="D1611" s="1">
        <v>4</v>
      </c>
      <c r="E1611" s="1">
        <v>3</v>
      </c>
      <c r="F1611" s="1">
        <v>6</v>
      </c>
      <c r="G1611" s="1">
        <v>7</v>
      </c>
      <c r="H1611" s="1">
        <v>0</v>
      </c>
      <c r="I1611" s="1">
        <v>3</v>
      </c>
      <c r="J1611" s="1">
        <v>5</v>
      </c>
    </row>
    <row r="1612" spans="1:10" x14ac:dyDescent="0.2">
      <c r="A1612" s="1">
        <v>1871</v>
      </c>
      <c r="B1612" s="1">
        <v>0</v>
      </c>
      <c r="C1612" s="1">
        <v>16</v>
      </c>
      <c r="D1612" s="1">
        <v>5</v>
      </c>
      <c r="E1612" s="1">
        <v>3</v>
      </c>
      <c r="F1612" s="1">
        <v>6</v>
      </c>
      <c r="G1612" s="1">
        <v>7</v>
      </c>
      <c r="H1612" s="1">
        <v>1</v>
      </c>
      <c r="I1612" s="1">
        <v>0</v>
      </c>
      <c r="J1612" s="1">
        <v>5</v>
      </c>
    </row>
    <row r="1613" spans="1:10" x14ac:dyDescent="0.2">
      <c r="A1613" s="1">
        <v>1966</v>
      </c>
      <c r="B1613" s="1">
        <v>0</v>
      </c>
      <c r="C1613" s="1">
        <v>19</v>
      </c>
      <c r="D1613" s="1">
        <v>4</v>
      </c>
      <c r="E1613" s="1">
        <v>3</v>
      </c>
      <c r="F1613" s="1">
        <v>6</v>
      </c>
      <c r="G1613" s="1">
        <v>7</v>
      </c>
      <c r="H1613" s="1">
        <v>0</v>
      </c>
      <c r="I1613" s="1">
        <v>1</v>
      </c>
      <c r="J1613" s="1">
        <v>5</v>
      </c>
    </row>
    <row r="1614" spans="1:10" x14ac:dyDescent="0.2">
      <c r="A1614" s="1">
        <v>127</v>
      </c>
      <c r="B1614" s="1">
        <v>0</v>
      </c>
      <c r="C1614" s="1">
        <v>7</v>
      </c>
      <c r="D1614" s="1">
        <v>3</v>
      </c>
      <c r="E1614" s="1">
        <v>3</v>
      </c>
      <c r="F1614" s="1">
        <v>7</v>
      </c>
      <c r="G1614" s="1">
        <v>7</v>
      </c>
      <c r="H1614" s="1">
        <v>1</v>
      </c>
      <c r="I1614" s="1">
        <v>2</v>
      </c>
      <c r="J1614" s="1">
        <v>5</v>
      </c>
    </row>
    <row r="1615" spans="1:10" x14ac:dyDescent="0.2">
      <c r="A1615" s="1">
        <v>929</v>
      </c>
      <c r="B1615" s="1">
        <v>0</v>
      </c>
      <c r="C1615" s="1">
        <v>9</v>
      </c>
      <c r="D1615" s="1">
        <v>2</v>
      </c>
      <c r="E1615" s="1">
        <v>3</v>
      </c>
      <c r="F1615" s="1">
        <v>9</v>
      </c>
      <c r="G1615" s="1">
        <v>7</v>
      </c>
      <c r="H1615" s="1">
        <v>1</v>
      </c>
      <c r="I1615" s="1">
        <v>0</v>
      </c>
      <c r="J1615" s="1">
        <v>5</v>
      </c>
    </row>
    <row r="1616" spans="1:10" x14ac:dyDescent="0.2">
      <c r="A1616" s="1">
        <v>1227</v>
      </c>
      <c r="B1616" s="1">
        <v>0</v>
      </c>
      <c r="C1616" s="1">
        <v>16</v>
      </c>
      <c r="D1616" s="1">
        <v>1</v>
      </c>
      <c r="E1616" s="1">
        <v>3</v>
      </c>
      <c r="F1616" s="1">
        <v>9</v>
      </c>
      <c r="G1616" s="1">
        <v>7</v>
      </c>
      <c r="H1616" s="1">
        <v>0</v>
      </c>
      <c r="I1616" s="1">
        <v>0</v>
      </c>
      <c r="J1616" s="1">
        <v>5</v>
      </c>
    </row>
    <row r="1617" spans="1:10" x14ac:dyDescent="0.2">
      <c r="A1617" s="1">
        <v>618</v>
      </c>
      <c r="B1617" s="1">
        <v>0</v>
      </c>
      <c r="C1617" s="1">
        <v>18</v>
      </c>
      <c r="D1617" s="1">
        <v>5</v>
      </c>
      <c r="E1617" s="1">
        <v>3</v>
      </c>
      <c r="F1617" s="1">
        <v>10</v>
      </c>
      <c r="G1617" s="1">
        <v>7</v>
      </c>
      <c r="H1617" s="1">
        <v>1</v>
      </c>
      <c r="I1617" s="1">
        <v>1</v>
      </c>
      <c r="J1617" s="1">
        <v>5</v>
      </c>
    </row>
    <row r="1618" spans="1:10" x14ac:dyDescent="0.2">
      <c r="A1618" s="1">
        <v>1728</v>
      </c>
      <c r="B1618" s="1">
        <v>0</v>
      </c>
      <c r="C1618" s="1">
        <v>20</v>
      </c>
      <c r="D1618" s="1">
        <v>5</v>
      </c>
      <c r="E1618" s="1">
        <v>3</v>
      </c>
      <c r="F1618" s="1">
        <v>10</v>
      </c>
      <c r="G1618" s="1">
        <v>7</v>
      </c>
      <c r="H1618" s="1">
        <v>1</v>
      </c>
      <c r="I1618" s="1">
        <v>0</v>
      </c>
      <c r="J1618" s="1">
        <v>5</v>
      </c>
    </row>
    <row r="1619" spans="1:10" x14ac:dyDescent="0.2">
      <c r="A1619" s="1">
        <v>1835</v>
      </c>
      <c r="B1619" s="1">
        <v>0</v>
      </c>
      <c r="C1619" s="1">
        <v>20</v>
      </c>
      <c r="D1619" s="1">
        <v>1</v>
      </c>
      <c r="E1619" s="1">
        <v>1</v>
      </c>
      <c r="F1619" s="1">
        <v>1</v>
      </c>
      <c r="G1619" s="1">
        <v>8</v>
      </c>
      <c r="H1619" s="1">
        <v>0</v>
      </c>
      <c r="I1619" s="1">
        <v>2</v>
      </c>
      <c r="J1619" s="1">
        <v>1</v>
      </c>
    </row>
    <row r="1620" spans="1:10" x14ac:dyDescent="0.2">
      <c r="A1620" s="1">
        <v>2335</v>
      </c>
      <c r="B1620" s="1">
        <v>0</v>
      </c>
      <c r="C1620" s="1">
        <v>16</v>
      </c>
      <c r="D1620" s="1">
        <v>5</v>
      </c>
      <c r="E1620" s="1">
        <v>2</v>
      </c>
      <c r="F1620" s="1">
        <v>1</v>
      </c>
      <c r="G1620" s="1">
        <v>8</v>
      </c>
      <c r="H1620" s="1">
        <v>0</v>
      </c>
      <c r="I1620" s="1">
        <v>2</v>
      </c>
      <c r="J1620" s="1">
        <v>1</v>
      </c>
    </row>
    <row r="1621" spans="1:10" x14ac:dyDescent="0.2">
      <c r="A1621" s="1">
        <v>273</v>
      </c>
      <c r="B1621" s="1">
        <v>0</v>
      </c>
      <c r="C1621" s="1">
        <v>7</v>
      </c>
      <c r="D1621" s="1">
        <v>1</v>
      </c>
      <c r="E1621" s="1">
        <v>3</v>
      </c>
      <c r="F1621" s="1">
        <v>1</v>
      </c>
      <c r="G1621" s="1">
        <v>8</v>
      </c>
      <c r="H1621" s="1">
        <v>1</v>
      </c>
      <c r="I1621" s="1">
        <v>1</v>
      </c>
      <c r="J1621" s="1">
        <v>1</v>
      </c>
    </row>
    <row r="1622" spans="1:10" x14ac:dyDescent="0.2">
      <c r="A1622" s="1">
        <v>1878</v>
      </c>
      <c r="B1622" s="1">
        <v>0</v>
      </c>
      <c r="C1622" s="1">
        <v>13</v>
      </c>
      <c r="D1622" s="1">
        <v>1</v>
      </c>
      <c r="E1622" s="1">
        <v>3</v>
      </c>
      <c r="F1622" s="1">
        <v>1</v>
      </c>
      <c r="G1622" s="1">
        <v>8</v>
      </c>
      <c r="H1622" s="1">
        <v>0</v>
      </c>
      <c r="I1622" s="1">
        <v>3</v>
      </c>
      <c r="J1622" s="1">
        <v>1</v>
      </c>
    </row>
    <row r="1623" spans="1:10" x14ac:dyDescent="0.2">
      <c r="A1623" s="1">
        <v>756</v>
      </c>
      <c r="B1623" s="1">
        <v>0</v>
      </c>
      <c r="C1623" s="1">
        <v>15</v>
      </c>
      <c r="D1623" s="1">
        <v>3</v>
      </c>
      <c r="E1623" s="1">
        <v>3</v>
      </c>
      <c r="F1623" s="1">
        <v>1</v>
      </c>
      <c r="G1623" s="1">
        <v>8</v>
      </c>
      <c r="H1623" s="1">
        <v>0</v>
      </c>
      <c r="I1623" s="1">
        <v>3</v>
      </c>
      <c r="J1623" s="1">
        <v>1</v>
      </c>
    </row>
    <row r="1624" spans="1:10" x14ac:dyDescent="0.2">
      <c r="A1624" s="1">
        <v>2187</v>
      </c>
      <c r="B1624" s="1">
        <v>0</v>
      </c>
      <c r="C1624" s="1">
        <v>13</v>
      </c>
      <c r="D1624" s="1">
        <v>4</v>
      </c>
      <c r="E1624" s="1">
        <v>1</v>
      </c>
      <c r="F1624" s="1">
        <v>2</v>
      </c>
      <c r="G1624" s="1">
        <v>8</v>
      </c>
      <c r="H1624" s="1">
        <v>0</v>
      </c>
      <c r="I1624" s="1">
        <v>3</v>
      </c>
      <c r="J1624" s="1">
        <v>1</v>
      </c>
    </row>
    <row r="1625" spans="1:10" x14ac:dyDescent="0.2">
      <c r="A1625" s="1">
        <v>559</v>
      </c>
      <c r="B1625" s="1">
        <v>0</v>
      </c>
      <c r="C1625" s="1">
        <v>11</v>
      </c>
      <c r="D1625" s="1">
        <v>5</v>
      </c>
      <c r="E1625" s="1">
        <v>2</v>
      </c>
      <c r="F1625" s="1">
        <v>2</v>
      </c>
      <c r="G1625" s="1">
        <v>8</v>
      </c>
      <c r="H1625" s="1">
        <v>0</v>
      </c>
      <c r="I1625" s="1">
        <v>2</v>
      </c>
      <c r="J1625" s="1">
        <v>1</v>
      </c>
    </row>
    <row r="1626" spans="1:10" x14ac:dyDescent="0.2">
      <c r="A1626" s="1">
        <v>1538</v>
      </c>
      <c r="B1626" s="1">
        <v>0</v>
      </c>
      <c r="C1626" s="1">
        <v>13</v>
      </c>
      <c r="D1626" s="1">
        <v>5</v>
      </c>
      <c r="E1626" s="1">
        <v>2</v>
      </c>
      <c r="F1626" s="1">
        <v>2</v>
      </c>
      <c r="G1626" s="1">
        <v>8</v>
      </c>
      <c r="H1626" s="1">
        <v>0</v>
      </c>
      <c r="I1626" s="1">
        <v>3</v>
      </c>
      <c r="J1626" s="1">
        <v>1</v>
      </c>
    </row>
    <row r="1627" spans="1:10" x14ac:dyDescent="0.2">
      <c r="A1627" s="1">
        <v>890</v>
      </c>
      <c r="B1627" s="1">
        <v>0</v>
      </c>
      <c r="C1627" s="1">
        <v>19</v>
      </c>
      <c r="D1627" s="1">
        <v>4</v>
      </c>
      <c r="E1627" s="1">
        <v>2</v>
      </c>
      <c r="F1627" s="1">
        <v>2</v>
      </c>
      <c r="G1627" s="1">
        <v>8</v>
      </c>
      <c r="H1627" s="1">
        <v>1</v>
      </c>
      <c r="I1627" s="1">
        <v>1</v>
      </c>
      <c r="J1627" s="1">
        <v>1</v>
      </c>
    </row>
    <row r="1628" spans="1:10" x14ac:dyDescent="0.2">
      <c r="A1628" s="1">
        <v>1580</v>
      </c>
      <c r="B1628" s="1">
        <v>0</v>
      </c>
      <c r="C1628" s="1">
        <v>8</v>
      </c>
      <c r="D1628" s="1">
        <v>2</v>
      </c>
      <c r="E1628" s="1">
        <v>3</v>
      </c>
      <c r="F1628" s="1">
        <v>2</v>
      </c>
      <c r="G1628" s="1">
        <v>8</v>
      </c>
      <c r="H1628" s="1">
        <v>1</v>
      </c>
      <c r="I1628" s="1">
        <v>1</v>
      </c>
      <c r="J1628" s="1">
        <v>1</v>
      </c>
    </row>
    <row r="1629" spans="1:10" x14ac:dyDescent="0.2">
      <c r="A1629" s="1">
        <v>66</v>
      </c>
      <c r="B1629" s="1">
        <v>0</v>
      </c>
      <c r="C1629" s="1">
        <v>10</v>
      </c>
      <c r="D1629" s="1">
        <v>4</v>
      </c>
      <c r="E1629" s="1">
        <v>3</v>
      </c>
      <c r="F1629" s="1">
        <v>2</v>
      </c>
      <c r="G1629" s="1">
        <v>8</v>
      </c>
      <c r="H1629" s="1">
        <v>1</v>
      </c>
      <c r="I1629" s="1">
        <v>3</v>
      </c>
      <c r="J1629" s="1">
        <v>1</v>
      </c>
    </row>
    <row r="1630" spans="1:10" x14ac:dyDescent="0.2">
      <c r="A1630" s="1">
        <v>691</v>
      </c>
      <c r="B1630" s="1">
        <v>0</v>
      </c>
      <c r="C1630" s="1">
        <v>18</v>
      </c>
      <c r="D1630" s="1">
        <v>2</v>
      </c>
      <c r="E1630" s="1">
        <v>3</v>
      </c>
      <c r="F1630" s="1">
        <v>2</v>
      </c>
      <c r="G1630" s="1">
        <v>8</v>
      </c>
      <c r="H1630" s="1">
        <v>1</v>
      </c>
      <c r="I1630" s="1">
        <v>0</v>
      </c>
      <c r="J1630" s="1">
        <v>1</v>
      </c>
    </row>
    <row r="1631" spans="1:10" x14ac:dyDescent="0.2">
      <c r="A1631" s="1">
        <v>1768</v>
      </c>
      <c r="B1631" s="1">
        <v>0</v>
      </c>
      <c r="C1631" s="1">
        <v>9</v>
      </c>
      <c r="D1631" s="1">
        <v>3</v>
      </c>
      <c r="E1631" s="1">
        <v>1</v>
      </c>
      <c r="F1631" s="1">
        <v>3</v>
      </c>
      <c r="G1631" s="1">
        <v>8</v>
      </c>
      <c r="H1631" s="1">
        <v>0</v>
      </c>
      <c r="I1631" s="1">
        <v>0</v>
      </c>
      <c r="J1631" s="1">
        <v>1</v>
      </c>
    </row>
    <row r="1632" spans="1:10" x14ac:dyDescent="0.2">
      <c r="A1632" s="1">
        <v>1689</v>
      </c>
      <c r="B1632" s="1">
        <v>0</v>
      </c>
      <c r="C1632" s="1">
        <v>10</v>
      </c>
      <c r="D1632" s="1">
        <v>3</v>
      </c>
      <c r="E1632" s="1">
        <v>2</v>
      </c>
      <c r="F1632" s="1">
        <v>3</v>
      </c>
      <c r="G1632" s="1">
        <v>8</v>
      </c>
      <c r="H1632" s="1">
        <v>1</v>
      </c>
      <c r="I1632" s="1">
        <v>1</v>
      </c>
      <c r="J1632" s="1">
        <v>1</v>
      </c>
    </row>
    <row r="1633" spans="1:10" x14ac:dyDescent="0.2">
      <c r="A1633" s="1">
        <v>220</v>
      </c>
      <c r="B1633" s="1">
        <v>0</v>
      </c>
      <c r="C1633" s="1">
        <v>15</v>
      </c>
      <c r="D1633" s="1">
        <v>2</v>
      </c>
      <c r="E1633" s="1">
        <v>2</v>
      </c>
      <c r="F1633" s="1">
        <v>3</v>
      </c>
      <c r="G1633" s="1">
        <v>8</v>
      </c>
      <c r="H1633" s="1">
        <v>1</v>
      </c>
      <c r="I1633" s="1">
        <v>0</v>
      </c>
      <c r="J1633" s="1">
        <v>1</v>
      </c>
    </row>
    <row r="1634" spans="1:10" x14ac:dyDescent="0.2">
      <c r="A1634" s="1">
        <v>1585</v>
      </c>
      <c r="B1634" s="1">
        <v>0</v>
      </c>
      <c r="C1634" s="1">
        <v>15</v>
      </c>
      <c r="D1634" s="1">
        <v>1</v>
      </c>
      <c r="E1634" s="1">
        <v>2</v>
      </c>
      <c r="F1634" s="1">
        <v>3</v>
      </c>
      <c r="G1634" s="1">
        <v>8</v>
      </c>
      <c r="H1634" s="1">
        <v>1</v>
      </c>
      <c r="I1634" s="1">
        <v>0</v>
      </c>
      <c r="J1634" s="1">
        <v>1</v>
      </c>
    </row>
    <row r="1635" spans="1:10" x14ac:dyDescent="0.2">
      <c r="A1635" s="1">
        <v>931</v>
      </c>
      <c r="B1635" s="1">
        <v>0</v>
      </c>
      <c r="C1635" s="1">
        <v>5</v>
      </c>
      <c r="D1635" s="1">
        <v>4</v>
      </c>
      <c r="E1635" s="1">
        <v>3</v>
      </c>
      <c r="F1635" s="1">
        <v>3</v>
      </c>
      <c r="G1635" s="1">
        <v>8</v>
      </c>
      <c r="H1635" s="1">
        <v>0</v>
      </c>
      <c r="I1635" s="1">
        <v>3</v>
      </c>
      <c r="J1635" s="1">
        <v>1</v>
      </c>
    </row>
    <row r="1636" spans="1:10" x14ac:dyDescent="0.2">
      <c r="A1636" s="1">
        <v>2361</v>
      </c>
      <c r="B1636" s="1">
        <v>0</v>
      </c>
      <c r="C1636" s="1">
        <v>8</v>
      </c>
      <c r="D1636" s="1">
        <v>2</v>
      </c>
      <c r="E1636" s="1">
        <v>1</v>
      </c>
      <c r="F1636" s="1">
        <v>4</v>
      </c>
      <c r="G1636" s="1">
        <v>8</v>
      </c>
      <c r="H1636" s="1">
        <v>1</v>
      </c>
      <c r="I1636" s="1">
        <v>0</v>
      </c>
      <c r="J1636" s="1">
        <v>1</v>
      </c>
    </row>
    <row r="1637" spans="1:10" x14ac:dyDescent="0.2">
      <c r="A1637" s="1">
        <v>2143</v>
      </c>
      <c r="B1637" s="1">
        <v>0</v>
      </c>
      <c r="C1637" s="1">
        <v>13</v>
      </c>
      <c r="D1637" s="1">
        <v>1</v>
      </c>
      <c r="E1637" s="1">
        <v>1</v>
      </c>
      <c r="F1637" s="1">
        <v>4</v>
      </c>
      <c r="G1637" s="1">
        <v>8</v>
      </c>
      <c r="H1637" s="1">
        <v>1</v>
      </c>
      <c r="I1637" s="1">
        <v>3</v>
      </c>
      <c r="J1637" s="1">
        <v>1</v>
      </c>
    </row>
    <row r="1638" spans="1:10" x14ac:dyDescent="0.2">
      <c r="A1638" s="1">
        <v>238</v>
      </c>
      <c r="B1638" s="1">
        <v>0</v>
      </c>
      <c r="C1638" s="1">
        <v>16</v>
      </c>
      <c r="D1638" s="1">
        <v>3</v>
      </c>
      <c r="E1638" s="1">
        <v>1</v>
      </c>
      <c r="F1638" s="1">
        <v>4</v>
      </c>
      <c r="G1638" s="1">
        <v>8</v>
      </c>
      <c r="H1638" s="1">
        <v>1</v>
      </c>
      <c r="I1638" s="1">
        <v>3</v>
      </c>
      <c r="J1638" s="1">
        <v>1</v>
      </c>
    </row>
    <row r="1639" spans="1:10" x14ac:dyDescent="0.2">
      <c r="A1639" s="1">
        <v>1371</v>
      </c>
      <c r="B1639" s="1">
        <v>0</v>
      </c>
      <c r="C1639" s="1">
        <v>17</v>
      </c>
      <c r="D1639" s="1">
        <v>2</v>
      </c>
      <c r="E1639" s="1">
        <v>1</v>
      </c>
      <c r="F1639" s="1">
        <v>4</v>
      </c>
      <c r="G1639" s="1">
        <v>8</v>
      </c>
      <c r="H1639" s="1">
        <v>1</v>
      </c>
      <c r="I1639" s="1">
        <v>0</v>
      </c>
      <c r="J1639" s="1">
        <v>1</v>
      </c>
    </row>
    <row r="1640" spans="1:10" x14ac:dyDescent="0.2">
      <c r="A1640" s="1">
        <v>1151</v>
      </c>
      <c r="B1640" s="1">
        <v>0</v>
      </c>
      <c r="C1640" s="1">
        <v>18</v>
      </c>
      <c r="D1640" s="1">
        <v>3</v>
      </c>
      <c r="E1640" s="1">
        <v>1</v>
      </c>
      <c r="F1640" s="1">
        <v>4</v>
      </c>
      <c r="G1640" s="1">
        <v>8</v>
      </c>
      <c r="H1640" s="1">
        <v>1</v>
      </c>
      <c r="I1640" s="1">
        <v>1</v>
      </c>
      <c r="J1640" s="1">
        <v>1</v>
      </c>
    </row>
    <row r="1641" spans="1:10" x14ac:dyDescent="0.2">
      <c r="A1641" s="1">
        <v>1688</v>
      </c>
      <c r="B1641" s="1">
        <v>0</v>
      </c>
      <c r="C1641" s="1">
        <v>8</v>
      </c>
      <c r="D1641" s="1">
        <v>5</v>
      </c>
      <c r="E1641" s="1">
        <v>2</v>
      </c>
      <c r="F1641" s="1">
        <v>4</v>
      </c>
      <c r="G1641" s="1">
        <v>8</v>
      </c>
      <c r="H1641" s="1">
        <v>1</v>
      </c>
      <c r="I1641" s="1">
        <v>0</v>
      </c>
      <c r="J1641" s="1">
        <v>1</v>
      </c>
    </row>
    <row r="1642" spans="1:10" x14ac:dyDescent="0.2">
      <c r="A1642" s="1">
        <v>1476</v>
      </c>
      <c r="B1642" s="1">
        <v>0</v>
      </c>
      <c r="C1642" s="1">
        <v>10</v>
      </c>
      <c r="D1642" s="1">
        <v>4</v>
      </c>
      <c r="E1642" s="1">
        <v>2</v>
      </c>
      <c r="F1642" s="1">
        <v>4</v>
      </c>
      <c r="G1642" s="1">
        <v>8</v>
      </c>
      <c r="H1642" s="1">
        <v>0</v>
      </c>
      <c r="I1642" s="1">
        <v>0</v>
      </c>
      <c r="J1642" s="1">
        <v>1</v>
      </c>
    </row>
    <row r="1643" spans="1:10" x14ac:dyDescent="0.2">
      <c r="A1643" s="1">
        <v>1526</v>
      </c>
      <c r="B1643" s="1">
        <v>0</v>
      </c>
      <c r="C1643" s="1">
        <v>16</v>
      </c>
      <c r="D1643" s="1">
        <v>1</v>
      </c>
      <c r="E1643" s="1">
        <v>2</v>
      </c>
      <c r="F1643" s="1">
        <v>4</v>
      </c>
      <c r="G1643" s="1">
        <v>8</v>
      </c>
      <c r="H1643" s="1">
        <v>1</v>
      </c>
      <c r="I1643" s="1">
        <v>0</v>
      </c>
      <c r="J1643" s="1">
        <v>1</v>
      </c>
    </row>
    <row r="1644" spans="1:10" x14ac:dyDescent="0.2">
      <c r="A1644" s="1">
        <v>1963</v>
      </c>
      <c r="B1644" s="1">
        <v>0</v>
      </c>
      <c r="C1644" s="1">
        <v>6</v>
      </c>
      <c r="D1644" s="1">
        <v>5</v>
      </c>
      <c r="E1644" s="1">
        <v>3</v>
      </c>
      <c r="F1644" s="1">
        <v>4</v>
      </c>
      <c r="G1644" s="1">
        <v>8</v>
      </c>
      <c r="H1644" s="1">
        <v>0</v>
      </c>
      <c r="I1644" s="1">
        <v>2</v>
      </c>
      <c r="J1644" s="1">
        <v>1</v>
      </c>
    </row>
    <row r="1645" spans="1:10" x14ac:dyDescent="0.2">
      <c r="A1645" s="1">
        <v>351</v>
      </c>
      <c r="B1645" s="1">
        <v>0</v>
      </c>
      <c r="C1645" s="1">
        <v>14</v>
      </c>
      <c r="D1645" s="1">
        <v>3</v>
      </c>
      <c r="E1645" s="1">
        <v>3</v>
      </c>
      <c r="F1645" s="1">
        <v>4</v>
      </c>
      <c r="G1645" s="1">
        <v>8</v>
      </c>
      <c r="H1645" s="1">
        <v>0</v>
      </c>
      <c r="I1645" s="1">
        <v>1</v>
      </c>
      <c r="J1645" s="1">
        <v>1</v>
      </c>
    </row>
    <row r="1646" spans="1:10" x14ac:dyDescent="0.2">
      <c r="A1646" s="1">
        <v>1530</v>
      </c>
      <c r="B1646" s="1">
        <v>0</v>
      </c>
      <c r="C1646" s="1">
        <v>9</v>
      </c>
      <c r="D1646" s="1">
        <v>1</v>
      </c>
      <c r="E1646" s="1">
        <v>2</v>
      </c>
      <c r="F1646" s="1">
        <v>5</v>
      </c>
      <c r="G1646" s="1">
        <v>8</v>
      </c>
      <c r="H1646" s="1">
        <v>0</v>
      </c>
      <c r="I1646" s="1">
        <v>2</v>
      </c>
      <c r="J1646" s="1">
        <v>1</v>
      </c>
    </row>
    <row r="1647" spans="1:10" x14ac:dyDescent="0.2">
      <c r="A1647" s="1">
        <v>1821</v>
      </c>
      <c r="B1647" s="1">
        <v>0</v>
      </c>
      <c r="C1647" s="1">
        <v>16</v>
      </c>
      <c r="D1647" s="1">
        <v>2</v>
      </c>
      <c r="E1647" s="1">
        <v>2</v>
      </c>
      <c r="F1647" s="1">
        <v>5</v>
      </c>
      <c r="G1647" s="1">
        <v>8</v>
      </c>
      <c r="H1647" s="1">
        <v>1</v>
      </c>
      <c r="I1647" s="1">
        <v>1</v>
      </c>
      <c r="J1647" s="1">
        <v>1</v>
      </c>
    </row>
    <row r="1648" spans="1:10" x14ac:dyDescent="0.2">
      <c r="A1648" s="1">
        <v>1142</v>
      </c>
      <c r="B1648" s="1">
        <v>0</v>
      </c>
      <c r="C1648" s="1">
        <v>18</v>
      </c>
      <c r="D1648" s="1">
        <v>2</v>
      </c>
      <c r="E1648" s="1">
        <v>2</v>
      </c>
      <c r="F1648" s="1">
        <v>5</v>
      </c>
      <c r="G1648" s="1">
        <v>8</v>
      </c>
      <c r="H1648" s="1">
        <v>1</v>
      </c>
      <c r="I1648" s="1">
        <v>1</v>
      </c>
      <c r="J1648" s="1">
        <v>1</v>
      </c>
    </row>
    <row r="1649" spans="1:10" x14ac:dyDescent="0.2">
      <c r="A1649" s="1">
        <v>1212</v>
      </c>
      <c r="B1649" s="1">
        <v>0</v>
      </c>
      <c r="C1649" s="1">
        <v>15</v>
      </c>
      <c r="D1649" s="1">
        <v>2</v>
      </c>
      <c r="E1649" s="1">
        <v>3</v>
      </c>
      <c r="F1649" s="1">
        <v>5</v>
      </c>
      <c r="G1649" s="1">
        <v>8</v>
      </c>
      <c r="H1649" s="1">
        <v>1</v>
      </c>
      <c r="I1649" s="1">
        <v>0</v>
      </c>
      <c r="J1649" s="1">
        <v>1</v>
      </c>
    </row>
    <row r="1650" spans="1:10" x14ac:dyDescent="0.2">
      <c r="A1650" s="1">
        <v>1647</v>
      </c>
      <c r="B1650" s="1">
        <v>0</v>
      </c>
      <c r="C1650" s="1">
        <v>19</v>
      </c>
      <c r="D1650" s="1">
        <v>2</v>
      </c>
      <c r="E1650" s="1">
        <v>3</v>
      </c>
      <c r="F1650" s="1">
        <v>5</v>
      </c>
      <c r="G1650" s="1">
        <v>8</v>
      </c>
      <c r="H1650" s="1">
        <v>1</v>
      </c>
      <c r="I1650" s="1">
        <v>1</v>
      </c>
      <c r="J1650" s="1">
        <v>1</v>
      </c>
    </row>
    <row r="1651" spans="1:10" x14ac:dyDescent="0.2">
      <c r="A1651" s="1">
        <v>745</v>
      </c>
      <c r="B1651" s="1">
        <v>0</v>
      </c>
      <c r="C1651" s="1">
        <v>20</v>
      </c>
      <c r="D1651" s="1">
        <v>1</v>
      </c>
      <c r="E1651" s="1">
        <v>3</v>
      </c>
      <c r="F1651" s="1">
        <v>5</v>
      </c>
      <c r="G1651" s="1">
        <v>8</v>
      </c>
      <c r="H1651" s="1">
        <v>0</v>
      </c>
      <c r="I1651" s="1">
        <v>2</v>
      </c>
      <c r="J1651" s="1">
        <v>1</v>
      </c>
    </row>
    <row r="1652" spans="1:10" x14ac:dyDescent="0.2">
      <c r="A1652" s="1">
        <v>1726</v>
      </c>
      <c r="B1652" s="1">
        <v>0</v>
      </c>
      <c r="C1652" s="1">
        <v>13</v>
      </c>
      <c r="D1652" s="1">
        <v>5</v>
      </c>
      <c r="E1652" s="1">
        <v>1</v>
      </c>
      <c r="F1652" s="1">
        <v>6</v>
      </c>
      <c r="G1652" s="1">
        <v>8</v>
      </c>
      <c r="H1652" s="1">
        <v>0</v>
      </c>
      <c r="I1652" s="1">
        <v>3</v>
      </c>
      <c r="J1652" s="1">
        <v>1</v>
      </c>
    </row>
    <row r="1653" spans="1:10" x14ac:dyDescent="0.2">
      <c r="A1653" s="1">
        <v>1453</v>
      </c>
      <c r="B1653" s="1">
        <v>0</v>
      </c>
      <c r="C1653" s="1">
        <v>9</v>
      </c>
      <c r="D1653" s="1">
        <v>2</v>
      </c>
      <c r="E1653" s="1">
        <v>2</v>
      </c>
      <c r="F1653" s="1">
        <v>6</v>
      </c>
      <c r="G1653" s="1">
        <v>8</v>
      </c>
      <c r="H1653" s="1">
        <v>1</v>
      </c>
      <c r="I1653" s="1">
        <v>3</v>
      </c>
      <c r="J1653" s="1">
        <v>1</v>
      </c>
    </row>
    <row r="1654" spans="1:10" x14ac:dyDescent="0.2">
      <c r="A1654" s="1">
        <v>365</v>
      </c>
      <c r="B1654" s="1">
        <v>0</v>
      </c>
      <c r="C1654" s="1">
        <v>20</v>
      </c>
      <c r="D1654" s="1">
        <v>3</v>
      </c>
      <c r="E1654" s="1">
        <v>2</v>
      </c>
      <c r="F1654" s="1">
        <v>6</v>
      </c>
      <c r="G1654" s="1">
        <v>8</v>
      </c>
      <c r="H1654" s="1">
        <v>0</v>
      </c>
      <c r="I1654" s="1">
        <v>2</v>
      </c>
      <c r="J1654" s="1">
        <v>1</v>
      </c>
    </row>
    <row r="1655" spans="1:10" x14ac:dyDescent="0.2">
      <c r="A1655" s="1">
        <v>1858</v>
      </c>
      <c r="B1655" s="1">
        <v>0</v>
      </c>
      <c r="C1655" s="1">
        <v>6</v>
      </c>
      <c r="D1655" s="1">
        <v>3</v>
      </c>
      <c r="E1655" s="1">
        <v>3</v>
      </c>
      <c r="F1655" s="1">
        <v>6</v>
      </c>
      <c r="G1655" s="1">
        <v>8</v>
      </c>
      <c r="H1655" s="1">
        <v>0</v>
      </c>
      <c r="I1655" s="1">
        <v>2</v>
      </c>
      <c r="J1655" s="1">
        <v>1</v>
      </c>
    </row>
    <row r="1656" spans="1:10" x14ac:dyDescent="0.2">
      <c r="A1656" s="1">
        <v>2266</v>
      </c>
      <c r="B1656" s="1">
        <v>0</v>
      </c>
      <c r="C1656" s="1">
        <v>14</v>
      </c>
      <c r="D1656" s="1">
        <v>3</v>
      </c>
      <c r="E1656" s="1">
        <v>3</v>
      </c>
      <c r="F1656" s="1">
        <v>6</v>
      </c>
      <c r="G1656" s="1">
        <v>8</v>
      </c>
      <c r="H1656" s="1">
        <v>0</v>
      </c>
      <c r="I1656" s="1">
        <v>2</v>
      </c>
      <c r="J1656" s="1">
        <v>1</v>
      </c>
    </row>
    <row r="1657" spans="1:10" x14ac:dyDescent="0.2">
      <c r="A1657" s="1">
        <v>1398</v>
      </c>
      <c r="B1657" s="1">
        <v>0</v>
      </c>
      <c r="C1657" s="1">
        <v>15</v>
      </c>
      <c r="D1657" s="1">
        <v>1</v>
      </c>
      <c r="E1657" s="1">
        <v>3</v>
      </c>
      <c r="F1657" s="1">
        <v>6</v>
      </c>
      <c r="G1657" s="1">
        <v>8</v>
      </c>
      <c r="H1657" s="1">
        <v>1</v>
      </c>
      <c r="I1657" s="1">
        <v>1</v>
      </c>
      <c r="J1657" s="1">
        <v>1</v>
      </c>
    </row>
    <row r="1658" spans="1:10" x14ac:dyDescent="0.2">
      <c r="A1658" s="1">
        <v>825</v>
      </c>
      <c r="B1658" s="1">
        <v>0</v>
      </c>
      <c r="C1658" s="1">
        <v>5</v>
      </c>
      <c r="D1658" s="1">
        <v>3</v>
      </c>
      <c r="E1658" s="1">
        <v>2</v>
      </c>
      <c r="F1658" s="1">
        <v>7</v>
      </c>
      <c r="G1658" s="1">
        <v>8</v>
      </c>
      <c r="H1658" s="1">
        <v>1</v>
      </c>
      <c r="I1658" s="1">
        <v>0</v>
      </c>
      <c r="J1658" s="1">
        <v>1</v>
      </c>
    </row>
    <row r="1659" spans="1:10" x14ac:dyDescent="0.2">
      <c r="A1659" s="1">
        <v>818</v>
      </c>
      <c r="B1659" s="1">
        <v>0</v>
      </c>
      <c r="C1659" s="1">
        <v>6</v>
      </c>
      <c r="D1659" s="1">
        <v>4</v>
      </c>
      <c r="E1659" s="1">
        <v>3</v>
      </c>
      <c r="F1659" s="1">
        <v>7</v>
      </c>
      <c r="G1659" s="1">
        <v>8</v>
      </c>
      <c r="H1659" s="1">
        <v>0</v>
      </c>
      <c r="I1659" s="1">
        <v>1</v>
      </c>
      <c r="J1659" s="1">
        <v>1</v>
      </c>
    </row>
    <row r="1660" spans="1:10" x14ac:dyDescent="0.2">
      <c r="A1660" s="1">
        <v>961</v>
      </c>
      <c r="B1660" s="1">
        <v>0</v>
      </c>
      <c r="C1660" s="1">
        <v>7</v>
      </c>
      <c r="D1660" s="1">
        <v>5</v>
      </c>
      <c r="E1660" s="1">
        <v>3</v>
      </c>
      <c r="F1660" s="1">
        <v>7</v>
      </c>
      <c r="G1660" s="1">
        <v>8</v>
      </c>
      <c r="H1660" s="1">
        <v>1</v>
      </c>
      <c r="I1660" s="1">
        <v>1</v>
      </c>
      <c r="J1660" s="1">
        <v>1</v>
      </c>
    </row>
    <row r="1661" spans="1:10" x14ac:dyDescent="0.2">
      <c r="A1661" s="1">
        <v>1087</v>
      </c>
      <c r="B1661" s="1">
        <v>0</v>
      </c>
      <c r="C1661" s="1">
        <v>10</v>
      </c>
      <c r="D1661" s="1">
        <v>4</v>
      </c>
      <c r="E1661" s="1">
        <v>3</v>
      </c>
      <c r="F1661" s="1">
        <v>7</v>
      </c>
      <c r="G1661" s="1">
        <v>8</v>
      </c>
      <c r="H1661" s="1">
        <v>1</v>
      </c>
      <c r="I1661" s="1">
        <v>1</v>
      </c>
      <c r="J1661" s="1">
        <v>1</v>
      </c>
    </row>
    <row r="1662" spans="1:10" x14ac:dyDescent="0.2">
      <c r="A1662" s="1">
        <v>1344</v>
      </c>
      <c r="B1662" s="1">
        <v>0</v>
      </c>
      <c r="C1662" s="1">
        <v>6</v>
      </c>
      <c r="D1662" s="1">
        <v>5</v>
      </c>
      <c r="E1662" s="1">
        <v>1</v>
      </c>
      <c r="F1662" s="1">
        <v>8</v>
      </c>
      <c r="G1662" s="1">
        <v>8</v>
      </c>
      <c r="H1662" s="1">
        <v>1</v>
      </c>
      <c r="I1662" s="1">
        <v>2</v>
      </c>
      <c r="J1662" s="1">
        <v>1</v>
      </c>
    </row>
    <row r="1663" spans="1:10" x14ac:dyDescent="0.2">
      <c r="A1663" s="1">
        <v>652</v>
      </c>
      <c r="B1663" s="1">
        <v>0</v>
      </c>
      <c r="C1663" s="1">
        <v>14</v>
      </c>
      <c r="D1663" s="1">
        <v>2</v>
      </c>
      <c r="E1663" s="1">
        <v>1</v>
      </c>
      <c r="F1663" s="1">
        <v>8</v>
      </c>
      <c r="G1663" s="1">
        <v>8</v>
      </c>
      <c r="H1663" s="1">
        <v>1</v>
      </c>
      <c r="I1663" s="1">
        <v>2</v>
      </c>
      <c r="J1663" s="1">
        <v>1</v>
      </c>
    </row>
    <row r="1664" spans="1:10" x14ac:dyDescent="0.2">
      <c r="A1664" s="1">
        <v>1960</v>
      </c>
      <c r="B1664" s="1">
        <v>0</v>
      </c>
      <c r="C1664" s="1">
        <v>13</v>
      </c>
      <c r="D1664" s="1">
        <v>3</v>
      </c>
      <c r="E1664" s="1">
        <v>3</v>
      </c>
      <c r="F1664" s="1">
        <v>8</v>
      </c>
      <c r="G1664" s="1">
        <v>8</v>
      </c>
      <c r="H1664" s="1">
        <v>0</v>
      </c>
      <c r="I1664" s="1">
        <v>0</v>
      </c>
      <c r="J1664" s="1">
        <v>1</v>
      </c>
    </row>
    <row r="1665" spans="1:10" x14ac:dyDescent="0.2">
      <c r="A1665" s="1">
        <v>480</v>
      </c>
      <c r="B1665" s="1">
        <v>0</v>
      </c>
      <c r="C1665" s="1">
        <v>17</v>
      </c>
      <c r="D1665" s="1">
        <v>2</v>
      </c>
      <c r="E1665" s="1">
        <v>3</v>
      </c>
      <c r="F1665" s="1">
        <v>8</v>
      </c>
      <c r="G1665" s="1">
        <v>8</v>
      </c>
      <c r="H1665" s="1">
        <v>1</v>
      </c>
      <c r="I1665" s="1">
        <v>3</v>
      </c>
      <c r="J1665" s="1">
        <v>1</v>
      </c>
    </row>
    <row r="1666" spans="1:10" x14ac:dyDescent="0.2">
      <c r="A1666" s="1">
        <v>1353</v>
      </c>
      <c r="B1666" s="1">
        <v>0</v>
      </c>
      <c r="C1666" s="1">
        <v>7</v>
      </c>
      <c r="D1666" s="1">
        <v>3</v>
      </c>
      <c r="E1666" s="1">
        <v>1</v>
      </c>
      <c r="F1666" s="1">
        <v>9</v>
      </c>
      <c r="G1666" s="1">
        <v>8</v>
      </c>
      <c r="H1666" s="1">
        <v>1</v>
      </c>
      <c r="I1666" s="1">
        <v>3</v>
      </c>
      <c r="J1666" s="1">
        <v>1</v>
      </c>
    </row>
    <row r="1667" spans="1:10" x14ac:dyDescent="0.2">
      <c r="A1667" s="1">
        <v>320</v>
      </c>
      <c r="B1667" s="1">
        <v>0</v>
      </c>
      <c r="C1667" s="1">
        <v>11</v>
      </c>
      <c r="D1667" s="1">
        <v>4</v>
      </c>
      <c r="E1667" s="1">
        <v>1</v>
      </c>
      <c r="F1667" s="1">
        <v>9</v>
      </c>
      <c r="G1667" s="1">
        <v>8</v>
      </c>
      <c r="H1667" s="1">
        <v>1</v>
      </c>
      <c r="I1667" s="1">
        <v>1</v>
      </c>
      <c r="J1667" s="1">
        <v>1</v>
      </c>
    </row>
    <row r="1668" spans="1:10" x14ac:dyDescent="0.2">
      <c r="A1668" s="1">
        <v>2067</v>
      </c>
      <c r="B1668" s="1">
        <v>0</v>
      </c>
      <c r="C1668" s="1">
        <v>20</v>
      </c>
      <c r="D1668" s="1">
        <v>5</v>
      </c>
      <c r="E1668" s="1">
        <v>3</v>
      </c>
      <c r="F1668" s="1">
        <v>9</v>
      </c>
      <c r="G1668" s="1">
        <v>8</v>
      </c>
      <c r="H1668" s="1">
        <v>0</v>
      </c>
      <c r="I1668" s="1">
        <v>1</v>
      </c>
      <c r="J1668" s="1">
        <v>1</v>
      </c>
    </row>
    <row r="1669" spans="1:10" x14ac:dyDescent="0.2">
      <c r="A1669" s="1">
        <v>229</v>
      </c>
      <c r="B1669" s="1">
        <v>0</v>
      </c>
      <c r="C1669" s="1">
        <v>16</v>
      </c>
      <c r="D1669" s="1">
        <v>2</v>
      </c>
      <c r="E1669" s="1">
        <v>2</v>
      </c>
      <c r="F1669" s="1">
        <v>10</v>
      </c>
      <c r="G1669" s="1">
        <v>8</v>
      </c>
      <c r="H1669" s="1">
        <v>0</v>
      </c>
      <c r="I1669" s="1">
        <v>0</v>
      </c>
      <c r="J1669" s="1">
        <v>1</v>
      </c>
    </row>
    <row r="1670" spans="1:10" x14ac:dyDescent="0.2">
      <c r="A1670" s="1">
        <v>1027</v>
      </c>
      <c r="B1670" s="1">
        <v>0</v>
      </c>
      <c r="C1670" s="1">
        <v>6</v>
      </c>
      <c r="D1670" s="1">
        <v>3</v>
      </c>
      <c r="E1670" s="1">
        <v>3</v>
      </c>
      <c r="F1670" s="1">
        <v>10</v>
      </c>
      <c r="G1670" s="1">
        <v>8</v>
      </c>
      <c r="H1670" s="1">
        <v>1</v>
      </c>
      <c r="I1670" s="1">
        <v>2</v>
      </c>
      <c r="J1670" s="1">
        <v>1</v>
      </c>
    </row>
    <row r="1671" spans="1:10" x14ac:dyDescent="0.2">
      <c r="A1671" s="1">
        <v>1555</v>
      </c>
      <c r="B1671" s="1">
        <v>0</v>
      </c>
      <c r="C1671" s="1">
        <v>20</v>
      </c>
      <c r="D1671" s="1">
        <v>2</v>
      </c>
      <c r="E1671" s="1">
        <v>3</v>
      </c>
      <c r="F1671" s="1">
        <v>10</v>
      </c>
      <c r="G1671" s="1">
        <v>8</v>
      </c>
      <c r="H1671" s="1">
        <v>0</v>
      </c>
      <c r="I1671" s="1">
        <v>1</v>
      </c>
      <c r="J1671" s="1">
        <v>1</v>
      </c>
    </row>
    <row r="1672" spans="1:10" x14ac:dyDescent="0.2">
      <c r="A1672" s="1">
        <v>379</v>
      </c>
      <c r="B1672" s="1">
        <v>0</v>
      </c>
      <c r="C1672" s="1">
        <v>6</v>
      </c>
      <c r="D1672" s="1">
        <v>5</v>
      </c>
      <c r="E1672" s="1">
        <v>3</v>
      </c>
      <c r="F1672" s="1">
        <v>1</v>
      </c>
      <c r="G1672" s="1">
        <v>8</v>
      </c>
      <c r="H1672" s="1">
        <v>0</v>
      </c>
      <c r="I1672" s="1">
        <v>0</v>
      </c>
      <c r="J1672" s="1">
        <v>2</v>
      </c>
    </row>
    <row r="1673" spans="1:10" x14ac:dyDescent="0.2">
      <c r="A1673" s="1">
        <v>1397</v>
      </c>
      <c r="B1673" s="1">
        <v>0</v>
      </c>
      <c r="C1673" s="1">
        <v>17</v>
      </c>
      <c r="D1673" s="1">
        <v>2</v>
      </c>
      <c r="E1673" s="1">
        <v>1</v>
      </c>
      <c r="F1673" s="1">
        <v>2</v>
      </c>
      <c r="G1673" s="1">
        <v>8</v>
      </c>
      <c r="H1673" s="1">
        <v>0</v>
      </c>
      <c r="I1673" s="1">
        <v>3</v>
      </c>
      <c r="J1673" s="1">
        <v>2</v>
      </c>
    </row>
    <row r="1674" spans="1:10" x14ac:dyDescent="0.2">
      <c r="A1674" s="1">
        <v>1761</v>
      </c>
      <c r="B1674" s="1">
        <v>0</v>
      </c>
      <c r="C1674" s="1">
        <v>20</v>
      </c>
      <c r="D1674" s="1">
        <v>5</v>
      </c>
      <c r="E1674" s="1">
        <v>1</v>
      </c>
      <c r="F1674" s="1">
        <v>2</v>
      </c>
      <c r="G1674" s="1">
        <v>8</v>
      </c>
      <c r="H1674" s="1">
        <v>1</v>
      </c>
      <c r="I1674" s="1">
        <v>1</v>
      </c>
      <c r="J1674" s="1">
        <v>2</v>
      </c>
    </row>
    <row r="1675" spans="1:10" x14ac:dyDescent="0.2">
      <c r="A1675" s="1">
        <v>1970</v>
      </c>
      <c r="B1675" s="1">
        <v>0</v>
      </c>
      <c r="C1675" s="1">
        <v>14</v>
      </c>
      <c r="D1675" s="1">
        <v>2</v>
      </c>
      <c r="E1675" s="1">
        <v>3</v>
      </c>
      <c r="F1675" s="1">
        <v>2</v>
      </c>
      <c r="G1675" s="1">
        <v>8</v>
      </c>
      <c r="H1675" s="1">
        <v>1</v>
      </c>
      <c r="I1675" s="1">
        <v>3</v>
      </c>
      <c r="J1675" s="1">
        <v>2</v>
      </c>
    </row>
    <row r="1676" spans="1:10" x14ac:dyDescent="0.2">
      <c r="A1676" s="1">
        <v>630</v>
      </c>
      <c r="B1676" s="1">
        <v>0</v>
      </c>
      <c r="C1676" s="1">
        <v>16</v>
      </c>
      <c r="D1676" s="1">
        <v>3</v>
      </c>
      <c r="E1676" s="1">
        <v>3</v>
      </c>
      <c r="F1676" s="1">
        <v>2</v>
      </c>
      <c r="G1676" s="1">
        <v>8</v>
      </c>
      <c r="H1676" s="1">
        <v>0</v>
      </c>
      <c r="I1676" s="1">
        <v>0</v>
      </c>
      <c r="J1676" s="1">
        <v>2</v>
      </c>
    </row>
    <row r="1677" spans="1:10" x14ac:dyDescent="0.2">
      <c r="A1677" s="1">
        <v>524</v>
      </c>
      <c r="B1677" s="1">
        <v>0</v>
      </c>
      <c r="C1677" s="1">
        <v>6</v>
      </c>
      <c r="D1677" s="1">
        <v>4</v>
      </c>
      <c r="E1677" s="1">
        <v>1</v>
      </c>
      <c r="F1677" s="1">
        <v>3</v>
      </c>
      <c r="G1677" s="1">
        <v>8</v>
      </c>
      <c r="H1677" s="1">
        <v>1</v>
      </c>
      <c r="I1677" s="1">
        <v>1</v>
      </c>
      <c r="J1677" s="1">
        <v>2</v>
      </c>
    </row>
    <row r="1678" spans="1:10" x14ac:dyDescent="0.2">
      <c r="A1678" s="1">
        <v>1166</v>
      </c>
      <c r="B1678" s="1">
        <v>0</v>
      </c>
      <c r="C1678" s="1">
        <v>9</v>
      </c>
      <c r="D1678" s="1">
        <v>5</v>
      </c>
      <c r="E1678" s="1">
        <v>1</v>
      </c>
      <c r="F1678" s="1">
        <v>3</v>
      </c>
      <c r="G1678" s="1">
        <v>8</v>
      </c>
      <c r="H1678" s="1">
        <v>1</v>
      </c>
      <c r="I1678" s="1">
        <v>2</v>
      </c>
      <c r="J1678" s="1">
        <v>2</v>
      </c>
    </row>
    <row r="1679" spans="1:10" x14ac:dyDescent="0.2">
      <c r="A1679" s="1">
        <v>613</v>
      </c>
      <c r="B1679" s="1">
        <v>0</v>
      </c>
      <c r="C1679" s="1">
        <v>14</v>
      </c>
      <c r="D1679" s="1">
        <v>5</v>
      </c>
      <c r="E1679" s="1">
        <v>3</v>
      </c>
      <c r="F1679" s="1">
        <v>3</v>
      </c>
      <c r="G1679" s="1">
        <v>8</v>
      </c>
      <c r="H1679" s="1">
        <v>1</v>
      </c>
      <c r="I1679" s="1">
        <v>0</v>
      </c>
      <c r="J1679" s="1">
        <v>2</v>
      </c>
    </row>
    <row r="1680" spans="1:10" x14ac:dyDescent="0.2">
      <c r="A1680" s="1">
        <v>2065</v>
      </c>
      <c r="B1680" s="1">
        <v>0</v>
      </c>
      <c r="C1680" s="1">
        <v>14</v>
      </c>
      <c r="D1680" s="1">
        <v>1</v>
      </c>
      <c r="E1680" s="1">
        <v>3</v>
      </c>
      <c r="F1680" s="1">
        <v>3</v>
      </c>
      <c r="G1680" s="1">
        <v>8</v>
      </c>
      <c r="H1680" s="1">
        <v>0</v>
      </c>
      <c r="I1680" s="1">
        <v>3</v>
      </c>
      <c r="J1680" s="1">
        <v>2</v>
      </c>
    </row>
    <row r="1681" spans="1:10" x14ac:dyDescent="0.2">
      <c r="A1681" s="1">
        <v>1072</v>
      </c>
      <c r="B1681" s="1">
        <v>0</v>
      </c>
      <c r="C1681" s="1">
        <v>20</v>
      </c>
      <c r="D1681" s="1">
        <v>4</v>
      </c>
      <c r="E1681" s="1">
        <v>3</v>
      </c>
      <c r="F1681" s="1">
        <v>3</v>
      </c>
      <c r="G1681" s="1">
        <v>8</v>
      </c>
      <c r="H1681" s="1">
        <v>1</v>
      </c>
      <c r="I1681" s="1">
        <v>2</v>
      </c>
      <c r="J1681" s="1">
        <v>2</v>
      </c>
    </row>
    <row r="1682" spans="1:10" x14ac:dyDescent="0.2">
      <c r="A1682" s="1">
        <v>357</v>
      </c>
      <c r="B1682" s="1">
        <v>0</v>
      </c>
      <c r="C1682" s="1">
        <v>15</v>
      </c>
      <c r="D1682" s="1">
        <v>2</v>
      </c>
      <c r="E1682" s="1">
        <v>3</v>
      </c>
      <c r="F1682" s="1">
        <v>4</v>
      </c>
      <c r="G1682" s="1">
        <v>8</v>
      </c>
      <c r="H1682" s="1">
        <v>0</v>
      </c>
      <c r="I1682" s="1">
        <v>1</v>
      </c>
      <c r="J1682" s="1">
        <v>2</v>
      </c>
    </row>
    <row r="1683" spans="1:10" x14ac:dyDescent="0.2">
      <c r="A1683" s="1">
        <v>2301</v>
      </c>
      <c r="B1683" s="1">
        <v>0</v>
      </c>
      <c r="C1683" s="1">
        <v>7</v>
      </c>
      <c r="D1683" s="1">
        <v>1</v>
      </c>
      <c r="E1683" s="1">
        <v>2</v>
      </c>
      <c r="F1683" s="1">
        <v>5</v>
      </c>
      <c r="G1683" s="1">
        <v>8</v>
      </c>
      <c r="H1683" s="1">
        <v>0</v>
      </c>
      <c r="I1683" s="1">
        <v>0</v>
      </c>
      <c r="J1683" s="1">
        <v>2</v>
      </c>
    </row>
    <row r="1684" spans="1:10" x14ac:dyDescent="0.2">
      <c r="A1684" s="1">
        <v>2198</v>
      </c>
      <c r="B1684" s="1">
        <v>0</v>
      </c>
      <c r="C1684" s="1">
        <v>7</v>
      </c>
      <c r="D1684" s="1">
        <v>3</v>
      </c>
      <c r="E1684" s="1">
        <v>3</v>
      </c>
      <c r="F1684" s="1">
        <v>5</v>
      </c>
      <c r="G1684" s="1">
        <v>8</v>
      </c>
      <c r="H1684" s="1">
        <v>1</v>
      </c>
      <c r="I1684" s="1">
        <v>3</v>
      </c>
      <c r="J1684" s="1">
        <v>2</v>
      </c>
    </row>
    <row r="1685" spans="1:10" x14ac:dyDescent="0.2">
      <c r="A1685" s="1">
        <v>1147</v>
      </c>
      <c r="B1685" s="1">
        <v>0</v>
      </c>
      <c r="C1685" s="1">
        <v>11</v>
      </c>
      <c r="D1685" s="1">
        <v>2</v>
      </c>
      <c r="E1685" s="1">
        <v>3</v>
      </c>
      <c r="F1685" s="1">
        <v>5</v>
      </c>
      <c r="G1685" s="1">
        <v>8</v>
      </c>
      <c r="H1685" s="1">
        <v>0</v>
      </c>
      <c r="I1685" s="1">
        <v>1</v>
      </c>
      <c r="J1685" s="1">
        <v>2</v>
      </c>
    </row>
    <row r="1686" spans="1:10" x14ac:dyDescent="0.2">
      <c r="A1686" s="1">
        <v>1337</v>
      </c>
      <c r="B1686" s="1">
        <v>0</v>
      </c>
      <c r="C1686" s="1">
        <v>14</v>
      </c>
      <c r="D1686" s="1">
        <v>5</v>
      </c>
      <c r="E1686" s="1">
        <v>3</v>
      </c>
      <c r="F1686" s="1">
        <v>5</v>
      </c>
      <c r="G1686" s="1">
        <v>8</v>
      </c>
      <c r="H1686" s="1">
        <v>0</v>
      </c>
      <c r="I1686" s="1">
        <v>0</v>
      </c>
      <c r="J1686" s="1">
        <v>2</v>
      </c>
    </row>
    <row r="1687" spans="1:10" x14ac:dyDescent="0.2">
      <c r="A1687" s="1">
        <v>2408</v>
      </c>
      <c r="B1687" s="1">
        <v>0</v>
      </c>
      <c r="C1687" s="1">
        <v>5</v>
      </c>
      <c r="D1687" s="1">
        <v>2</v>
      </c>
      <c r="E1687" s="1">
        <v>1</v>
      </c>
      <c r="F1687" s="1">
        <v>6</v>
      </c>
      <c r="G1687" s="1">
        <v>8</v>
      </c>
      <c r="H1687" s="1">
        <v>1</v>
      </c>
      <c r="I1687" s="1">
        <v>2</v>
      </c>
      <c r="J1687" s="1">
        <v>2</v>
      </c>
    </row>
    <row r="1688" spans="1:10" x14ac:dyDescent="0.2">
      <c r="A1688" s="1">
        <v>2469</v>
      </c>
      <c r="B1688" s="1">
        <v>0</v>
      </c>
      <c r="C1688" s="1">
        <v>5</v>
      </c>
      <c r="D1688" s="1">
        <v>4</v>
      </c>
      <c r="E1688" s="1">
        <v>1</v>
      </c>
      <c r="F1688" s="1">
        <v>6</v>
      </c>
      <c r="G1688" s="1">
        <v>8</v>
      </c>
      <c r="H1688" s="1">
        <v>1</v>
      </c>
      <c r="I1688" s="1">
        <v>3</v>
      </c>
      <c r="J1688" s="1">
        <v>2</v>
      </c>
    </row>
    <row r="1689" spans="1:10" x14ac:dyDescent="0.2">
      <c r="A1689" s="1">
        <v>742</v>
      </c>
      <c r="B1689" s="1">
        <v>0</v>
      </c>
      <c r="C1689" s="1">
        <v>7</v>
      </c>
      <c r="D1689" s="1">
        <v>4</v>
      </c>
      <c r="E1689" s="1">
        <v>1</v>
      </c>
      <c r="F1689" s="1">
        <v>6</v>
      </c>
      <c r="G1689" s="1">
        <v>8</v>
      </c>
      <c r="H1689" s="1">
        <v>0</v>
      </c>
      <c r="I1689" s="1">
        <v>0</v>
      </c>
      <c r="J1689" s="1">
        <v>2</v>
      </c>
    </row>
    <row r="1690" spans="1:10" x14ac:dyDescent="0.2">
      <c r="A1690" s="1">
        <v>2488</v>
      </c>
      <c r="B1690" s="1">
        <v>0</v>
      </c>
      <c r="C1690" s="1">
        <v>19</v>
      </c>
      <c r="D1690" s="1">
        <v>2</v>
      </c>
      <c r="E1690" s="1">
        <v>2</v>
      </c>
      <c r="F1690" s="1">
        <v>6</v>
      </c>
      <c r="G1690" s="1">
        <v>8</v>
      </c>
      <c r="H1690" s="1">
        <v>0</v>
      </c>
      <c r="I1690" s="1">
        <v>0</v>
      </c>
      <c r="J1690" s="1">
        <v>2</v>
      </c>
    </row>
    <row r="1691" spans="1:10" x14ac:dyDescent="0.2">
      <c r="A1691" s="1">
        <v>37</v>
      </c>
      <c r="B1691" s="1">
        <v>0</v>
      </c>
      <c r="C1691" s="1">
        <v>13</v>
      </c>
      <c r="D1691" s="1">
        <v>4</v>
      </c>
      <c r="E1691" s="1">
        <v>3</v>
      </c>
      <c r="F1691" s="1">
        <v>6</v>
      </c>
      <c r="G1691" s="1">
        <v>8</v>
      </c>
      <c r="H1691" s="1">
        <v>1</v>
      </c>
      <c r="I1691" s="1">
        <v>2</v>
      </c>
      <c r="J1691" s="1">
        <v>2</v>
      </c>
    </row>
    <row r="1692" spans="1:10" x14ac:dyDescent="0.2">
      <c r="A1692" s="1">
        <v>493</v>
      </c>
      <c r="B1692" s="1">
        <v>0</v>
      </c>
      <c r="C1692" s="1">
        <v>18</v>
      </c>
      <c r="D1692" s="1">
        <v>3</v>
      </c>
      <c r="E1692" s="1">
        <v>3</v>
      </c>
      <c r="F1692" s="1">
        <v>6</v>
      </c>
      <c r="G1692" s="1">
        <v>8</v>
      </c>
      <c r="H1692" s="1">
        <v>1</v>
      </c>
      <c r="I1692" s="1">
        <v>0</v>
      </c>
      <c r="J1692" s="1">
        <v>2</v>
      </c>
    </row>
    <row r="1693" spans="1:10" x14ac:dyDescent="0.2">
      <c r="A1693" s="1">
        <v>1860</v>
      </c>
      <c r="B1693" s="1">
        <v>0</v>
      </c>
      <c r="C1693" s="1">
        <v>8</v>
      </c>
      <c r="D1693" s="1">
        <v>2</v>
      </c>
      <c r="E1693" s="1">
        <v>1</v>
      </c>
      <c r="F1693" s="1">
        <v>7</v>
      </c>
      <c r="G1693" s="1">
        <v>8</v>
      </c>
      <c r="H1693" s="1">
        <v>0</v>
      </c>
      <c r="I1693" s="1">
        <v>2</v>
      </c>
      <c r="J1693" s="1">
        <v>2</v>
      </c>
    </row>
    <row r="1694" spans="1:10" x14ac:dyDescent="0.2">
      <c r="A1694" s="1">
        <v>468</v>
      </c>
      <c r="B1694" s="1">
        <v>0</v>
      </c>
      <c r="C1694" s="1">
        <v>5</v>
      </c>
      <c r="D1694" s="1">
        <v>1</v>
      </c>
      <c r="E1694" s="1">
        <v>2</v>
      </c>
      <c r="F1694" s="1">
        <v>7</v>
      </c>
      <c r="G1694" s="1">
        <v>8</v>
      </c>
      <c r="H1694" s="1">
        <v>1</v>
      </c>
      <c r="I1694" s="1">
        <v>0</v>
      </c>
      <c r="J1694" s="1">
        <v>2</v>
      </c>
    </row>
    <row r="1695" spans="1:10" x14ac:dyDescent="0.2">
      <c r="A1695" s="1">
        <v>790</v>
      </c>
      <c r="B1695" s="1">
        <v>0</v>
      </c>
      <c r="C1695" s="1">
        <v>7</v>
      </c>
      <c r="D1695" s="1">
        <v>1</v>
      </c>
      <c r="E1695" s="1">
        <v>2</v>
      </c>
      <c r="F1695" s="1">
        <v>7</v>
      </c>
      <c r="G1695" s="1">
        <v>8</v>
      </c>
      <c r="H1695" s="1">
        <v>1</v>
      </c>
      <c r="I1695" s="1">
        <v>1</v>
      </c>
      <c r="J1695" s="1">
        <v>2</v>
      </c>
    </row>
    <row r="1696" spans="1:10" x14ac:dyDescent="0.2">
      <c r="A1696" s="1">
        <v>2409</v>
      </c>
      <c r="B1696" s="1">
        <v>0</v>
      </c>
      <c r="C1696" s="1">
        <v>11</v>
      </c>
      <c r="D1696" s="1">
        <v>3</v>
      </c>
      <c r="E1696" s="1">
        <v>3</v>
      </c>
      <c r="F1696" s="1">
        <v>7</v>
      </c>
      <c r="G1696" s="1">
        <v>8</v>
      </c>
      <c r="H1696" s="1">
        <v>1</v>
      </c>
      <c r="I1696" s="1">
        <v>1</v>
      </c>
      <c r="J1696" s="1">
        <v>2</v>
      </c>
    </row>
    <row r="1697" spans="1:10" x14ac:dyDescent="0.2">
      <c r="A1697" s="1">
        <v>407</v>
      </c>
      <c r="B1697" s="1">
        <v>0</v>
      </c>
      <c r="C1697" s="1">
        <v>14</v>
      </c>
      <c r="D1697" s="1">
        <v>4</v>
      </c>
      <c r="E1697" s="1">
        <v>3</v>
      </c>
      <c r="F1697" s="1">
        <v>7</v>
      </c>
      <c r="G1697" s="1">
        <v>8</v>
      </c>
      <c r="H1697" s="1">
        <v>1</v>
      </c>
      <c r="I1697" s="1">
        <v>0</v>
      </c>
      <c r="J1697" s="1">
        <v>2</v>
      </c>
    </row>
    <row r="1698" spans="1:10" x14ac:dyDescent="0.2">
      <c r="A1698" s="1">
        <v>827</v>
      </c>
      <c r="B1698" s="1">
        <v>0</v>
      </c>
      <c r="C1698" s="1">
        <v>18</v>
      </c>
      <c r="D1698" s="1">
        <v>4</v>
      </c>
      <c r="E1698" s="1">
        <v>3</v>
      </c>
      <c r="F1698" s="1">
        <v>7</v>
      </c>
      <c r="G1698" s="1">
        <v>8</v>
      </c>
      <c r="H1698" s="1">
        <v>0</v>
      </c>
      <c r="I1698" s="1">
        <v>2</v>
      </c>
      <c r="J1698" s="1">
        <v>2</v>
      </c>
    </row>
    <row r="1699" spans="1:10" x14ac:dyDescent="0.2">
      <c r="A1699" s="1">
        <v>2347</v>
      </c>
      <c r="B1699" s="1">
        <v>0</v>
      </c>
      <c r="C1699" s="1">
        <v>7</v>
      </c>
      <c r="D1699" s="1">
        <v>3</v>
      </c>
      <c r="E1699" s="1">
        <v>2</v>
      </c>
      <c r="F1699" s="1">
        <v>8</v>
      </c>
      <c r="G1699" s="1">
        <v>8</v>
      </c>
      <c r="H1699" s="1">
        <v>0</v>
      </c>
      <c r="I1699" s="1">
        <v>1</v>
      </c>
      <c r="J1699" s="1">
        <v>2</v>
      </c>
    </row>
    <row r="1700" spans="1:10" x14ac:dyDescent="0.2">
      <c r="A1700" s="1">
        <v>930</v>
      </c>
      <c r="B1700" s="1">
        <v>0</v>
      </c>
      <c r="C1700" s="1">
        <v>12</v>
      </c>
      <c r="D1700" s="1">
        <v>5</v>
      </c>
      <c r="E1700" s="1">
        <v>2</v>
      </c>
      <c r="F1700" s="1">
        <v>8</v>
      </c>
      <c r="G1700" s="1">
        <v>8</v>
      </c>
      <c r="H1700" s="1">
        <v>0</v>
      </c>
      <c r="I1700" s="1">
        <v>1</v>
      </c>
      <c r="J1700" s="1">
        <v>2</v>
      </c>
    </row>
    <row r="1701" spans="1:10" x14ac:dyDescent="0.2">
      <c r="A1701" s="1">
        <v>1527</v>
      </c>
      <c r="B1701" s="1">
        <v>0</v>
      </c>
      <c r="C1701" s="1">
        <v>13</v>
      </c>
      <c r="D1701" s="1">
        <v>5</v>
      </c>
      <c r="E1701" s="1">
        <v>2</v>
      </c>
      <c r="F1701" s="1">
        <v>8</v>
      </c>
      <c r="G1701" s="1">
        <v>8</v>
      </c>
      <c r="H1701" s="1">
        <v>1</v>
      </c>
      <c r="I1701" s="1">
        <v>2</v>
      </c>
      <c r="J1701" s="1">
        <v>2</v>
      </c>
    </row>
    <row r="1702" spans="1:10" x14ac:dyDescent="0.2">
      <c r="A1702" s="1">
        <v>892</v>
      </c>
      <c r="B1702" s="1">
        <v>0</v>
      </c>
      <c r="C1702" s="1">
        <v>15</v>
      </c>
      <c r="D1702" s="1">
        <v>5</v>
      </c>
      <c r="E1702" s="1">
        <v>2</v>
      </c>
      <c r="F1702" s="1">
        <v>9</v>
      </c>
      <c r="G1702" s="1">
        <v>8</v>
      </c>
      <c r="H1702" s="1">
        <v>0</v>
      </c>
      <c r="I1702" s="1">
        <v>3</v>
      </c>
      <c r="J1702" s="1">
        <v>2</v>
      </c>
    </row>
    <row r="1703" spans="1:10" x14ac:dyDescent="0.2">
      <c r="A1703" s="1">
        <v>521</v>
      </c>
      <c r="B1703" s="1">
        <v>0</v>
      </c>
      <c r="C1703" s="1">
        <v>14</v>
      </c>
      <c r="D1703" s="1">
        <v>4</v>
      </c>
      <c r="E1703" s="1">
        <v>3</v>
      </c>
      <c r="F1703" s="1">
        <v>9</v>
      </c>
      <c r="G1703" s="1">
        <v>8</v>
      </c>
      <c r="H1703" s="1">
        <v>0</v>
      </c>
      <c r="I1703" s="1">
        <v>2</v>
      </c>
      <c r="J1703" s="1">
        <v>2</v>
      </c>
    </row>
    <row r="1704" spans="1:10" x14ac:dyDescent="0.2">
      <c r="A1704" s="1">
        <v>1676</v>
      </c>
      <c r="B1704" s="1">
        <v>0</v>
      </c>
      <c r="C1704" s="1">
        <v>20</v>
      </c>
      <c r="D1704" s="1">
        <v>4</v>
      </c>
      <c r="E1704" s="1">
        <v>3</v>
      </c>
      <c r="F1704" s="1">
        <v>9</v>
      </c>
      <c r="G1704" s="1">
        <v>8</v>
      </c>
      <c r="H1704" s="1">
        <v>1</v>
      </c>
      <c r="I1704" s="1">
        <v>3</v>
      </c>
      <c r="J1704" s="1">
        <v>2</v>
      </c>
    </row>
    <row r="1705" spans="1:10" x14ac:dyDescent="0.2">
      <c r="A1705" s="1">
        <v>904</v>
      </c>
      <c r="B1705" s="1">
        <v>0</v>
      </c>
      <c r="C1705" s="1">
        <v>12</v>
      </c>
      <c r="D1705" s="1">
        <v>2</v>
      </c>
      <c r="E1705" s="1">
        <v>2</v>
      </c>
      <c r="F1705" s="1">
        <v>10</v>
      </c>
      <c r="G1705" s="1">
        <v>8</v>
      </c>
      <c r="H1705" s="1">
        <v>0</v>
      </c>
      <c r="I1705" s="1">
        <v>0</v>
      </c>
      <c r="J1705" s="1">
        <v>2</v>
      </c>
    </row>
    <row r="1706" spans="1:10" x14ac:dyDescent="0.2">
      <c r="A1706" s="1">
        <v>124</v>
      </c>
      <c r="B1706" s="1">
        <v>0</v>
      </c>
      <c r="C1706" s="1">
        <v>15</v>
      </c>
      <c r="D1706" s="1">
        <v>3</v>
      </c>
      <c r="E1706" s="1">
        <v>2</v>
      </c>
      <c r="F1706" s="1">
        <v>10</v>
      </c>
      <c r="G1706" s="1">
        <v>8</v>
      </c>
      <c r="H1706" s="1">
        <v>0</v>
      </c>
      <c r="I1706" s="1">
        <v>3</v>
      </c>
      <c r="J1706" s="1">
        <v>2</v>
      </c>
    </row>
    <row r="1707" spans="1:10" x14ac:dyDescent="0.2">
      <c r="A1707" s="1">
        <v>1356</v>
      </c>
      <c r="B1707" s="1">
        <v>0</v>
      </c>
      <c r="C1707" s="1">
        <v>17</v>
      </c>
      <c r="D1707" s="1">
        <v>2</v>
      </c>
      <c r="E1707" s="1">
        <v>3</v>
      </c>
      <c r="F1707" s="1">
        <v>10</v>
      </c>
      <c r="G1707" s="1">
        <v>8</v>
      </c>
      <c r="H1707" s="1">
        <v>0</v>
      </c>
      <c r="I1707" s="1">
        <v>3</v>
      </c>
      <c r="J1707" s="1">
        <v>2</v>
      </c>
    </row>
    <row r="1708" spans="1:10" x14ac:dyDescent="0.2">
      <c r="A1708" s="1">
        <v>2040</v>
      </c>
      <c r="B1708" s="1">
        <v>0</v>
      </c>
      <c r="C1708" s="1">
        <v>13</v>
      </c>
      <c r="D1708" s="1">
        <v>4</v>
      </c>
      <c r="E1708" s="1">
        <v>1</v>
      </c>
      <c r="F1708" s="1">
        <v>1</v>
      </c>
      <c r="G1708" s="1">
        <v>8</v>
      </c>
      <c r="H1708" s="1">
        <v>0</v>
      </c>
      <c r="I1708" s="1">
        <v>3</v>
      </c>
      <c r="J1708" s="1">
        <v>3</v>
      </c>
    </row>
    <row r="1709" spans="1:10" x14ac:dyDescent="0.2">
      <c r="A1709" s="1">
        <v>1045</v>
      </c>
      <c r="B1709" s="1">
        <v>0</v>
      </c>
      <c r="C1709" s="1">
        <v>14</v>
      </c>
      <c r="D1709" s="1">
        <v>1</v>
      </c>
      <c r="E1709" s="1">
        <v>1</v>
      </c>
      <c r="F1709" s="1">
        <v>1</v>
      </c>
      <c r="G1709" s="1">
        <v>8</v>
      </c>
      <c r="H1709" s="1">
        <v>0</v>
      </c>
      <c r="I1709" s="1">
        <v>3</v>
      </c>
      <c r="J1709" s="1">
        <v>3</v>
      </c>
    </row>
    <row r="1710" spans="1:10" x14ac:dyDescent="0.2">
      <c r="A1710" s="1">
        <v>778</v>
      </c>
      <c r="B1710" s="1">
        <v>0</v>
      </c>
      <c r="C1710" s="1">
        <v>13</v>
      </c>
      <c r="D1710" s="1">
        <v>3</v>
      </c>
      <c r="E1710" s="1">
        <v>2</v>
      </c>
      <c r="F1710" s="1">
        <v>1</v>
      </c>
      <c r="G1710" s="1">
        <v>8</v>
      </c>
      <c r="H1710" s="1">
        <v>0</v>
      </c>
      <c r="I1710" s="1">
        <v>2</v>
      </c>
      <c r="J1710" s="1">
        <v>3</v>
      </c>
    </row>
    <row r="1711" spans="1:10" x14ac:dyDescent="0.2">
      <c r="A1711" s="1">
        <v>537</v>
      </c>
      <c r="B1711" s="1">
        <v>0</v>
      </c>
      <c r="C1711" s="1">
        <v>16</v>
      </c>
      <c r="D1711" s="1">
        <v>5</v>
      </c>
      <c r="E1711" s="1">
        <v>2</v>
      </c>
      <c r="F1711" s="1">
        <v>1</v>
      </c>
      <c r="G1711" s="1">
        <v>8</v>
      </c>
      <c r="H1711" s="1">
        <v>1</v>
      </c>
      <c r="I1711" s="1">
        <v>2</v>
      </c>
      <c r="J1711" s="1">
        <v>3</v>
      </c>
    </row>
    <row r="1712" spans="1:10" x14ac:dyDescent="0.2">
      <c r="A1712" s="1">
        <v>11</v>
      </c>
      <c r="B1712" s="1">
        <v>0</v>
      </c>
      <c r="C1712" s="1">
        <v>9</v>
      </c>
      <c r="D1712" s="1">
        <v>3</v>
      </c>
      <c r="E1712" s="1">
        <v>3</v>
      </c>
      <c r="F1712" s="1">
        <v>1</v>
      </c>
      <c r="G1712" s="1">
        <v>8</v>
      </c>
      <c r="H1712" s="1">
        <v>0</v>
      </c>
      <c r="I1712" s="1">
        <v>3</v>
      </c>
      <c r="J1712" s="1">
        <v>3</v>
      </c>
    </row>
    <row r="1713" spans="1:10" x14ac:dyDescent="0.2">
      <c r="A1713" s="1">
        <v>20</v>
      </c>
      <c r="B1713" s="1">
        <v>0</v>
      </c>
      <c r="C1713" s="1">
        <v>13</v>
      </c>
      <c r="D1713" s="1">
        <v>3</v>
      </c>
      <c r="E1713" s="1">
        <v>3</v>
      </c>
      <c r="F1713" s="1">
        <v>1</v>
      </c>
      <c r="G1713" s="1">
        <v>8</v>
      </c>
      <c r="H1713" s="1">
        <v>0</v>
      </c>
      <c r="I1713" s="1">
        <v>2</v>
      </c>
      <c r="J1713" s="1">
        <v>3</v>
      </c>
    </row>
    <row r="1714" spans="1:10" x14ac:dyDescent="0.2">
      <c r="A1714" s="1">
        <v>1379</v>
      </c>
      <c r="B1714" s="1">
        <v>0</v>
      </c>
      <c r="C1714" s="1">
        <v>13</v>
      </c>
      <c r="D1714" s="1">
        <v>4</v>
      </c>
      <c r="E1714" s="1">
        <v>3</v>
      </c>
      <c r="F1714" s="1">
        <v>1</v>
      </c>
      <c r="G1714" s="1">
        <v>8</v>
      </c>
      <c r="H1714" s="1">
        <v>0</v>
      </c>
      <c r="I1714" s="1">
        <v>1</v>
      </c>
      <c r="J1714" s="1">
        <v>3</v>
      </c>
    </row>
    <row r="1715" spans="1:10" x14ac:dyDescent="0.2">
      <c r="A1715" s="1">
        <v>1028</v>
      </c>
      <c r="B1715" s="1">
        <v>0</v>
      </c>
      <c r="C1715" s="1">
        <v>12</v>
      </c>
      <c r="D1715" s="1">
        <v>4</v>
      </c>
      <c r="E1715" s="1">
        <v>1</v>
      </c>
      <c r="F1715" s="1">
        <v>2</v>
      </c>
      <c r="G1715" s="1">
        <v>8</v>
      </c>
      <c r="H1715" s="1">
        <v>0</v>
      </c>
      <c r="I1715" s="1">
        <v>1</v>
      </c>
      <c r="J1715" s="1">
        <v>3</v>
      </c>
    </row>
    <row r="1716" spans="1:10" x14ac:dyDescent="0.2">
      <c r="A1716" s="1">
        <v>634</v>
      </c>
      <c r="B1716" s="1">
        <v>0</v>
      </c>
      <c r="C1716" s="1">
        <v>16</v>
      </c>
      <c r="D1716" s="1">
        <v>1</v>
      </c>
      <c r="E1716" s="1">
        <v>1</v>
      </c>
      <c r="F1716" s="1">
        <v>2</v>
      </c>
      <c r="G1716" s="1">
        <v>8</v>
      </c>
      <c r="H1716" s="1">
        <v>0</v>
      </c>
      <c r="I1716" s="1">
        <v>3</v>
      </c>
      <c r="J1716" s="1">
        <v>3</v>
      </c>
    </row>
    <row r="1717" spans="1:10" x14ac:dyDescent="0.2">
      <c r="A1717" s="1">
        <v>2412</v>
      </c>
      <c r="B1717" s="1">
        <v>0</v>
      </c>
      <c r="C1717" s="1">
        <v>12</v>
      </c>
      <c r="D1717" s="1">
        <v>3</v>
      </c>
      <c r="E1717" s="1">
        <v>2</v>
      </c>
      <c r="F1717" s="1">
        <v>2</v>
      </c>
      <c r="G1717" s="1">
        <v>8</v>
      </c>
      <c r="H1717" s="1">
        <v>0</v>
      </c>
      <c r="I1717" s="1">
        <v>1</v>
      </c>
      <c r="J1717" s="1">
        <v>3</v>
      </c>
    </row>
    <row r="1718" spans="1:10" x14ac:dyDescent="0.2">
      <c r="A1718" s="1">
        <v>2039</v>
      </c>
      <c r="B1718" s="1">
        <v>0</v>
      </c>
      <c r="C1718" s="1">
        <v>19</v>
      </c>
      <c r="D1718" s="1">
        <v>1</v>
      </c>
      <c r="E1718" s="1">
        <v>2</v>
      </c>
      <c r="F1718" s="1">
        <v>2</v>
      </c>
      <c r="G1718" s="1">
        <v>8</v>
      </c>
      <c r="H1718" s="1">
        <v>0</v>
      </c>
      <c r="I1718" s="1">
        <v>1</v>
      </c>
      <c r="J1718" s="1">
        <v>3</v>
      </c>
    </row>
    <row r="1719" spans="1:10" x14ac:dyDescent="0.2">
      <c r="A1719" s="1">
        <v>1007</v>
      </c>
      <c r="B1719" s="1">
        <v>0</v>
      </c>
      <c r="C1719" s="1">
        <v>20</v>
      </c>
      <c r="D1719" s="1">
        <v>3</v>
      </c>
      <c r="E1719" s="1">
        <v>2</v>
      </c>
      <c r="F1719" s="1">
        <v>2</v>
      </c>
      <c r="G1719" s="1">
        <v>8</v>
      </c>
      <c r="H1719" s="1">
        <v>0</v>
      </c>
      <c r="I1719" s="1">
        <v>0</v>
      </c>
      <c r="J1719" s="1">
        <v>3</v>
      </c>
    </row>
    <row r="1720" spans="1:10" x14ac:dyDescent="0.2">
      <c r="A1720" s="1">
        <v>1446</v>
      </c>
      <c r="B1720" s="1">
        <v>0</v>
      </c>
      <c r="C1720" s="1">
        <v>15</v>
      </c>
      <c r="D1720" s="1">
        <v>1</v>
      </c>
      <c r="E1720" s="1">
        <v>3</v>
      </c>
      <c r="F1720" s="1">
        <v>2</v>
      </c>
      <c r="G1720" s="1">
        <v>8</v>
      </c>
      <c r="H1720" s="1">
        <v>0</v>
      </c>
      <c r="I1720" s="1">
        <v>2</v>
      </c>
      <c r="J1720" s="1">
        <v>3</v>
      </c>
    </row>
    <row r="1721" spans="1:10" x14ac:dyDescent="0.2">
      <c r="A1721" s="1">
        <v>612</v>
      </c>
      <c r="B1721" s="1">
        <v>0</v>
      </c>
      <c r="C1721" s="1">
        <v>5</v>
      </c>
      <c r="D1721" s="1">
        <v>5</v>
      </c>
      <c r="E1721" s="1">
        <v>1</v>
      </c>
      <c r="F1721" s="1">
        <v>3</v>
      </c>
      <c r="G1721" s="1">
        <v>8</v>
      </c>
      <c r="H1721" s="1">
        <v>1</v>
      </c>
      <c r="I1721" s="1">
        <v>0</v>
      </c>
      <c r="J1721" s="1">
        <v>3</v>
      </c>
    </row>
    <row r="1722" spans="1:10" x14ac:dyDescent="0.2">
      <c r="A1722" s="1">
        <v>2162</v>
      </c>
      <c r="B1722" s="1">
        <v>0</v>
      </c>
      <c r="C1722" s="1">
        <v>6</v>
      </c>
      <c r="D1722" s="1">
        <v>5</v>
      </c>
      <c r="E1722" s="1">
        <v>1</v>
      </c>
      <c r="F1722" s="1">
        <v>3</v>
      </c>
      <c r="G1722" s="1">
        <v>8</v>
      </c>
      <c r="H1722" s="1">
        <v>0</v>
      </c>
      <c r="I1722" s="1">
        <v>0</v>
      </c>
      <c r="J1722" s="1">
        <v>3</v>
      </c>
    </row>
    <row r="1723" spans="1:10" x14ac:dyDescent="0.2">
      <c r="A1723" s="1">
        <v>1328</v>
      </c>
      <c r="B1723" s="1">
        <v>0</v>
      </c>
      <c r="C1723" s="1">
        <v>8</v>
      </c>
      <c r="D1723" s="1">
        <v>3</v>
      </c>
      <c r="E1723" s="1">
        <v>1</v>
      </c>
      <c r="F1723" s="1">
        <v>3</v>
      </c>
      <c r="G1723" s="1">
        <v>8</v>
      </c>
      <c r="H1723" s="1">
        <v>1</v>
      </c>
      <c r="I1723" s="1">
        <v>1</v>
      </c>
      <c r="J1723" s="1">
        <v>3</v>
      </c>
    </row>
    <row r="1724" spans="1:10" x14ac:dyDescent="0.2">
      <c r="A1724" s="1">
        <v>654</v>
      </c>
      <c r="B1724" s="1">
        <v>0</v>
      </c>
      <c r="C1724" s="1">
        <v>10</v>
      </c>
      <c r="D1724" s="1">
        <v>2</v>
      </c>
      <c r="E1724" s="1">
        <v>2</v>
      </c>
      <c r="F1724" s="1">
        <v>3</v>
      </c>
      <c r="G1724" s="1">
        <v>8</v>
      </c>
      <c r="H1724" s="1">
        <v>0</v>
      </c>
      <c r="I1724" s="1">
        <v>1</v>
      </c>
      <c r="J1724" s="1">
        <v>3</v>
      </c>
    </row>
    <row r="1725" spans="1:10" x14ac:dyDescent="0.2">
      <c r="A1725" s="1">
        <v>1987</v>
      </c>
      <c r="B1725" s="1">
        <v>0</v>
      </c>
      <c r="C1725" s="1">
        <v>8</v>
      </c>
      <c r="D1725" s="1">
        <v>2</v>
      </c>
      <c r="E1725" s="1">
        <v>3</v>
      </c>
      <c r="F1725" s="1">
        <v>3</v>
      </c>
      <c r="G1725" s="1">
        <v>8</v>
      </c>
      <c r="H1725" s="1">
        <v>0</v>
      </c>
      <c r="I1725" s="1">
        <v>0</v>
      </c>
      <c r="J1725" s="1">
        <v>3</v>
      </c>
    </row>
    <row r="1726" spans="1:10" x14ac:dyDescent="0.2">
      <c r="A1726" s="1">
        <v>2478</v>
      </c>
      <c r="B1726" s="1">
        <v>0</v>
      </c>
      <c r="C1726" s="1">
        <v>9</v>
      </c>
      <c r="D1726" s="1">
        <v>5</v>
      </c>
      <c r="E1726" s="1">
        <v>3</v>
      </c>
      <c r="F1726" s="1">
        <v>3</v>
      </c>
      <c r="G1726" s="1">
        <v>8</v>
      </c>
      <c r="H1726" s="1">
        <v>1</v>
      </c>
      <c r="I1726" s="1">
        <v>2</v>
      </c>
      <c r="J1726" s="1">
        <v>3</v>
      </c>
    </row>
    <row r="1727" spans="1:10" x14ac:dyDescent="0.2">
      <c r="A1727" s="1">
        <v>1121</v>
      </c>
      <c r="B1727" s="1">
        <v>0</v>
      </c>
      <c r="C1727" s="1">
        <v>15</v>
      </c>
      <c r="D1727" s="1">
        <v>2</v>
      </c>
      <c r="E1727" s="1">
        <v>3</v>
      </c>
      <c r="F1727" s="1">
        <v>3</v>
      </c>
      <c r="G1727" s="1">
        <v>8</v>
      </c>
      <c r="H1727" s="1">
        <v>1</v>
      </c>
      <c r="I1727" s="1">
        <v>0</v>
      </c>
      <c r="J1727" s="1">
        <v>3</v>
      </c>
    </row>
    <row r="1728" spans="1:10" x14ac:dyDescent="0.2">
      <c r="A1728" s="1">
        <v>1348</v>
      </c>
      <c r="B1728" s="1">
        <v>0</v>
      </c>
      <c r="C1728" s="1">
        <v>16</v>
      </c>
      <c r="D1728" s="1">
        <v>2</v>
      </c>
      <c r="E1728" s="1">
        <v>3</v>
      </c>
      <c r="F1728" s="1">
        <v>3</v>
      </c>
      <c r="G1728" s="1">
        <v>8</v>
      </c>
      <c r="H1728" s="1">
        <v>0</v>
      </c>
      <c r="I1728" s="1">
        <v>2</v>
      </c>
      <c r="J1728" s="1">
        <v>3</v>
      </c>
    </row>
    <row r="1729" spans="1:10" x14ac:dyDescent="0.2">
      <c r="A1729" s="1">
        <v>605</v>
      </c>
      <c r="B1729" s="1">
        <v>0</v>
      </c>
      <c r="C1729" s="1">
        <v>6</v>
      </c>
      <c r="D1729" s="1">
        <v>4</v>
      </c>
      <c r="E1729" s="1">
        <v>1</v>
      </c>
      <c r="F1729" s="1">
        <v>4</v>
      </c>
      <c r="G1729" s="1">
        <v>8</v>
      </c>
      <c r="H1729" s="1">
        <v>0</v>
      </c>
      <c r="I1729" s="1">
        <v>3</v>
      </c>
      <c r="J1729" s="1">
        <v>3</v>
      </c>
    </row>
    <row r="1730" spans="1:10" x14ac:dyDescent="0.2">
      <c r="A1730" s="1">
        <v>1154</v>
      </c>
      <c r="B1730" s="1">
        <v>0</v>
      </c>
      <c r="C1730" s="1">
        <v>7</v>
      </c>
      <c r="D1730" s="1">
        <v>2</v>
      </c>
      <c r="E1730" s="1">
        <v>1</v>
      </c>
      <c r="F1730" s="1">
        <v>4</v>
      </c>
      <c r="G1730" s="1">
        <v>8</v>
      </c>
      <c r="H1730" s="1">
        <v>0</v>
      </c>
      <c r="I1730" s="1">
        <v>3</v>
      </c>
      <c r="J1730" s="1">
        <v>3</v>
      </c>
    </row>
    <row r="1731" spans="1:10" x14ac:dyDescent="0.2">
      <c r="A1731" s="1">
        <v>457</v>
      </c>
      <c r="B1731" s="1">
        <v>0</v>
      </c>
      <c r="C1731" s="1">
        <v>9</v>
      </c>
      <c r="D1731" s="1">
        <v>1</v>
      </c>
      <c r="E1731" s="1">
        <v>1</v>
      </c>
      <c r="F1731" s="1">
        <v>4</v>
      </c>
      <c r="G1731" s="1">
        <v>8</v>
      </c>
      <c r="H1731" s="1">
        <v>0</v>
      </c>
      <c r="I1731" s="1">
        <v>1</v>
      </c>
      <c r="J1731" s="1">
        <v>3</v>
      </c>
    </row>
    <row r="1732" spans="1:10" x14ac:dyDescent="0.2">
      <c r="A1732" s="1">
        <v>664</v>
      </c>
      <c r="B1732" s="1">
        <v>0</v>
      </c>
      <c r="C1732" s="1">
        <v>12</v>
      </c>
      <c r="D1732" s="1">
        <v>3</v>
      </c>
      <c r="E1732" s="1">
        <v>1</v>
      </c>
      <c r="F1732" s="1">
        <v>4</v>
      </c>
      <c r="G1732" s="1">
        <v>8</v>
      </c>
      <c r="H1732" s="1">
        <v>0</v>
      </c>
      <c r="I1732" s="1">
        <v>3</v>
      </c>
      <c r="J1732" s="1">
        <v>3</v>
      </c>
    </row>
    <row r="1733" spans="1:10" x14ac:dyDescent="0.2">
      <c r="A1733" s="1">
        <v>345</v>
      </c>
      <c r="B1733" s="1">
        <v>0</v>
      </c>
      <c r="C1733" s="1">
        <v>9</v>
      </c>
      <c r="D1733" s="1">
        <v>5</v>
      </c>
      <c r="E1733" s="1">
        <v>3</v>
      </c>
      <c r="F1733" s="1">
        <v>5</v>
      </c>
      <c r="G1733" s="1">
        <v>8</v>
      </c>
      <c r="H1733" s="1">
        <v>0</v>
      </c>
      <c r="I1733" s="1">
        <v>3</v>
      </c>
      <c r="J1733" s="1">
        <v>3</v>
      </c>
    </row>
    <row r="1734" spans="1:10" x14ac:dyDescent="0.2">
      <c r="A1734" s="1">
        <v>1634</v>
      </c>
      <c r="B1734" s="1">
        <v>0</v>
      </c>
      <c r="C1734" s="1">
        <v>12</v>
      </c>
      <c r="D1734" s="1">
        <v>1</v>
      </c>
      <c r="E1734" s="1">
        <v>3</v>
      </c>
      <c r="F1734" s="1">
        <v>5</v>
      </c>
      <c r="G1734" s="1">
        <v>8</v>
      </c>
      <c r="H1734" s="1">
        <v>0</v>
      </c>
      <c r="I1734" s="1">
        <v>0</v>
      </c>
      <c r="J1734" s="1">
        <v>3</v>
      </c>
    </row>
    <row r="1735" spans="1:10" x14ac:dyDescent="0.2">
      <c r="A1735" s="1">
        <v>354</v>
      </c>
      <c r="B1735" s="1">
        <v>0</v>
      </c>
      <c r="C1735" s="1">
        <v>8</v>
      </c>
      <c r="D1735" s="1">
        <v>2</v>
      </c>
      <c r="E1735" s="1">
        <v>2</v>
      </c>
      <c r="F1735" s="1">
        <v>6</v>
      </c>
      <c r="G1735" s="1">
        <v>8</v>
      </c>
      <c r="H1735" s="1">
        <v>1</v>
      </c>
      <c r="I1735" s="1">
        <v>3</v>
      </c>
      <c r="J1735" s="1">
        <v>3</v>
      </c>
    </row>
    <row r="1736" spans="1:10" x14ac:dyDescent="0.2">
      <c r="A1736" s="1">
        <v>2357</v>
      </c>
      <c r="B1736" s="1">
        <v>0</v>
      </c>
      <c r="C1736" s="1">
        <v>12</v>
      </c>
      <c r="D1736" s="1">
        <v>3</v>
      </c>
      <c r="E1736" s="1">
        <v>2</v>
      </c>
      <c r="F1736" s="1">
        <v>6</v>
      </c>
      <c r="G1736" s="1">
        <v>8</v>
      </c>
      <c r="H1736" s="1">
        <v>0</v>
      </c>
      <c r="I1736" s="1">
        <v>0</v>
      </c>
      <c r="J1736" s="1">
        <v>3</v>
      </c>
    </row>
    <row r="1737" spans="1:10" x14ac:dyDescent="0.2">
      <c r="A1737" s="1">
        <v>1695</v>
      </c>
      <c r="B1737" s="1">
        <v>0</v>
      </c>
      <c r="C1737" s="1">
        <v>19</v>
      </c>
      <c r="D1737" s="1">
        <v>5</v>
      </c>
      <c r="E1737" s="1">
        <v>2</v>
      </c>
      <c r="F1737" s="1">
        <v>6</v>
      </c>
      <c r="G1737" s="1">
        <v>8</v>
      </c>
      <c r="H1737" s="1">
        <v>1</v>
      </c>
      <c r="I1737" s="1">
        <v>0</v>
      </c>
      <c r="J1737" s="1">
        <v>3</v>
      </c>
    </row>
    <row r="1738" spans="1:10" x14ac:dyDescent="0.2">
      <c r="A1738" s="1">
        <v>1140</v>
      </c>
      <c r="B1738" s="1">
        <v>0</v>
      </c>
      <c r="C1738" s="1">
        <v>11</v>
      </c>
      <c r="D1738" s="1">
        <v>1</v>
      </c>
      <c r="E1738" s="1">
        <v>3</v>
      </c>
      <c r="F1738" s="1">
        <v>6</v>
      </c>
      <c r="G1738" s="1">
        <v>8</v>
      </c>
      <c r="H1738" s="1">
        <v>0</v>
      </c>
      <c r="I1738" s="1">
        <v>1</v>
      </c>
      <c r="J1738" s="1">
        <v>3</v>
      </c>
    </row>
    <row r="1739" spans="1:10" x14ac:dyDescent="0.2">
      <c r="A1739" s="1">
        <v>982</v>
      </c>
      <c r="B1739" s="1">
        <v>0</v>
      </c>
      <c r="C1739" s="1">
        <v>13</v>
      </c>
      <c r="D1739" s="1">
        <v>2</v>
      </c>
      <c r="E1739" s="1">
        <v>3</v>
      </c>
      <c r="F1739" s="1">
        <v>6</v>
      </c>
      <c r="G1739" s="1">
        <v>8</v>
      </c>
      <c r="H1739" s="1">
        <v>1</v>
      </c>
      <c r="I1739" s="1">
        <v>0</v>
      </c>
      <c r="J1739" s="1">
        <v>3</v>
      </c>
    </row>
    <row r="1740" spans="1:10" x14ac:dyDescent="0.2">
      <c r="A1740" s="1">
        <v>2313</v>
      </c>
      <c r="B1740" s="1">
        <v>0</v>
      </c>
      <c r="C1740" s="1">
        <v>14</v>
      </c>
      <c r="D1740" s="1">
        <v>5</v>
      </c>
      <c r="E1740" s="1">
        <v>3</v>
      </c>
      <c r="F1740" s="1">
        <v>6</v>
      </c>
      <c r="G1740" s="1">
        <v>8</v>
      </c>
      <c r="H1740" s="1">
        <v>1</v>
      </c>
      <c r="I1740" s="1">
        <v>3</v>
      </c>
      <c r="J1740" s="1">
        <v>3</v>
      </c>
    </row>
    <row r="1741" spans="1:10" x14ac:dyDescent="0.2">
      <c r="A1741" s="1">
        <v>1685</v>
      </c>
      <c r="B1741" s="1">
        <v>0</v>
      </c>
      <c r="C1741" s="1">
        <v>19</v>
      </c>
      <c r="D1741" s="1">
        <v>1</v>
      </c>
      <c r="E1741" s="1">
        <v>3</v>
      </c>
      <c r="F1741" s="1">
        <v>6</v>
      </c>
      <c r="G1741" s="1">
        <v>8</v>
      </c>
      <c r="H1741" s="1">
        <v>0</v>
      </c>
      <c r="I1741" s="1">
        <v>0</v>
      </c>
      <c r="J1741" s="1">
        <v>3</v>
      </c>
    </row>
    <row r="1742" spans="1:10" x14ac:dyDescent="0.2">
      <c r="A1742" s="1">
        <v>677</v>
      </c>
      <c r="B1742" s="1">
        <v>0</v>
      </c>
      <c r="C1742" s="1">
        <v>6</v>
      </c>
      <c r="D1742" s="1">
        <v>1</v>
      </c>
      <c r="E1742" s="1">
        <v>2</v>
      </c>
      <c r="F1742" s="1">
        <v>8</v>
      </c>
      <c r="G1742" s="1">
        <v>8</v>
      </c>
      <c r="H1742" s="1">
        <v>0</v>
      </c>
      <c r="I1742" s="1">
        <v>0</v>
      </c>
      <c r="J1742" s="1">
        <v>3</v>
      </c>
    </row>
    <row r="1743" spans="1:10" x14ac:dyDescent="0.2">
      <c r="A1743" s="1">
        <v>695</v>
      </c>
      <c r="B1743" s="1">
        <v>0</v>
      </c>
      <c r="C1743" s="1">
        <v>16</v>
      </c>
      <c r="D1743" s="1">
        <v>4</v>
      </c>
      <c r="E1743" s="1">
        <v>2</v>
      </c>
      <c r="F1743" s="1">
        <v>8</v>
      </c>
      <c r="G1743" s="1">
        <v>8</v>
      </c>
      <c r="H1743" s="1">
        <v>0</v>
      </c>
      <c r="I1743" s="1">
        <v>0</v>
      </c>
      <c r="J1743" s="1">
        <v>3</v>
      </c>
    </row>
    <row r="1744" spans="1:10" x14ac:dyDescent="0.2">
      <c r="A1744" s="1">
        <v>2085</v>
      </c>
      <c r="B1744" s="1">
        <v>0</v>
      </c>
      <c r="C1744" s="1">
        <v>13</v>
      </c>
      <c r="D1744" s="1">
        <v>2</v>
      </c>
      <c r="E1744" s="1">
        <v>2</v>
      </c>
      <c r="F1744" s="1">
        <v>9</v>
      </c>
      <c r="G1744" s="1">
        <v>8</v>
      </c>
      <c r="H1744" s="1">
        <v>1</v>
      </c>
      <c r="I1744" s="1">
        <v>3</v>
      </c>
      <c r="J1744" s="1">
        <v>3</v>
      </c>
    </row>
    <row r="1745" spans="1:10" x14ac:dyDescent="0.2">
      <c r="A1745" s="1">
        <v>244</v>
      </c>
      <c r="B1745" s="1">
        <v>0</v>
      </c>
      <c r="C1745" s="1">
        <v>20</v>
      </c>
      <c r="D1745" s="1">
        <v>5</v>
      </c>
      <c r="E1745" s="1">
        <v>2</v>
      </c>
      <c r="F1745" s="1">
        <v>9</v>
      </c>
      <c r="G1745" s="1">
        <v>8</v>
      </c>
      <c r="H1745" s="1">
        <v>0</v>
      </c>
      <c r="I1745" s="1">
        <v>1</v>
      </c>
      <c r="J1745" s="1">
        <v>3</v>
      </c>
    </row>
    <row r="1746" spans="1:10" x14ac:dyDescent="0.2">
      <c r="A1746" s="1">
        <v>1008</v>
      </c>
      <c r="B1746" s="1">
        <v>0</v>
      </c>
      <c r="C1746" s="1">
        <v>14</v>
      </c>
      <c r="D1746" s="1">
        <v>3</v>
      </c>
      <c r="E1746" s="1">
        <v>3</v>
      </c>
      <c r="F1746" s="1">
        <v>9</v>
      </c>
      <c r="G1746" s="1">
        <v>8</v>
      </c>
      <c r="H1746" s="1">
        <v>1</v>
      </c>
      <c r="I1746" s="1">
        <v>3</v>
      </c>
      <c r="J1746" s="1">
        <v>3</v>
      </c>
    </row>
    <row r="1747" spans="1:10" x14ac:dyDescent="0.2">
      <c r="A1747" s="1">
        <v>2035</v>
      </c>
      <c r="B1747" s="1">
        <v>0</v>
      </c>
      <c r="C1747" s="1">
        <v>20</v>
      </c>
      <c r="D1747" s="1">
        <v>2</v>
      </c>
      <c r="E1747" s="1">
        <v>3</v>
      </c>
      <c r="F1747" s="1">
        <v>9</v>
      </c>
      <c r="G1747" s="1">
        <v>8</v>
      </c>
      <c r="H1747" s="1">
        <v>1</v>
      </c>
      <c r="I1747" s="1">
        <v>1</v>
      </c>
      <c r="J1747" s="1">
        <v>3</v>
      </c>
    </row>
    <row r="1748" spans="1:10" x14ac:dyDescent="0.2">
      <c r="A1748" s="1">
        <v>2298</v>
      </c>
      <c r="B1748" s="1">
        <v>0</v>
      </c>
      <c r="C1748" s="1">
        <v>5</v>
      </c>
      <c r="D1748" s="1">
        <v>2</v>
      </c>
      <c r="E1748" s="1">
        <v>3</v>
      </c>
      <c r="F1748" s="1">
        <v>10</v>
      </c>
      <c r="G1748" s="1">
        <v>8</v>
      </c>
      <c r="H1748" s="1">
        <v>0</v>
      </c>
      <c r="I1748" s="1">
        <v>1</v>
      </c>
      <c r="J1748" s="1">
        <v>3</v>
      </c>
    </row>
    <row r="1749" spans="1:10" x14ac:dyDescent="0.2">
      <c r="A1749" s="1">
        <v>1248</v>
      </c>
      <c r="B1749" s="1">
        <v>0</v>
      </c>
      <c r="C1749" s="1">
        <v>7</v>
      </c>
      <c r="D1749" s="1">
        <v>1</v>
      </c>
      <c r="E1749" s="1">
        <v>3</v>
      </c>
      <c r="F1749" s="1">
        <v>10</v>
      </c>
      <c r="G1749" s="1">
        <v>8</v>
      </c>
      <c r="H1749" s="1">
        <v>0</v>
      </c>
      <c r="I1749" s="1">
        <v>3</v>
      </c>
      <c r="J1749" s="1">
        <v>3</v>
      </c>
    </row>
    <row r="1750" spans="1:10" x14ac:dyDescent="0.2">
      <c r="A1750" s="1">
        <v>1224</v>
      </c>
      <c r="B1750" s="1">
        <v>0</v>
      </c>
      <c r="C1750" s="1">
        <v>11</v>
      </c>
      <c r="D1750" s="1">
        <v>3</v>
      </c>
      <c r="E1750" s="1">
        <v>3</v>
      </c>
      <c r="F1750" s="1">
        <v>10</v>
      </c>
      <c r="G1750" s="1">
        <v>8</v>
      </c>
      <c r="H1750" s="1">
        <v>1</v>
      </c>
      <c r="I1750" s="1">
        <v>0</v>
      </c>
      <c r="J1750" s="1">
        <v>3</v>
      </c>
    </row>
    <row r="1751" spans="1:10" x14ac:dyDescent="0.2">
      <c r="A1751" s="1">
        <v>253</v>
      </c>
      <c r="B1751" s="1">
        <v>0</v>
      </c>
      <c r="C1751" s="1">
        <v>13</v>
      </c>
      <c r="D1751" s="1">
        <v>1</v>
      </c>
      <c r="E1751" s="1">
        <v>3</v>
      </c>
      <c r="F1751" s="1">
        <v>10</v>
      </c>
      <c r="G1751" s="1">
        <v>8</v>
      </c>
      <c r="H1751" s="1">
        <v>0</v>
      </c>
      <c r="I1751" s="1">
        <v>3</v>
      </c>
      <c r="J1751" s="1">
        <v>3</v>
      </c>
    </row>
    <row r="1752" spans="1:10" x14ac:dyDescent="0.2">
      <c r="A1752" s="1">
        <v>2416</v>
      </c>
      <c r="B1752" s="1">
        <v>0</v>
      </c>
      <c r="C1752" s="1">
        <v>14</v>
      </c>
      <c r="D1752" s="1">
        <v>1</v>
      </c>
      <c r="E1752" s="1">
        <v>3</v>
      </c>
      <c r="F1752" s="1">
        <v>10</v>
      </c>
      <c r="G1752" s="1">
        <v>8</v>
      </c>
      <c r="H1752" s="1">
        <v>1</v>
      </c>
      <c r="I1752" s="1">
        <v>2</v>
      </c>
      <c r="J1752" s="1">
        <v>3</v>
      </c>
    </row>
    <row r="1753" spans="1:10" x14ac:dyDescent="0.2">
      <c r="A1753" s="1">
        <v>1346</v>
      </c>
      <c r="B1753" s="1">
        <v>0</v>
      </c>
      <c r="C1753" s="1">
        <v>15</v>
      </c>
      <c r="D1753" s="1">
        <v>4</v>
      </c>
      <c r="E1753" s="1">
        <v>3</v>
      </c>
      <c r="F1753" s="1">
        <v>10</v>
      </c>
      <c r="G1753" s="1">
        <v>8</v>
      </c>
      <c r="H1753" s="1">
        <v>1</v>
      </c>
      <c r="I1753" s="1">
        <v>0</v>
      </c>
      <c r="J1753" s="1">
        <v>3</v>
      </c>
    </row>
    <row r="1754" spans="1:10" x14ac:dyDescent="0.2">
      <c r="A1754" s="1">
        <v>1120</v>
      </c>
      <c r="B1754" s="1">
        <v>0</v>
      </c>
      <c r="C1754" s="1">
        <v>10</v>
      </c>
      <c r="D1754" s="1">
        <v>5</v>
      </c>
      <c r="E1754" s="1">
        <v>1</v>
      </c>
      <c r="F1754" s="1">
        <v>1</v>
      </c>
      <c r="G1754" s="1">
        <v>8</v>
      </c>
      <c r="H1754" s="1">
        <v>1</v>
      </c>
      <c r="I1754" s="1">
        <v>2</v>
      </c>
      <c r="J1754" s="1">
        <v>4</v>
      </c>
    </row>
    <row r="1755" spans="1:10" x14ac:dyDescent="0.2">
      <c r="A1755" s="1">
        <v>1964</v>
      </c>
      <c r="B1755" s="1">
        <v>0</v>
      </c>
      <c r="C1755" s="1">
        <v>17</v>
      </c>
      <c r="D1755" s="1">
        <v>3</v>
      </c>
      <c r="E1755" s="1">
        <v>1</v>
      </c>
      <c r="F1755" s="1">
        <v>1</v>
      </c>
      <c r="G1755" s="1">
        <v>8</v>
      </c>
      <c r="H1755" s="1">
        <v>0</v>
      </c>
      <c r="I1755" s="1">
        <v>3</v>
      </c>
      <c r="J1755" s="1">
        <v>4</v>
      </c>
    </row>
    <row r="1756" spans="1:10" x14ac:dyDescent="0.2">
      <c r="A1756" s="1">
        <v>171</v>
      </c>
      <c r="B1756" s="1">
        <v>0</v>
      </c>
      <c r="C1756" s="1">
        <v>19</v>
      </c>
      <c r="D1756" s="1">
        <v>5</v>
      </c>
      <c r="E1756" s="1">
        <v>1</v>
      </c>
      <c r="F1756" s="1">
        <v>1</v>
      </c>
      <c r="G1756" s="1">
        <v>8</v>
      </c>
      <c r="H1756" s="1">
        <v>1</v>
      </c>
      <c r="I1756" s="1">
        <v>2</v>
      </c>
      <c r="J1756" s="1">
        <v>4</v>
      </c>
    </row>
    <row r="1757" spans="1:10" x14ac:dyDescent="0.2">
      <c r="A1757" s="1">
        <v>438</v>
      </c>
      <c r="B1757" s="1">
        <v>0</v>
      </c>
      <c r="C1757" s="1">
        <v>17</v>
      </c>
      <c r="D1757" s="1">
        <v>2</v>
      </c>
      <c r="E1757" s="1">
        <v>2</v>
      </c>
      <c r="F1757" s="1">
        <v>1</v>
      </c>
      <c r="G1757" s="1">
        <v>8</v>
      </c>
      <c r="H1757" s="1">
        <v>1</v>
      </c>
      <c r="I1757" s="1">
        <v>0</v>
      </c>
      <c r="J1757" s="1">
        <v>4</v>
      </c>
    </row>
    <row r="1758" spans="1:10" x14ac:dyDescent="0.2">
      <c r="A1758" s="1">
        <v>836</v>
      </c>
      <c r="B1758" s="1">
        <v>0</v>
      </c>
      <c r="C1758" s="1">
        <v>14</v>
      </c>
      <c r="D1758" s="1">
        <v>1</v>
      </c>
      <c r="E1758" s="1">
        <v>3</v>
      </c>
      <c r="F1758" s="1">
        <v>1</v>
      </c>
      <c r="G1758" s="1">
        <v>8</v>
      </c>
      <c r="H1758" s="1">
        <v>1</v>
      </c>
      <c r="I1758" s="1">
        <v>0</v>
      </c>
      <c r="J1758" s="1">
        <v>4</v>
      </c>
    </row>
    <row r="1759" spans="1:10" x14ac:dyDescent="0.2">
      <c r="A1759" s="1">
        <v>1909</v>
      </c>
      <c r="B1759" s="1">
        <v>0</v>
      </c>
      <c r="C1759" s="1">
        <v>5</v>
      </c>
      <c r="D1759" s="1">
        <v>1</v>
      </c>
      <c r="E1759" s="1">
        <v>1</v>
      </c>
      <c r="F1759" s="1">
        <v>2</v>
      </c>
      <c r="G1759" s="1">
        <v>8</v>
      </c>
      <c r="H1759" s="1">
        <v>1</v>
      </c>
      <c r="I1759" s="1">
        <v>0</v>
      </c>
      <c r="J1759" s="1">
        <v>4</v>
      </c>
    </row>
    <row r="1760" spans="1:10" x14ac:dyDescent="0.2">
      <c r="A1760" s="1">
        <v>1918</v>
      </c>
      <c r="B1760" s="1">
        <v>0</v>
      </c>
      <c r="C1760" s="1">
        <v>6</v>
      </c>
      <c r="D1760" s="1">
        <v>2</v>
      </c>
      <c r="E1760" s="1">
        <v>1</v>
      </c>
      <c r="F1760" s="1">
        <v>2</v>
      </c>
      <c r="G1760" s="1">
        <v>8</v>
      </c>
      <c r="H1760" s="1">
        <v>1</v>
      </c>
      <c r="I1760" s="1">
        <v>0</v>
      </c>
      <c r="J1760" s="1">
        <v>4</v>
      </c>
    </row>
    <row r="1761" spans="1:10" x14ac:dyDescent="0.2">
      <c r="A1761" s="1">
        <v>998</v>
      </c>
      <c r="B1761" s="1">
        <v>0</v>
      </c>
      <c r="C1761" s="1">
        <v>19</v>
      </c>
      <c r="D1761" s="1">
        <v>5</v>
      </c>
      <c r="E1761" s="1">
        <v>1</v>
      </c>
      <c r="F1761" s="1">
        <v>2</v>
      </c>
      <c r="G1761" s="1">
        <v>8</v>
      </c>
      <c r="H1761" s="1">
        <v>1</v>
      </c>
      <c r="I1761" s="1">
        <v>1</v>
      </c>
      <c r="J1761" s="1">
        <v>4</v>
      </c>
    </row>
    <row r="1762" spans="1:10" x14ac:dyDescent="0.2">
      <c r="A1762" s="1">
        <v>2176</v>
      </c>
      <c r="B1762" s="1">
        <v>0</v>
      </c>
      <c r="C1762" s="1">
        <v>6</v>
      </c>
      <c r="D1762" s="1">
        <v>5</v>
      </c>
      <c r="E1762" s="1">
        <v>2</v>
      </c>
      <c r="F1762" s="1">
        <v>2</v>
      </c>
      <c r="G1762" s="1">
        <v>8</v>
      </c>
      <c r="H1762" s="1">
        <v>1</v>
      </c>
      <c r="I1762" s="1">
        <v>1</v>
      </c>
      <c r="J1762" s="1">
        <v>4</v>
      </c>
    </row>
    <row r="1763" spans="1:10" x14ac:dyDescent="0.2">
      <c r="A1763" s="1">
        <v>2283</v>
      </c>
      <c r="B1763" s="1">
        <v>0</v>
      </c>
      <c r="C1763" s="1">
        <v>17</v>
      </c>
      <c r="D1763" s="1">
        <v>5</v>
      </c>
      <c r="E1763" s="1">
        <v>2</v>
      </c>
      <c r="F1763" s="1">
        <v>2</v>
      </c>
      <c r="G1763" s="1">
        <v>8</v>
      </c>
      <c r="H1763" s="1">
        <v>1</v>
      </c>
      <c r="I1763" s="1">
        <v>0</v>
      </c>
      <c r="J1763" s="1">
        <v>4</v>
      </c>
    </row>
    <row r="1764" spans="1:10" x14ac:dyDescent="0.2">
      <c r="A1764" s="1">
        <v>2497</v>
      </c>
      <c r="B1764" s="1">
        <v>0</v>
      </c>
      <c r="C1764" s="1">
        <v>17</v>
      </c>
      <c r="D1764" s="1">
        <v>3</v>
      </c>
      <c r="E1764" s="1">
        <v>2</v>
      </c>
      <c r="F1764" s="1">
        <v>2</v>
      </c>
      <c r="G1764" s="1">
        <v>8</v>
      </c>
      <c r="H1764" s="1">
        <v>1</v>
      </c>
      <c r="I1764" s="1">
        <v>0</v>
      </c>
      <c r="J1764" s="1">
        <v>4</v>
      </c>
    </row>
    <row r="1765" spans="1:10" x14ac:dyDescent="0.2">
      <c r="A1765" s="1">
        <v>242</v>
      </c>
      <c r="B1765" s="1">
        <v>0</v>
      </c>
      <c r="C1765" s="1">
        <v>15</v>
      </c>
      <c r="D1765" s="1">
        <v>1</v>
      </c>
      <c r="E1765" s="1">
        <v>2</v>
      </c>
      <c r="F1765" s="1">
        <v>3</v>
      </c>
      <c r="G1765" s="1">
        <v>8</v>
      </c>
      <c r="H1765" s="1">
        <v>0</v>
      </c>
      <c r="I1765" s="1">
        <v>3</v>
      </c>
      <c r="J1765" s="1">
        <v>4</v>
      </c>
    </row>
    <row r="1766" spans="1:10" x14ac:dyDescent="0.2">
      <c r="A1766" s="1">
        <v>1155</v>
      </c>
      <c r="B1766" s="1">
        <v>0</v>
      </c>
      <c r="C1766" s="1">
        <v>11</v>
      </c>
      <c r="D1766" s="1">
        <v>4</v>
      </c>
      <c r="E1766" s="1">
        <v>3</v>
      </c>
      <c r="F1766" s="1">
        <v>3</v>
      </c>
      <c r="G1766" s="1">
        <v>8</v>
      </c>
      <c r="H1766" s="1">
        <v>0</v>
      </c>
      <c r="I1766" s="1">
        <v>3</v>
      </c>
      <c r="J1766" s="1">
        <v>4</v>
      </c>
    </row>
    <row r="1767" spans="1:10" x14ac:dyDescent="0.2">
      <c r="A1767" s="1">
        <v>2167</v>
      </c>
      <c r="B1767" s="1">
        <v>0</v>
      </c>
      <c r="C1767" s="1">
        <v>11</v>
      </c>
      <c r="D1767" s="1">
        <v>4</v>
      </c>
      <c r="E1767" s="1">
        <v>3</v>
      </c>
      <c r="F1767" s="1">
        <v>3</v>
      </c>
      <c r="G1767" s="1">
        <v>8</v>
      </c>
      <c r="H1767" s="1">
        <v>0</v>
      </c>
      <c r="I1767" s="1">
        <v>1</v>
      </c>
      <c r="J1767" s="1">
        <v>4</v>
      </c>
    </row>
    <row r="1768" spans="1:10" x14ac:dyDescent="0.2">
      <c r="A1768" s="1">
        <v>977</v>
      </c>
      <c r="B1768" s="1">
        <v>0</v>
      </c>
      <c r="C1768" s="1">
        <v>12</v>
      </c>
      <c r="D1768" s="1">
        <v>3</v>
      </c>
      <c r="E1768" s="1">
        <v>2</v>
      </c>
      <c r="F1768" s="1">
        <v>4</v>
      </c>
      <c r="G1768" s="1">
        <v>8</v>
      </c>
      <c r="H1768" s="1">
        <v>0</v>
      </c>
      <c r="I1768" s="1">
        <v>0</v>
      </c>
      <c r="J1768" s="1">
        <v>4</v>
      </c>
    </row>
    <row r="1769" spans="1:10" x14ac:dyDescent="0.2">
      <c r="A1769" s="1">
        <v>26</v>
      </c>
      <c r="B1769" s="1">
        <v>0</v>
      </c>
      <c r="C1769" s="1">
        <v>13</v>
      </c>
      <c r="D1769" s="1">
        <v>3</v>
      </c>
      <c r="E1769" s="1">
        <v>3</v>
      </c>
      <c r="F1769" s="1">
        <v>4</v>
      </c>
      <c r="G1769" s="1">
        <v>8</v>
      </c>
      <c r="H1769" s="1">
        <v>0</v>
      </c>
      <c r="I1769" s="1">
        <v>3</v>
      </c>
      <c r="J1769" s="1">
        <v>4</v>
      </c>
    </row>
    <row r="1770" spans="1:10" x14ac:dyDescent="0.2">
      <c r="A1770" s="1">
        <v>182</v>
      </c>
      <c r="B1770" s="1">
        <v>0</v>
      </c>
      <c r="C1770" s="1">
        <v>20</v>
      </c>
      <c r="D1770" s="1">
        <v>2</v>
      </c>
      <c r="E1770" s="1">
        <v>3</v>
      </c>
      <c r="F1770" s="1">
        <v>4</v>
      </c>
      <c r="G1770" s="1">
        <v>8</v>
      </c>
      <c r="H1770" s="1">
        <v>1</v>
      </c>
      <c r="I1770" s="1">
        <v>3</v>
      </c>
      <c r="J1770" s="1">
        <v>4</v>
      </c>
    </row>
    <row r="1771" spans="1:10" x14ac:dyDescent="0.2">
      <c r="A1771" s="1">
        <v>481</v>
      </c>
      <c r="B1771" s="1">
        <v>0</v>
      </c>
      <c r="C1771" s="1">
        <v>9</v>
      </c>
      <c r="D1771" s="1">
        <v>3</v>
      </c>
      <c r="E1771" s="1">
        <v>3</v>
      </c>
      <c r="F1771" s="1">
        <v>7</v>
      </c>
      <c r="G1771" s="1">
        <v>8</v>
      </c>
      <c r="H1771" s="1">
        <v>0</v>
      </c>
      <c r="I1771" s="1">
        <v>3</v>
      </c>
      <c r="J1771" s="1">
        <v>4</v>
      </c>
    </row>
    <row r="1772" spans="1:10" x14ac:dyDescent="0.2">
      <c r="A1772" s="1">
        <v>1811</v>
      </c>
      <c r="B1772" s="1">
        <v>0</v>
      </c>
      <c r="C1772" s="1">
        <v>20</v>
      </c>
      <c r="D1772" s="1">
        <v>2</v>
      </c>
      <c r="E1772" s="1">
        <v>3</v>
      </c>
      <c r="F1772" s="1">
        <v>7</v>
      </c>
      <c r="G1772" s="1">
        <v>8</v>
      </c>
      <c r="H1772" s="1">
        <v>1</v>
      </c>
      <c r="I1772" s="1">
        <v>2</v>
      </c>
      <c r="J1772" s="1">
        <v>4</v>
      </c>
    </row>
    <row r="1773" spans="1:10" x14ac:dyDescent="0.2">
      <c r="A1773" s="1">
        <v>411</v>
      </c>
      <c r="B1773" s="1">
        <v>0</v>
      </c>
      <c r="C1773" s="1">
        <v>5</v>
      </c>
      <c r="D1773" s="1">
        <v>2</v>
      </c>
      <c r="E1773" s="1">
        <v>3</v>
      </c>
      <c r="F1773" s="1">
        <v>8</v>
      </c>
      <c r="G1773" s="1">
        <v>8</v>
      </c>
      <c r="H1773" s="1">
        <v>0</v>
      </c>
      <c r="I1773" s="1">
        <v>2</v>
      </c>
      <c r="J1773" s="1">
        <v>4</v>
      </c>
    </row>
    <row r="1774" spans="1:10" x14ac:dyDescent="0.2">
      <c r="A1774" s="1">
        <v>2358</v>
      </c>
      <c r="B1774" s="1">
        <v>0</v>
      </c>
      <c r="C1774" s="1">
        <v>5</v>
      </c>
      <c r="D1774" s="1">
        <v>5</v>
      </c>
      <c r="E1774" s="1">
        <v>3</v>
      </c>
      <c r="F1774" s="1">
        <v>9</v>
      </c>
      <c r="G1774" s="1">
        <v>8</v>
      </c>
      <c r="H1774" s="1">
        <v>1</v>
      </c>
      <c r="I1774" s="1">
        <v>0</v>
      </c>
      <c r="J1774" s="1">
        <v>4</v>
      </c>
    </row>
    <row r="1775" spans="1:10" x14ac:dyDescent="0.2">
      <c r="A1775" s="1">
        <v>610</v>
      </c>
      <c r="B1775" s="1">
        <v>0</v>
      </c>
      <c r="C1775" s="1">
        <v>8</v>
      </c>
      <c r="D1775" s="1">
        <v>1</v>
      </c>
      <c r="E1775" s="1">
        <v>3</v>
      </c>
      <c r="F1775" s="1">
        <v>10</v>
      </c>
      <c r="G1775" s="1">
        <v>8</v>
      </c>
      <c r="H1775" s="1">
        <v>0</v>
      </c>
      <c r="I1775" s="1">
        <v>0</v>
      </c>
      <c r="J1775" s="1">
        <v>4</v>
      </c>
    </row>
    <row r="1776" spans="1:10" x14ac:dyDescent="0.2">
      <c r="A1776" s="1">
        <v>225</v>
      </c>
      <c r="B1776" s="1">
        <v>0</v>
      </c>
      <c r="C1776" s="1">
        <v>9</v>
      </c>
      <c r="D1776" s="1">
        <v>1</v>
      </c>
      <c r="E1776" s="1">
        <v>3</v>
      </c>
      <c r="F1776" s="1">
        <v>1</v>
      </c>
      <c r="G1776" s="1">
        <v>8</v>
      </c>
      <c r="H1776" s="1">
        <v>1</v>
      </c>
      <c r="I1776" s="1">
        <v>0</v>
      </c>
      <c r="J1776" s="1">
        <v>5</v>
      </c>
    </row>
    <row r="1777" spans="1:10" x14ac:dyDescent="0.2">
      <c r="A1777" s="1">
        <v>202</v>
      </c>
      <c r="B1777" s="1">
        <v>0</v>
      </c>
      <c r="C1777" s="1">
        <v>16</v>
      </c>
      <c r="D1777" s="1">
        <v>4</v>
      </c>
      <c r="E1777" s="1">
        <v>3</v>
      </c>
      <c r="F1777" s="1">
        <v>1</v>
      </c>
      <c r="G1777" s="1">
        <v>8</v>
      </c>
      <c r="H1777" s="1">
        <v>1</v>
      </c>
      <c r="I1777" s="1">
        <v>2</v>
      </c>
      <c r="J1777" s="1">
        <v>5</v>
      </c>
    </row>
    <row r="1778" spans="1:10" x14ac:dyDescent="0.2">
      <c r="A1778" s="1">
        <v>463</v>
      </c>
      <c r="B1778" s="1">
        <v>0</v>
      </c>
      <c r="C1778" s="1">
        <v>16</v>
      </c>
      <c r="D1778" s="1">
        <v>2</v>
      </c>
      <c r="E1778" s="1">
        <v>3</v>
      </c>
      <c r="F1778" s="1">
        <v>1</v>
      </c>
      <c r="G1778" s="1">
        <v>8</v>
      </c>
      <c r="H1778" s="1">
        <v>0</v>
      </c>
      <c r="I1778" s="1">
        <v>0</v>
      </c>
      <c r="J1778" s="1">
        <v>5</v>
      </c>
    </row>
    <row r="1779" spans="1:10" x14ac:dyDescent="0.2">
      <c r="A1779" s="1">
        <v>578</v>
      </c>
      <c r="B1779" s="1">
        <v>0</v>
      </c>
      <c r="C1779" s="1">
        <v>16</v>
      </c>
      <c r="D1779" s="1">
        <v>3</v>
      </c>
      <c r="E1779" s="1">
        <v>3</v>
      </c>
      <c r="F1779" s="1">
        <v>1</v>
      </c>
      <c r="G1779" s="1">
        <v>8</v>
      </c>
      <c r="H1779" s="1">
        <v>1</v>
      </c>
      <c r="I1779" s="1">
        <v>2</v>
      </c>
      <c r="J1779" s="1">
        <v>5</v>
      </c>
    </row>
    <row r="1780" spans="1:10" x14ac:dyDescent="0.2">
      <c r="A1780" s="1">
        <v>920</v>
      </c>
      <c r="B1780" s="1">
        <v>0</v>
      </c>
      <c r="C1780" s="1">
        <v>18</v>
      </c>
      <c r="D1780" s="1">
        <v>5</v>
      </c>
      <c r="E1780" s="1">
        <v>3</v>
      </c>
      <c r="F1780" s="1">
        <v>1</v>
      </c>
      <c r="G1780" s="1">
        <v>8</v>
      </c>
      <c r="H1780" s="1">
        <v>0</v>
      </c>
      <c r="I1780" s="1">
        <v>3</v>
      </c>
      <c r="J1780" s="1">
        <v>5</v>
      </c>
    </row>
    <row r="1781" spans="1:10" x14ac:dyDescent="0.2">
      <c r="A1781" s="1">
        <v>46</v>
      </c>
      <c r="B1781" s="1">
        <v>0</v>
      </c>
      <c r="C1781" s="1">
        <v>13</v>
      </c>
      <c r="D1781" s="1">
        <v>4</v>
      </c>
      <c r="E1781" s="1">
        <v>3</v>
      </c>
      <c r="F1781" s="1">
        <v>2</v>
      </c>
      <c r="G1781" s="1">
        <v>8</v>
      </c>
      <c r="H1781" s="1">
        <v>0</v>
      </c>
      <c r="I1781" s="1">
        <v>0</v>
      </c>
      <c r="J1781" s="1">
        <v>5</v>
      </c>
    </row>
    <row r="1782" spans="1:10" x14ac:dyDescent="0.2">
      <c r="A1782" s="1">
        <v>1436</v>
      </c>
      <c r="B1782" s="1">
        <v>0</v>
      </c>
      <c r="C1782" s="1">
        <v>19</v>
      </c>
      <c r="D1782" s="1">
        <v>2</v>
      </c>
      <c r="E1782" s="1">
        <v>3</v>
      </c>
      <c r="F1782" s="1">
        <v>3</v>
      </c>
      <c r="G1782" s="1">
        <v>8</v>
      </c>
      <c r="H1782" s="1">
        <v>0</v>
      </c>
      <c r="I1782" s="1">
        <v>0</v>
      </c>
      <c r="J1782" s="1">
        <v>5</v>
      </c>
    </row>
    <row r="1783" spans="1:10" x14ac:dyDescent="0.2">
      <c r="A1783" s="1">
        <v>477</v>
      </c>
      <c r="B1783" s="1">
        <v>0</v>
      </c>
      <c r="C1783" s="1">
        <v>16</v>
      </c>
      <c r="D1783" s="1">
        <v>1</v>
      </c>
      <c r="E1783" s="1">
        <v>3</v>
      </c>
      <c r="F1783" s="1">
        <v>4</v>
      </c>
      <c r="G1783" s="1">
        <v>8</v>
      </c>
      <c r="H1783" s="1">
        <v>0</v>
      </c>
      <c r="I1783" s="1">
        <v>1</v>
      </c>
      <c r="J1783" s="1">
        <v>5</v>
      </c>
    </row>
    <row r="1784" spans="1:10" x14ac:dyDescent="0.2">
      <c r="A1784" s="1">
        <v>1536</v>
      </c>
      <c r="B1784" s="1">
        <v>0</v>
      </c>
      <c r="C1784" s="1">
        <v>8</v>
      </c>
      <c r="D1784" s="1">
        <v>3</v>
      </c>
      <c r="E1784" s="1">
        <v>3</v>
      </c>
      <c r="F1784" s="1">
        <v>5</v>
      </c>
      <c r="G1784" s="1">
        <v>8</v>
      </c>
      <c r="H1784" s="1">
        <v>1</v>
      </c>
      <c r="I1784" s="1">
        <v>1</v>
      </c>
      <c r="J1784" s="1">
        <v>5</v>
      </c>
    </row>
    <row r="1785" spans="1:10" x14ac:dyDescent="0.2">
      <c r="A1785" s="1">
        <v>887</v>
      </c>
      <c r="B1785" s="1">
        <v>0</v>
      </c>
      <c r="C1785" s="1">
        <v>11</v>
      </c>
      <c r="D1785" s="1">
        <v>1</v>
      </c>
      <c r="E1785" s="1">
        <v>3</v>
      </c>
      <c r="F1785" s="1">
        <v>5</v>
      </c>
      <c r="G1785" s="1">
        <v>8</v>
      </c>
      <c r="H1785" s="1">
        <v>1</v>
      </c>
      <c r="I1785" s="1">
        <v>2</v>
      </c>
      <c r="J1785" s="1">
        <v>5</v>
      </c>
    </row>
    <row r="1786" spans="1:10" x14ac:dyDescent="0.2">
      <c r="A1786" s="1">
        <v>649</v>
      </c>
      <c r="B1786" s="1">
        <v>0</v>
      </c>
      <c r="C1786" s="1">
        <v>12</v>
      </c>
      <c r="D1786" s="1">
        <v>3</v>
      </c>
      <c r="E1786" s="1">
        <v>3</v>
      </c>
      <c r="F1786" s="1">
        <v>5</v>
      </c>
      <c r="G1786" s="1">
        <v>8</v>
      </c>
      <c r="H1786" s="1">
        <v>0</v>
      </c>
      <c r="I1786" s="1">
        <v>1</v>
      </c>
      <c r="J1786" s="1">
        <v>5</v>
      </c>
    </row>
    <row r="1787" spans="1:10" x14ac:dyDescent="0.2">
      <c r="A1787" s="1">
        <v>2103</v>
      </c>
      <c r="B1787" s="1">
        <v>0</v>
      </c>
      <c r="C1787" s="1">
        <v>12</v>
      </c>
      <c r="D1787" s="1">
        <v>3</v>
      </c>
      <c r="E1787" s="1">
        <v>3</v>
      </c>
      <c r="F1787" s="1">
        <v>7</v>
      </c>
      <c r="G1787" s="1">
        <v>8</v>
      </c>
      <c r="H1787" s="1">
        <v>0</v>
      </c>
      <c r="I1787" s="1">
        <v>2</v>
      </c>
      <c r="J1787" s="1">
        <v>5</v>
      </c>
    </row>
    <row r="1788" spans="1:10" x14ac:dyDescent="0.2">
      <c r="A1788" s="1">
        <v>2386</v>
      </c>
      <c r="B1788" s="1">
        <v>0</v>
      </c>
      <c r="C1788" s="1">
        <v>15</v>
      </c>
      <c r="D1788" s="1">
        <v>1</v>
      </c>
      <c r="E1788" s="1">
        <v>3</v>
      </c>
      <c r="F1788" s="1">
        <v>7</v>
      </c>
      <c r="G1788" s="1">
        <v>8</v>
      </c>
      <c r="H1788" s="1">
        <v>0</v>
      </c>
      <c r="I1788" s="1">
        <v>2</v>
      </c>
      <c r="J1788" s="1">
        <v>5</v>
      </c>
    </row>
    <row r="1789" spans="1:10" x14ac:dyDescent="0.2">
      <c r="A1789" s="1">
        <v>1209</v>
      </c>
      <c r="B1789" s="1">
        <v>0</v>
      </c>
      <c r="C1789" s="1">
        <v>10</v>
      </c>
      <c r="D1789" s="1">
        <v>1</v>
      </c>
      <c r="E1789" s="1">
        <v>3</v>
      </c>
      <c r="F1789" s="1">
        <v>8</v>
      </c>
      <c r="G1789" s="1">
        <v>8</v>
      </c>
      <c r="H1789" s="1">
        <v>1</v>
      </c>
      <c r="I1789" s="1">
        <v>3</v>
      </c>
      <c r="J1789" s="1">
        <v>5</v>
      </c>
    </row>
    <row r="1790" spans="1:10" x14ac:dyDescent="0.2">
      <c r="A1790" s="1">
        <v>2451</v>
      </c>
      <c r="B1790" s="1">
        <v>0</v>
      </c>
      <c r="C1790" s="1">
        <v>11</v>
      </c>
      <c r="D1790" s="1">
        <v>3</v>
      </c>
      <c r="E1790" s="1">
        <v>3</v>
      </c>
      <c r="F1790" s="1">
        <v>8</v>
      </c>
      <c r="G1790" s="1">
        <v>8</v>
      </c>
      <c r="H1790" s="1">
        <v>0</v>
      </c>
      <c r="I1790" s="1">
        <v>3</v>
      </c>
      <c r="J1790" s="1">
        <v>5</v>
      </c>
    </row>
    <row r="1791" spans="1:10" x14ac:dyDescent="0.2">
      <c r="A1791" s="1">
        <v>2036</v>
      </c>
      <c r="B1791" s="1">
        <v>0</v>
      </c>
      <c r="C1791" s="1">
        <v>18</v>
      </c>
      <c r="D1791" s="1">
        <v>2</v>
      </c>
      <c r="E1791" s="1">
        <v>3</v>
      </c>
      <c r="F1791" s="1">
        <v>9</v>
      </c>
      <c r="G1791" s="1">
        <v>8</v>
      </c>
      <c r="H1791" s="1">
        <v>1</v>
      </c>
      <c r="I1791" s="1">
        <v>0</v>
      </c>
      <c r="J1791" s="1">
        <v>5</v>
      </c>
    </row>
    <row r="1792" spans="1:10" x14ac:dyDescent="0.2">
      <c r="A1792" s="1">
        <v>1827</v>
      </c>
      <c r="B1792" s="1">
        <v>0</v>
      </c>
      <c r="C1792" s="1">
        <v>11</v>
      </c>
      <c r="D1792" s="1">
        <v>5</v>
      </c>
      <c r="E1792" s="1">
        <v>1</v>
      </c>
      <c r="F1792" s="1">
        <v>1</v>
      </c>
      <c r="G1792" s="1">
        <v>9</v>
      </c>
      <c r="H1792" s="1">
        <v>0</v>
      </c>
      <c r="I1792" s="1">
        <v>0</v>
      </c>
      <c r="J1792" s="1">
        <v>1</v>
      </c>
    </row>
    <row r="1793" spans="1:10" x14ac:dyDescent="0.2">
      <c r="A1793" s="1">
        <v>1024</v>
      </c>
      <c r="B1793" s="1">
        <v>0</v>
      </c>
      <c r="C1793" s="1">
        <v>14</v>
      </c>
      <c r="D1793" s="1">
        <v>3</v>
      </c>
      <c r="E1793" s="1">
        <v>1</v>
      </c>
      <c r="F1793" s="1">
        <v>1</v>
      </c>
      <c r="G1793" s="1">
        <v>9</v>
      </c>
      <c r="H1793" s="1">
        <v>0</v>
      </c>
      <c r="I1793" s="1">
        <v>3</v>
      </c>
      <c r="J1793" s="1">
        <v>1</v>
      </c>
    </row>
    <row r="1794" spans="1:10" x14ac:dyDescent="0.2">
      <c r="A1794" s="1">
        <v>1365</v>
      </c>
      <c r="B1794" s="1">
        <v>0</v>
      </c>
      <c r="C1794" s="1">
        <v>14</v>
      </c>
      <c r="D1794" s="1">
        <v>2</v>
      </c>
      <c r="E1794" s="1">
        <v>1</v>
      </c>
      <c r="F1794" s="1">
        <v>1</v>
      </c>
      <c r="G1794" s="1">
        <v>9</v>
      </c>
      <c r="H1794" s="1">
        <v>0</v>
      </c>
      <c r="I1794" s="1">
        <v>1</v>
      </c>
      <c r="J1794" s="1">
        <v>1</v>
      </c>
    </row>
    <row r="1795" spans="1:10" x14ac:dyDescent="0.2">
      <c r="A1795" s="1">
        <v>779</v>
      </c>
      <c r="B1795" s="1">
        <v>0</v>
      </c>
      <c r="C1795" s="1">
        <v>17</v>
      </c>
      <c r="D1795" s="1">
        <v>1</v>
      </c>
      <c r="E1795" s="1">
        <v>1</v>
      </c>
      <c r="F1795" s="1">
        <v>1</v>
      </c>
      <c r="G1795" s="1">
        <v>9</v>
      </c>
      <c r="H1795" s="1">
        <v>0</v>
      </c>
      <c r="I1795" s="1">
        <v>0</v>
      </c>
      <c r="J1795" s="1">
        <v>1</v>
      </c>
    </row>
    <row r="1796" spans="1:10" x14ac:dyDescent="0.2">
      <c r="A1796" s="1">
        <v>2360</v>
      </c>
      <c r="B1796" s="1">
        <v>0</v>
      </c>
      <c r="C1796" s="1">
        <v>5</v>
      </c>
      <c r="D1796" s="1">
        <v>2</v>
      </c>
      <c r="E1796" s="1">
        <v>2</v>
      </c>
      <c r="F1796" s="1">
        <v>1</v>
      </c>
      <c r="G1796" s="1">
        <v>9</v>
      </c>
      <c r="H1796" s="1">
        <v>1</v>
      </c>
      <c r="I1796" s="1">
        <v>2</v>
      </c>
      <c r="J1796" s="1">
        <v>1</v>
      </c>
    </row>
    <row r="1797" spans="1:10" x14ac:dyDescent="0.2">
      <c r="A1797" s="1">
        <v>2473</v>
      </c>
      <c r="B1797" s="1">
        <v>0</v>
      </c>
      <c r="C1797" s="1">
        <v>8</v>
      </c>
      <c r="D1797" s="1">
        <v>4</v>
      </c>
      <c r="E1797" s="1">
        <v>2</v>
      </c>
      <c r="F1797" s="1">
        <v>1</v>
      </c>
      <c r="G1797" s="1">
        <v>9</v>
      </c>
      <c r="H1797" s="1">
        <v>0</v>
      </c>
      <c r="I1797" s="1">
        <v>1</v>
      </c>
      <c r="J1797" s="1">
        <v>1</v>
      </c>
    </row>
    <row r="1798" spans="1:10" x14ac:dyDescent="0.2">
      <c r="A1798" s="1">
        <v>993</v>
      </c>
      <c r="B1798" s="1">
        <v>0</v>
      </c>
      <c r="C1798" s="1">
        <v>11</v>
      </c>
      <c r="D1798" s="1">
        <v>3</v>
      </c>
      <c r="E1798" s="1">
        <v>3</v>
      </c>
      <c r="F1798" s="1">
        <v>1</v>
      </c>
      <c r="G1798" s="1">
        <v>9</v>
      </c>
      <c r="H1798" s="1">
        <v>1</v>
      </c>
      <c r="I1798" s="1">
        <v>2</v>
      </c>
      <c r="J1798" s="1">
        <v>1</v>
      </c>
    </row>
    <row r="1799" spans="1:10" x14ac:dyDescent="0.2">
      <c r="A1799" s="1">
        <v>2140</v>
      </c>
      <c r="B1799" s="1">
        <v>0</v>
      </c>
      <c r="C1799" s="1">
        <v>16</v>
      </c>
      <c r="D1799" s="1">
        <v>1</v>
      </c>
      <c r="E1799" s="1">
        <v>3</v>
      </c>
      <c r="F1799" s="1">
        <v>1</v>
      </c>
      <c r="G1799" s="1">
        <v>9</v>
      </c>
      <c r="H1799" s="1">
        <v>0</v>
      </c>
      <c r="I1799" s="1">
        <v>0</v>
      </c>
      <c r="J1799" s="1">
        <v>1</v>
      </c>
    </row>
    <row r="1800" spans="1:10" x14ac:dyDescent="0.2">
      <c r="A1800" s="1">
        <v>919</v>
      </c>
      <c r="B1800" s="1">
        <v>0</v>
      </c>
      <c r="C1800" s="1">
        <v>19</v>
      </c>
      <c r="D1800" s="1">
        <v>3</v>
      </c>
      <c r="E1800" s="1">
        <v>3</v>
      </c>
      <c r="F1800" s="1">
        <v>1</v>
      </c>
      <c r="G1800" s="1">
        <v>9</v>
      </c>
      <c r="H1800" s="1">
        <v>0</v>
      </c>
      <c r="I1800" s="1">
        <v>0</v>
      </c>
      <c r="J1800" s="1">
        <v>1</v>
      </c>
    </row>
    <row r="1801" spans="1:10" x14ac:dyDescent="0.2">
      <c r="A1801" s="1">
        <v>455</v>
      </c>
      <c r="B1801" s="1">
        <v>0</v>
      </c>
      <c r="C1801" s="1">
        <v>8</v>
      </c>
      <c r="D1801" s="1">
        <v>3</v>
      </c>
      <c r="E1801" s="1">
        <v>1</v>
      </c>
      <c r="F1801" s="1">
        <v>2</v>
      </c>
      <c r="G1801" s="1">
        <v>9</v>
      </c>
      <c r="H1801" s="1">
        <v>1</v>
      </c>
      <c r="I1801" s="1">
        <v>3</v>
      </c>
      <c r="J1801" s="1">
        <v>1</v>
      </c>
    </row>
    <row r="1802" spans="1:10" x14ac:dyDescent="0.2">
      <c r="A1802" s="1">
        <v>585</v>
      </c>
      <c r="B1802" s="1">
        <v>0</v>
      </c>
      <c r="C1802" s="1">
        <v>11</v>
      </c>
      <c r="D1802" s="1">
        <v>5</v>
      </c>
      <c r="E1802" s="1">
        <v>1</v>
      </c>
      <c r="F1802" s="1">
        <v>2</v>
      </c>
      <c r="G1802" s="1">
        <v>9</v>
      </c>
      <c r="H1802" s="1">
        <v>0</v>
      </c>
      <c r="I1802" s="1">
        <v>2</v>
      </c>
      <c r="J1802" s="1">
        <v>1</v>
      </c>
    </row>
    <row r="1803" spans="1:10" x14ac:dyDescent="0.2">
      <c r="A1803" s="1">
        <v>246</v>
      </c>
      <c r="B1803" s="1">
        <v>0</v>
      </c>
      <c r="C1803" s="1">
        <v>18</v>
      </c>
      <c r="D1803" s="1">
        <v>2</v>
      </c>
      <c r="E1803" s="1">
        <v>1</v>
      </c>
      <c r="F1803" s="1">
        <v>2</v>
      </c>
      <c r="G1803" s="1">
        <v>9</v>
      </c>
      <c r="H1803" s="1">
        <v>1</v>
      </c>
      <c r="I1803" s="1">
        <v>2</v>
      </c>
      <c r="J1803" s="1">
        <v>1</v>
      </c>
    </row>
    <row r="1804" spans="1:10" x14ac:dyDescent="0.2">
      <c r="A1804" s="1">
        <v>844</v>
      </c>
      <c r="B1804" s="1">
        <v>0</v>
      </c>
      <c r="C1804" s="1">
        <v>10</v>
      </c>
      <c r="D1804" s="1">
        <v>5</v>
      </c>
      <c r="E1804" s="1">
        <v>2</v>
      </c>
      <c r="F1804" s="1">
        <v>2</v>
      </c>
      <c r="G1804" s="1">
        <v>9</v>
      </c>
      <c r="H1804" s="1">
        <v>0</v>
      </c>
      <c r="I1804" s="1">
        <v>2</v>
      </c>
      <c r="J1804" s="1">
        <v>1</v>
      </c>
    </row>
    <row r="1805" spans="1:10" x14ac:dyDescent="0.2">
      <c r="A1805" s="1">
        <v>317</v>
      </c>
      <c r="B1805" s="1">
        <v>0</v>
      </c>
      <c r="C1805" s="1">
        <v>11</v>
      </c>
      <c r="D1805" s="1">
        <v>1</v>
      </c>
      <c r="E1805" s="1">
        <v>3</v>
      </c>
      <c r="F1805" s="1">
        <v>2</v>
      </c>
      <c r="G1805" s="1">
        <v>9</v>
      </c>
      <c r="H1805" s="1">
        <v>1</v>
      </c>
      <c r="I1805" s="1">
        <v>1</v>
      </c>
      <c r="J1805" s="1">
        <v>1</v>
      </c>
    </row>
    <row r="1806" spans="1:10" x14ac:dyDescent="0.2">
      <c r="A1806" s="1">
        <v>743</v>
      </c>
      <c r="B1806" s="1">
        <v>0</v>
      </c>
      <c r="C1806" s="1">
        <v>14</v>
      </c>
      <c r="D1806" s="1">
        <v>1</v>
      </c>
      <c r="E1806" s="1">
        <v>3</v>
      </c>
      <c r="F1806" s="1">
        <v>2</v>
      </c>
      <c r="G1806" s="1">
        <v>9</v>
      </c>
      <c r="H1806" s="1">
        <v>0</v>
      </c>
      <c r="I1806" s="1">
        <v>3</v>
      </c>
      <c r="J1806" s="1">
        <v>1</v>
      </c>
    </row>
    <row r="1807" spans="1:10" x14ac:dyDescent="0.2">
      <c r="A1807" s="1">
        <v>1144</v>
      </c>
      <c r="B1807" s="1">
        <v>0</v>
      </c>
      <c r="C1807" s="1">
        <v>19</v>
      </c>
      <c r="D1807" s="1">
        <v>3</v>
      </c>
      <c r="E1807" s="1">
        <v>1</v>
      </c>
      <c r="F1807" s="1">
        <v>3</v>
      </c>
      <c r="G1807" s="1">
        <v>9</v>
      </c>
      <c r="H1807" s="1">
        <v>1</v>
      </c>
      <c r="I1807" s="1">
        <v>2</v>
      </c>
      <c r="J1807" s="1">
        <v>1</v>
      </c>
    </row>
    <row r="1808" spans="1:10" x14ac:dyDescent="0.2">
      <c r="A1808" s="1">
        <v>1737</v>
      </c>
      <c r="B1808" s="1">
        <v>0</v>
      </c>
      <c r="C1808" s="1">
        <v>6</v>
      </c>
      <c r="D1808" s="1">
        <v>1</v>
      </c>
      <c r="E1808" s="1">
        <v>2</v>
      </c>
      <c r="F1808" s="1">
        <v>3</v>
      </c>
      <c r="G1808" s="1">
        <v>9</v>
      </c>
      <c r="H1808" s="1">
        <v>0</v>
      </c>
      <c r="I1808" s="1">
        <v>1</v>
      </c>
      <c r="J1808" s="1">
        <v>1</v>
      </c>
    </row>
    <row r="1809" spans="1:10" x14ac:dyDescent="0.2">
      <c r="A1809" s="1">
        <v>1956</v>
      </c>
      <c r="B1809" s="1">
        <v>0</v>
      </c>
      <c r="C1809" s="1">
        <v>7</v>
      </c>
      <c r="D1809" s="1">
        <v>5</v>
      </c>
      <c r="E1809" s="1">
        <v>2</v>
      </c>
      <c r="F1809" s="1">
        <v>3</v>
      </c>
      <c r="G1809" s="1">
        <v>9</v>
      </c>
      <c r="H1809" s="1">
        <v>0</v>
      </c>
      <c r="I1809" s="1">
        <v>2</v>
      </c>
      <c r="J1809" s="1">
        <v>1</v>
      </c>
    </row>
    <row r="1810" spans="1:10" x14ac:dyDescent="0.2">
      <c r="A1810" s="1">
        <v>2062</v>
      </c>
      <c r="B1810" s="1">
        <v>0</v>
      </c>
      <c r="C1810" s="1">
        <v>11</v>
      </c>
      <c r="D1810" s="1">
        <v>3</v>
      </c>
      <c r="E1810" s="1">
        <v>2</v>
      </c>
      <c r="F1810" s="1">
        <v>3</v>
      </c>
      <c r="G1810" s="1">
        <v>9</v>
      </c>
      <c r="H1810" s="1">
        <v>0</v>
      </c>
      <c r="I1810" s="1">
        <v>2</v>
      </c>
      <c r="J1810" s="1">
        <v>1</v>
      </c>
    </row>
    <row r="1811" spans="1:10" x14ac:dyDescent="0.2">
      <c r="A1811" s="1">
        <v>796</v>
      </c>
      <c r="B1811" s="1">
        <v>0</v>
      </c>
      <c r="C1811" s="1">
        <v>14</v>
      </c>
      <c r="D1811" s="1">
        <v>5</v>
      </c>
      <c r="E1811" s="1">
        <v>2</v>
      </c>
      <c r="F1811" s="1">
        <v>3</v>
      </c>
      <c r="G1811" s="1">
        <v>9</v>
      </c>
      <c r="H1811" s="1">
        <v>1</v>
      </c>
      <c r="I1811" s="1">
        <v>2</v>
      </c>
      <c r="J1811" s="1">
        <v>1</v>
      </c>
    </row>
    <row r="1812" spans="1:10" x14ac:dyDescent="0.2">
      <c r="A1812" s="1">
        <v>723</v>
      </c>
      <c r="B1812" s="1">
        <v>0</v>
      </c>
      <c r="C1812" s="1">
        <v>19</v>
      </c>
      <c r="D1812" s="1">
        <v>4</v>
      </c>
      <c r="E1812" s="1">
        <v>2</v>
      </c>
      <c r="F1812" s="1">
        <v>3</v>
      </c>
      <c r="G1812" s="1">
        <v>9</v>
      </c>
      <c r="H1812" s="1">
        <v>1</v>
      </c>
      <c r="I1812" s="1">
        <v>0</v>
      </c>
      <c r="J1812" s="1">
        <v>1</v>
      </c>
    </row>
    <row r="1813" spans="1:10" x14ac:dyDescent="0.2">
      <c r="A1813" s="1">
        <v>2259</v>
      </c>
      <c r="B1813" s="1">
        <v>0</v>
      </c>
      <c r="C1813" s="1">
        <v>18</v>
      </c>
      <c r="D1813" s="1">
        <v>5</v>
      </c>
      <c r="E1813" s="1">
        <v>3</v>
      </c>
      <c r="F1813" s="1">
        <v>3</v>
      </c>
      <c r="G1813" s="1">
        <v>9</v>
      </c>
      <c r="H1813" s="1">
        <v>0</v>
      </c>
      <c r="I1813" s="1">
        <v>1</v>
      </c>
      <c r="J1813" s="1">
        <v>1</v>
      </c>
    </row>
    <row r="1814" spans="1:10" x14ac:dyDescent="0.2">
      <c r="A1814" s="1">
        <v>2479</v>
      </c>
      <c r="B1814" s="1">
        <v>0</v>
      </c>
      <c r="C1814" s="1">
        <v>19</v>
      </c>
      <c r="D1814" s="1">
        <v>5</v>
      </c>
      <c r="E1814" s="1">
        <v>3</v>
      </c>
      <c r="F1814" s="1">
        <v>3</v>
      </c>
      <c r="G1814" s="1">
        <v>9</v>
      </c>
      <c r="H1814" s="1">
        <v>1</v>
      </c>
      <c r="I1814" s="1">
        <v>0</v>
      </c>
      <c r="J1814" s="1">
        <v>1</v>
      </c>
    </row>
    <row r="1815" spans="1:10" x14ac:dyDescent="0.2">
      <c r="A1815" s="1">
        <v>1788</v>
      </c>
      <c r="B1815" s="1">
        <v>0</v>
      </c>
      <c r="C1815" s="1">
        <v>18</v>
      </c>
      <c r="D1815" s="1">
        <v>4</v>
      </c>
      <c r="E1815" s="1">
        <v>1</v>
      </c>
      <c r="F1815" s="1">
        <v>4</v>
      </c>
      <c r="G1815" s="1">
        <v>9</v>
      </c>
      <c r="H1815" s="1">
        <v>0</v>
      </c>
      <c r="I1815" s="1">
        <v>1</v>
      </c>
      <c r="J1815" s="1">
        <v>1</v>
      </c>
    </row>
    <row r="1816" spans="1:10" x14ac:dyDescent="0.2">
      <c r="A1816" s="1">
        <v>2277</v>
      </c>
      <c r="B1816" s="1">
        <v>0</v>
      </c>
      <c r="C1816" s="1">
        <v>19</v>
      </c>
      <c r="D1816" s="1">
        <v>5</v>
      </c>
      <c r="E1816" s="1">
        <v>1</v>
      </c>
      <c r="F1816" s="1">
        <v>4</v>
      </c>
      <c r="G1816" s="1">
        <v>9</v>
      </c>
      <c r="H1816" s="1">
        <v>0</v>
      </c>
      <c r="I1816" s="1">
        <v>2</v>
      </c>
      <c r="J1816" s="1">
        <v>1</v>
      </c>
    </row>
    <row r="1817" spans="1:10" x14ac:dyDescent="0.2">
      <c r="A1817" s="1">
        <v>2362</v>
      </c>
      <c r="B1817" s="1">
        <v>0</v>
      </c>
      <c r="C1817" s="1">
        <v>20</v>
      </c>
      <c r="D1817" s="1">
        <v>4</v>
      </c>
      <c r="E1817" s="1">
        <v>1</v>
      </c>
      <c r="F1817" s="1">
        <v>4</v>
      </c>
      <c r="G1817" s="1">
        <v>9</v>
      </c>
      <c r="H1817" s="1">
        <v>0</v>
      </c>
      <c r="I1817" s="1">
        <v>1</v>
      </c>
      <c r="J1817" s="1">
        <v>1</v>
      </c>
    </row>
    <row r="1818" spans="1:10" x14ac:dyDescent="0.2">
      <c r="A1818" s="1">
        <v>206</v>
      </c>
      <c r="B1818" s="1">
        <v>0</v>
      </c>
      <c r="C1818" s="1">
        <v>13</v>
      </c>
      <c r="D1818" s="1">
        <v>2</v>
      </c>
      <c r="E1818" s="1">
        <v>2</v>
      </c>
      <c r="F1818" s="1">
        <v>4</v>
      </c>
      <c r="G1818" s="1">
        <v>9</v>
      </c>
      <c r="H1818" s="1">
        <v>1</v>
      </c>
      <c r="I1818" s="1">
        <v>0</v>
      </c>
      <c r="J1818" s="1">
        <v>1</v>
      </c>
    </row>
    <row r="1819" spans="1:10" x14ac:dyDescent="0.2">
      <c r="A1819" s="1">
        <v>732</v>
      </c>
      <c r="B1819" s="1">
        <v>0</v>
      </c>
      <c r="C1819" s="1">
        <v>15</v>
      </c>
      <c r="D1819" s="1">
        <v>4</v>
      </c>
      <c r="E1819" s="1">
        <v>2</v>
      </c>
      <c r="F1819" s="1">
        <v>4</v>
      </c>
      <c r="G1819" s="1">
        <v>9</v>
      </c>
      <c r="H1819" s="1">
        <v>1</v>
      </c>
      <c r="I1819" s="1">
        <v>1</v>
      </c>
      <c r="J1819" s="1">
        <v>1</v>
      </c>
    </row>
    <row r="1820" spans="1:10" x14ac:dyDescent="0.2">
      <c r="A1820" s="1">
        <v>2369</v>
      </c>
      <c r="B1820" s="1">
        <v>0</v>
      </c>
      <c r="C1820" s="1">
        <v>18</v>
      </c>
      <c r="D1820" s="1">
        <v>5</v>
      </c>
      <c r="E1820" s="1">
        <v>2</v>
      </c>
      <c r="F1820" s="1">
        <v>4</v>
      </c>
      <c r="G1820" s="1">
        <v>9</v>
      </c>
      <c r="H1820" s="1">
        <v>1</v>
      </c>
      <c r="I1820" s="1">
        <v>0</v>
      </c>
      <c r="J1820" s="1">
        <v>1</v>
      </c>
    </row>
    <row r="1821" spans="1:10" x14ac:dyDescent="0.2">
      <c r="A1821" s="1">
        <v>287</v>
      </c>
      <c r="B1821" s="1">
        <v>0</v>
      </c>
      <c r="C1821" s="1">
        <v>5</v>
      </c>
      <c r="D1821" s="1">
        <v>1</v>
      </c>
      <c r="E1821" s="1">
        <v>3</v>
      </c>
      <c r="F1821" s="1">
        <v>4</v>
      </c>
      <c r="G1821" s="1">
        <v>9</v>
      </c>
      <c r="H1821" s="1">
        <v>1</v>
      </c>
      <c r="I1821" s="1">
        <v>2</v>
      </c>
      <c r="J1821" s="1">
        <v>1</v>
      </c>
    </row>
    <row r="1822" spans="1:10" x14ac:dyDescent="0.2">
      <c r="A1822" s="1">
        <v>1104</v>
      </c>
      <c r="B1822" s="1">
        <v>0</v>
      </c>
      <c r="C1822" s="1">
        <v>12</v>
      </c>
      <c r="D1822" s="1">
        <v>5</v>
      </c>
      <c r="E1822" s="1">
        <v>1</v>
      </c>
      <c r="F1822" s="1">
        <v>5</v>
      </c>
      <c r="G1822" s="1">
        <v>9</v>
      </c>
      <c r="H1822" s="1">
        <v>1</v>
      </c>
      <c r="I1822" s="1">
        <v>0</v>
      </c>
      <c r="J1822" s="1">
        <v>1</v>
      </c>
    </row>
    <row r="1823" spans="1:10" x14ac:dyDescent="0.2">
      <c r="A1823" s="1">
        <v>1203</v>
      </c>
      <c r="B1823" s="1">
        <v>0</v>
      </c>
      <c r="C1823" s="1">
        <v>15</v>
      </c>
      <c r="D1823" s="1">
        <v>2</v>
      </c>
      <c r="E1823" s="1">
        <v>1</v>
      </c>
      <c r="F1823" s="1">
        <v>5</v>
      </c>
      <c r="G1823" s="1">
        <v>9</v>
      </c>
      <c r="H1823" s="1">
        <v>0</v>
      </c>
      <c r="I1823" s="1">
        <v>0</v>
      </c>
      <c r="J1823" s="1">
        <v>1</v>
      </c>
    </row>
    <row r="1824" spans="1:10" x14ac:dyDescent="0.2">
      <c r="A1824" s="1">
        <v>2404</v>
      </c>
      <c r="B1824" s="1">
        <v>0</v>
      </c>
      <c r="C1824" s="1">
        <v>7</v>
      </c>
      <c r="D1824" s="1">
        <v>3</v>
      </c>
      <c r="E1824" s="1">
        <v>2</v>
      </c>
      <c r="F1824" s="1">
        <v>5</v>
      </c>
      <c r="G1824" s="1">
        <v>9</v>
      </c>
      <c r="H1824" s="1">
        <v>1</v>
      </c>
      <c r="I1824" s="1">
        <v>2</v>
      </c>
      <c r="J1824" s="1">
        <v>1</v>
      </c>
    </row>
    <row r="1825" spans="1:10" x14ac:dyDescent="0.2">
      <c r="A1825" s="1">
        <v>221</v>
      </c>
      <c r="B1825" s="1">
        <v>0</v>
      </c>
      <c r="C1825" s="1">
        <v>8</v>
      </c>
      <c r="D1825" s="1">
        <v>5</v>
      </c>
      <c r="E1825" s="1">
        <v>2</v>
      </c>
      <c r="F1825" s="1">
        <v>5</v>
      </c>
      <c r="G1825" s="1">
        <v>9</v>
      </c>
      <c r="H1825" s="1">
        <v>0</v>
      </c>
      <c r="I1825" s="1">
        <v>2</v>
      </c>
      <c r="J1825" s="1">
        <v>1</v>
      </c>
    </row>
    <row r="1826" spans="1:10" x14ac:dyDescent="0.2">
      <c r="A1826" s="1">
        <v>1787</v>
      </c>
      <c r="B1826" s="1">
        <v>0</v>
      </c>
      <c r="C1826" s="1">
        <v>15</v>
      </c>
      <c r="D1826" s="1">
        <v>1</v>
      </c>
      <c r="E1826" s="1">
        <v>2</v>
      </c>
      <c r="F1826" s="1">
        <v>5</v>
      </c>
      <c r="G1826" s="1">
        <v>9</v>
      </c>
      <c r="H1826" s="1">
        <v>0</v>
      </c>
      <c r="I1826" s="1">
        <v>0</v>
      </c>
      <c r="J1826" s="1">
        <v>1</v>
      </c>
    </row>
    <row r="1827" spans="1:10" x14ac:dyDescent="0.2">
      <c r="A1827" s="1">
        <v>758</v>
      </c>
      <c r="B1827" s="1">
        <v>0</v>
      </c>
      <c r="C1827" s="1">
        <v>17</v>
      </c>
      <c r="D1827" s="1">
        <v>3</v>
      </c>
      <c r="E1827" s="1">
        <v>2</v>
      </c>
      <c r="F1827" s="1">
        <v>5</v>
      </c>
      <c r="G1827" s="1">
        <v>9</v>
      </c>
      <c r="H1827" s="1">
        <v>0</v>
      </c>
      <c r="I1827" s="1">
        <v>0</v>
      </c>
      <c r="J1827" s="1">
        <v>1</v>
      </c>
    </row>
    <row r="1828" spans="1:10" x14ac:dyDescent="0.2">
      <c r="A1828" s="1">
        <v>460</v>
      </c>
      <c r="B1828" s="1">
        <v>0</v>
      </c>
      <c r="C1828" s="1">
        <v>5</v>
      </c>
      <c r="D1828" s="1">
        <v>5</v>
      </c>
      <c r="E1828" s="1">
        <v>3</v>
      </c>
      <c r="F1828" s="1">
        <v>5</v>
      </c>
      <c r="G1828" s="1">
        <v>9</v>
      </c>
      <c r="H1828" s="1">
        <v>0</v>
      </c>
      <c r="I1828" s="1">
        <v>0</v>
      </c>
      <c r="J1828" s="1">
        <v>1</v>
      </c>
    </row>
    <row r="1829" spans="1:10" x14ac:dyDescent="0.2">
      <c r="A1829" s="1">
        <v>1546</v>
      </c>
      <c r="B1829" s="1">
        <v>0</v>
      </c>
      <c r="C1829" s="1">
        <v>7</v>
      </c>
      <c r="D1829" s="1">
        <v>4</v>
      </c>
      <c r="E1829" s="1">
        <v>3</v>
      </c>
      <c r="F1829" s="1">
        <v>5</v>
      </c>
      <c r="G1829" s="1">
        <v>9</v>
      </c>
      <c r="H1829" s="1">
        <v>0</v>
      </c>
      <c r="I1829" s="1">
        <v>0</v>
      </c>
      <c r="J1829" s="1">
        <v>1</v>
      </c>
    </row>
    <row r="1830" spans="1:10" x14ac:dyDescent="0.2">
      <c r="A1830" s="1">
        <v>1044</v>
      </c>
      <c r="B1830" s="1">
        <v>0</v>
      </c>
      <c r="C1830" s="1">
        <v>13</v>
      </c>
      <c r="D1830" s="1">
        <v>2</v>
      </c>
      <c r="E1830" s="1">
        <v>3</v>
      </c>
      <c r="F1830" s="1">
        <v>5</v>
      </c>
      <c r="G1830" s="1">
        <v>9</v>
      </c>
      <c r="H1830" s="1">
        <v>1</v>
      </c>
      <c r="I1830" s="1">
        <v>2</v>
      </c>
      <c r="J1830" s="1">
        <v>1</v>
      </c>
    </row>
    <row r="1831" spans="1:10" x14ac:dyDescent="0.2">
      <c r="A1831" s="1">
        <v>1443</v>
      </c>
      <c r="B1831" s="1">
        <v>0</v>
      </c>
      <c r="C1831" s="1">
        <v>19</v>
      </c>
      <c r="D1831" s="1">
        <v>3</v>
      </c>
      <c r="E1831" s="1">
        <v>1</v>
      </c>
      <c r="F1831" s="1">
        <v>6</v>
      </c>
      <c r="G1831" s="1">
        <v>9</v>
      </c>
      <c r="H1831" s="1">
        <v>1</v>
      </c>
      <c r="I1831" s="1">
        <v>1</v>
      </c>
      <c r="J1831" s="1">
        <v>1</v>
      </c>
    </row>
    <row r="1832" spans="1:10" x14ac:dyDescent="0.2">
      <c r="A1832" s="1">
        <v>1843</v>
      </c>
      <c r="B1832" s="1">
        <v>0</v>
      </c>
      <c r="C1832" s="1">
        <v>5</v>
      </c>
      <c r="D1832" s="1">
        <v>5</v>
      </c>
      <c r="E1832" s="1">
        <v>3</v>
      </c>
      <c r="F1832" s="1">
        <v>6</v>
      </c>
      <c r="G1832" s="1">
        <v>9</v>
      </c>
      <c r="H1832" s="1">
        <v>1</v>
      </c>
      <c r="I1832" s="1">
        <v>2</v>
      </c>
      <c r="J1832" s="1">
        <v>1</v>
      </c>
    </row>
    <row r="1833" spans="1:10" x14ac:dyDescent="0.2">
      <c r="A1833" s="1">
        <v>936</v>
      </c>
      <c r="B1833" s="1">
        <v>0</v>
      </c>
      <c r="C1833" s="1">
        <v>12</v>
      </c>
      <c r="D1833" s="1">
        <v>2</v>
      </c>
      <c r="E1833" s="1">
        <v>3</v>
      </c>
      <c r="F1833" s="1">
        <v>6</v>
      </c>
      <c r="G1833" s="1">
        <v>9</v>
      </c>
      <c r="H1833" s="1">
        <v>1</v>
      </c>
      <c r="I1833" s="1">
        <v>1</v>
      </c>
      <c r="J1833" s="1">
        <v>1</v>
      </c>
    </row>
    <row r="1834" spans="1:10" x14ac:dyDescent="0.2">
      <c r="A1834" s="1">
        <v>886</v>
      </c>
      <c r="B1834" s="1">
        <v>0</v>
      </c>
      <c r="C1834" s="1">
        <v>15</v>
      </c>
      <c r="D1834" s="1">
        <v>2</v>
      </c>
      <c r="E1834" s="1">
        <v>1</v>
      </c>
      <c r="F1834" s="1">
        <v>7</v>
      </c>
      <c r="G1834" s="1">
        <v>9</v>
      </c>
      <c r="H1834" s="1">
        <v>1</v>
      </c>
      <c r="I1834" s="1">
        <v>1</v>
      </c>
      <c r="J1834" s="1">
        <v>1</v>
      </c>
    </row>
    <row r="1835" spans="1:10" x14ac:dyDescent="0.2">
      <c r="A1835" s="1">
        <v>909</v>
      </c>
      <c r="B1835" s="1">
        <v>0</v>
      </c>
      <c r="C1835" s="1">
        <v>17</v>
      </c>
      <c r="D1835" s="1">
        <v>4</v>
      </c>
      <c r="E1835" s="1">
        <v>2</v>
      </c>
      <c r="F1835" s="1">
        <v>7</v>
      </c>
      <c r="G1835" s="1">
        <v>9</v>
      </c>
      <c r="H1835" s="1">
        <v>0</v>
      </c>
      <c r="I1835" s="1">
        <v>3</v>
      </c>
      <c r="J1835" s="1">
        <v>1</v>
      </c>
    </row>
    <row r="1836" spans="1:10" x14ac:dyDescent="0.2">
      <c r="A1836" s="1">
        <v>497</v>
      </c>
      <c r="B1836" s="1">
        <v>0</v>
      </c>
      <c r="C1836" s="1">
        <v>8</v>
      </c>
      <c r="D1836" s="1">
        <v>2</v>
      </c>
      <c r="E1836" s="1">
        <v>3</v>
      </c>
      <c r="F1836" s="1">
        <v>7</v>
      </c>
      <c r="G1836" s="1">
        <v>9</v>
      </c>
      <c r="H1836" s="1">
        <v>1</v>
      </c>
      <c r="I1836" s="1">
        <v>2</v>
      </c>
      <c r="J1836" s="1">
        <v>1</v>
      </c>
    </row>
    <row r="1837" spans="1:10" x14ac:dyDescent="0.2">
      <c r="A1837" s="1">
        <v>1499</v>
      </c>
      <c r="B1837" s="1">
        <v>0</v>
      </c>
      <c r="C1837" s="1">
        <v>8</v>
      </c>
      <c r="D1837" s="1">
        <v>3</v>
      </c>
      <c r="E1837" s="1">
        <v>3</v>
      </c>
      <c r="F1837" s="1">
        <v>7</v>
      </c>
      <c r="G1837" s="1">
        <v>9</v>
      </c>
      <c r="H1837" s="1">
        <v>0</v>
      </c>
      <c r="I1837" s="1">
        <v>0</v>
      </c>
      <c r="J1837" s="1">
        <v>1</v>
      </c>
    </row>
    <row r="1838" spans="1:10" x14ac:dyDescent="0.2">
      <c r="A1838" s="1">
        <v>328</v>
      </c>
      <c r="B1838" s="1">
        <v>0</v>
      </c>
      <c r="C1838" s="1">
        <v>10</v>
      </c>
      <c r="D1838" s="1">
        <v>5</v>
      </c>
      <c r="E1838" s="1">
        <v>3</v>
      </c>
      <c r="F1838" s="1">
        <v>7</v>
      </c>
      <c r="G1838" s="1">
        <v>9</v>
      </c>
      <c r="H1838" s="1">
        <v>1</v>
      </c>
      <c r="I1838" s="1">
        <v>1</v>
      </c>
      <c r="J1838" s="1">
        <v>1</v>
      </c>
    </row>
    <row r="1839" spans="1:10" x14ac:dyDescent="0.2">
      <c r="A1839" s="1">
        <v>1285</v>
      </c>
      <c r="B1839" s="1">
        <v>0</v>
      </c>
      <c r="C1839" s="1">
        <v>14</v>
      </c>
      <c r="D1839" s="1">
        <v>2</v>
      </c>
      <c r="E1839" s="1">
        <v>3</v>
      </c>
      <c r="F1839" s="1">
        <v>7</v>
      </c>
      <c r="G1839" s="1">
        <v>9</v>
      </c>
      <c r="H1839" s="1">
        <v>0</v>
      </c>
      <c r="I1839" s="1">
        <v>1</v>
      </c>
      <c r="J1839" s="1">
        <v>1</v>
      </c>
    </row>
    <row r="1840" spans="1:10" x14ac:dyDescent="0.2">
      <c r="A1840" s="1">
        <v>2403</v>
      </c>
      <c r="B1840" s="1">
        <v>0</v>
      </c>
      <c r="C1840" s="1">
        <v>9</v>
      </c>
      <c r="D1840" s="1">
        <v>5</v>
      </c>
      <c r="E1840" s="1">
        <v>2</v>
      </c>
      <c r="F1840" s="1">
        <v>8</v>
      </c>
      <c r="G1840" s="1">
        <v>9</v>
      </c>
      <c r="H1840" s="1">
        <v>1</v>
      </c>
      <c r="I1840" s="1">
        <v>2</v>
      </c>
      <c r="J1840" s="1">
        <v>1</v>
      </c>
    </row>
    <row r="1841" spans="1:10" x14ac:dyDescent="0.2">
      <c r="A1841" s="1">
        <v>1493</v>
      </c>
      <c r="B1841" s="1">
        <v>0</v>
      </c>
      <c r="C1841" s="1">
        <v>11</v>
      </c>
      <c r="D1841" s="1">
        <v>2</v>
      </c>
      <c r="E1841" s="1">
        <v>3</v>
      </c>
      <c r="F1841" s="1">
        <v>8</v>
      </c>
      <c r="G1841" s="1">
        <v>9</v>
      </c>
      <c r="H1841" s="1">
        <v>0</v>
      </c>
      <c r="I1841" s="1">
        <v>2</v>
      </c>
      <c r="J1841" s="1">
        <v>1</v>
      </c>
    </row>
    <row r="1842" spans="1:10" x14ac:dyDescent="0.2">
      <c r="A1842" s="1">
        <v>830</v>
      </c>
      <c r="B1842" s="1">
        <v>0</v>
      </c>
      <c r="C1842" s="1">
        <v>5</v>
      </c>
      <c r="D1842" s="1">
        <v>4</v>
      </c>
      <c r="E1842" s="1">
        <v>1</v>
      </c>
      <c r="F1842" s="1">
        <v>9</v>
      </c>
      <c r="G1842" s="1">
        <v>9</v>
      </c>
      <c r="H1842" s="1">
        <v>0</v>
      </c>
      <c r="I1842" s="1">
        <v>1</v>
      </c>
      <c r="J1842" s="1">
        <v>1</v>
      </c>
    </row>
    <row r="1843" spans="1:10" x14ac:dyDescent="0.2">
      <c r="A1843" s="1">
        <v>769</v>
      </c>
      <c r="B1843" s="1">
        <v>0</v>
      </c>
      <c r="C1843" s="1">
        <v>8</v>
      </c>
      <c r="D1843" s="1">
        <v>2</v>
      </c>
      <c r="E1843" s="1">
        <v>3</v>
      </c>
      <c r="F1843" s="1">
        <v>9</v>
      </c>
      <c r="G1843" s="1">
        <v>9</v>
      </c>
      <c r="H1843" s="1">
        <v>1</v>
      </c>
      <c r="I1843" s="1">
        <v>1</v>
      </c>
      <c r="J1843" s="1">
        <v>1</v>
      </c>
    </row>
    <row r="1844" spans="1:10" x14ac:dyDescent="0.2">
      <c r="A1844" s="1">
        <v>587</v>
      </c>
      <c r="B1844" s="1">
        <v>0</v>
      </c>
      <c r="C1844" s="1">
        <v>5</v>
      </c>
      <c r="D1844" s="1">
        <v>5</v>
      </c>
      <c r="E1844" s="1">
        <v>2</v>
      </c>
      <c r="F1844" s="1">
        <v>10</v>
      </c>
      <c r="G1844" s="1">
        <v>9</v>
      </c>
      <c r="H1844" s="1">
        <v>1</v>
      </c>
      <c r="I1844" s="1">
        <v>3</v>
      </c>
      <c r="J1844" s="1">
        <v>1</v>
      </c>
    </row>
    <row r="1845" spans="1:10" x14ac:dyDescent="0.2">
      <c r="A1845" s="1">
        <v>2425</v>
      </c>
      <c r="B1845" s="1">
        <v>0</v>
      </c>
      <c r="C1845" s="1">
        <v>19</v>
      </c>
      <c r="D1845" s="1">
        <v>4</v>
      </c>
      <c r="E1845" s="1">
        <v>3</v>
      </c>
      <c r="F1845" s="1">
        <v>10</v>
      </c>
      <c r="G1845" s="1">
        <v>9</v>
      </c>
      <c r="H1845" s="1">
        <v>0</v>
      </c>
      <c r="I1845" s="1">
        <v>1</v>
      </c>
      <c r="J1845" s="1">
        <v>1</v>
      </c>
    </row>
    <row r="1846" spans="1:10" x14ac:dyDescent="0.2">
      <c r="A1846" s="1">
        <v>604</v>
      </c>
      <c r="B1846" s="1">
        <v>0</v>
      </c>
      <c r="C1846" s="1">
        <v>5</v>
      </c>
      <c r="D1846" s="1">
        <v>1</v>
      </c>
      <c r="E1846" s="1">
        <v>3</v>
      </c>
      <c r="F1846" s="1">
        <v>1</v>
      </c>
      <c r="G1846" s="1">
        <v>9</v>
      </c>
      <c r="H1846" s="1">
        <v>1</v>
      </c>
      <c r="I1846" s="1">
        <v>3</v>
      </c>
      <c r="J1846" s="1">
        <v>2</v>
      </c>
    </row>
    <row r="1847" spans="1:10" x14ac:dyDescent="0.2">
      <c r="A1847" s="1">
        <v>216</v>
      </c>
      <c r="B1847" s="1">
        <v>0</v>
      </c>
      <c r="C1847" s="1">
        <v>15</v>
      </c>
      <c r="D1847" s="1">
        <v>4</v>
      </c>
      <c r="E1847" s="1">
        <v>3</v>
      </c>
      <c r="F1847" s="1">
        <v>1</v>
      </c>
      <c r="G1847" s="1">
        <v>9</v>
      </c>
      <c r="H1847" s="1">
        <v>1</v>
      </c>
      <c r="I1847" s="1">
        <v>2</v>
      </c>
      <c r="J1847" s="1">
        <v>2</v>
      </c>
    </row>
    <row r="1848" spans="1:10" x14ac:dyDescent="0.2">
      <c r="A1848" s="1">
        <v>854</v>
      </c>
      <c r="B1848" s="1">
        <v>0</v>
      </c>
      <c r="C1848" s="1">
        <v>6</v>
      </c>
      <c r="D1848" s="1">
        <v>1</v>
      </c>
      <c r="E1848" s="1">
        <v>1</v>
      </c>
      <c r="F1848" s="1">
        <v>2</v>
      </c>
      <c r="G1848" s="1">
        <v>9</v>
      </c>
      <c r="H1848" s="1">
        <v>1</v>
      </c>
      <c r="I1848" s="1">
        <v>3</v>
      </c>
      <c r="J1848" s="1">
        <v>2</v>
      </c>
    </row>
    <row r="1849" spans="1:10" x14ac:dyDescent="0.2">
      <c r="A1849" s="1">
        <v>387</v>
      </c>
      <c r="B1849" s="1">
        <v>0</v>
      </c>
      <c r="C1849" s="1">
        <v>9</v>
      </c>
      <c r="D1849" s="1">
        <v>4</v>
      </c>
      <c r="E1849" s="1">
        <v>1</v>
      </c>
      <c r="F1849" s="1">
        <v>2</v>
      </c>
      <c r="G1849" s="1">
        <v>9</v>
      </c>
      <c r="H1849" s="1">
        <v>1</v>
      </c>
      <c r="I1849" s="1">
        <v>2</v>
      </c>
      <c r="J1849" s="1">
        <v>2</v>
      </c>
    </row>
    <row r="1850" spans="1:10" x14ac:dyDescent="0.2">
      <c r="A1850" s="1">
        <v>71</v>
      </c>
      <c r="B1850" s="1">
        <v>0</v>
      </c>
      <c r="C1850" s="1">
        <v>12</v>
      </c>
      <c r="D1850" s="1">
        <v>5</v>
      </c>
      <c r="E1850" s="1">
        <v>1</v>
      </c>
      <c r="F1850" s="1">
        <v>2</v>
      </c>
      <c r="G1850" s="1">
        <v>9</v>
      </c>
      <c r="H1850" s="1">
        <v>0</v>
      </c>
      <c r="I1850" s="1">
        <v>3</v>
      </c>
      <c r="J1850" s="1">
        <v>2</v>
      </c>
    </row>
    <row r="1851" spans="1:10" x14ac:dyDescent="0.2">
      <c r="A1851" s="1">
        <v>1124</v>
      </c>
      <c r="B1851" s="1">
        <v>0</v>
      </c>
      <c r="C1851" s="1">
        <v>6</v>
      </c>
      <c r="D1851" s="1">
        <v>5</v>
      </c>
      <c r="E1851" s="1">
        <v>2</v>
      </c>
      <c r="F1851" s="1">
        <v>2</v>
      </c>
      <c r="G1851" s="1">
        <v>9</v>
      </c>
      <c r="H1851" s="1">
        <v>0</v>
      </c>
      <c r="I1851" s="1">
        <v>0</v>
      </c>
      <c r="J1851" s="1">
        <v>2</v>
      </c>
    </row>
    <row r="1852" spans="1:10" x14ac:dyDescent="0.2">
      <c r="A1852" s="1">
        <v>715</v>
      </c>
      <c r="B1852" s="1">
        <v>0</v>
      </c>
      <c r="C1852" s="1">
        <v>7</v>
      </c>
      <c r="D1852" s="1">
        <v>2</v>
      </c>
      <c r="E1852" s="1">
        <v>2</v>
      </c>
      <c r="F1852" s="1">
        <v>2</v>
      </c>
      <c r="G1852" s="1">
        <v>9</v>
      </c>
      <c r="H1852" s="1">
        <v>1</v>
      </c>
      <c r="I1852" s="1">
        <v>0</v>
      </c>
      <c r="J1852" s="1">
        <v>2</v>
      </c>
    </row>
    <row r="1853" spans="1:10" x14ac:dyDescent="0.2">
      <c r="A1853" s="1">
        <v>2211</v>
      </c>
      <c r="B1853" s="1">
        <v>0</v>
      </c>
      <c r="C1853" s="1">
        <v>7</v>
      </c>
      <c r="D1853" s="1">
        <v>2</v>
      </c>
      <c r="E1853" s="1">
        <v>2</v>
      </c>
      <c r="F1853" s="1">
        <v>2</v>
      </c>
      <c r="G1853" s="1">
        <v>9</v>
      </c>
      <c r="H1853" s="1">
        <v>1</v>
      </c>
      <c r="I1853" s="1">
        <v>1</v>
      </c>
      <c r="J1853" s="1">
        <v>2</v>
      </c>
    </row>
    <row r="1854" spans="1:10" x14ac:dyDescent="0.2">
      <c r="A1854" s="1">
        <v>1774</v>
      </c>
      <c r="B1854" s="1">
        <v>0</v>
      </c>
      <c r="C1854" s="1">
        <v>8</v>
      </c>
      <c r="D1854" s="1">
        <v>2</v>
      </c>
      <c r="E1854" s="1">
        <v>2</v>
      </c>
      <c r="F1854" s="1">
        <v>2</v>
      </c>
      <c r="G1854" s="1">
        <v>9</v>
      </c>
      <c r="H1854" s="1">
        <v>1</v>
      </c>
      <c r="I1854" s="1">
        <v>2</v>
      </c>
      <c r="J1854" s="1">
        <v>2</v>
      </c>
    </row>
    <row r="1855" spans="1:10" x14ac:dyDescent="0.2">
      <c r="A1855" s="1">
        <v>2148</v>
      </c>
      <c r="B1855" s="1">
        <v>0</v>
      </c>
      <c r="C1855" s="1">
        <v>12</v>
      </c>
      <c r="D1855" s="1">
        <v>1</v>
      </c>
      <c r="E1855" s="1">
        <v>2</v>
      </c>
      <c r="F1855" s="1">
        <v>2</v>
      </c>
      <c r="G1855" s="1">
        <v>9</v>
      </c>
      <c r="H1855" s="1">
        <v>1</v>
      </c>
      <c r="I1855" s="1">
        <v>1</v>
      </c>
      <c r="J1855" s="1">
        <v>2</v>
      </c>
    </row>
    <row r="1856" spans="1:10" x14ac:dyDescent="0.2">
      <c r="A1856" s="1">
        <v>240</v>
      </c>
      <c r="B1856" s="1">
        <v>0</v>
      </c>
      <c r="C1856" s="1">
        <v>16</v>
      </c>
      <c r="D1856" s="1">
        <v>5</v>
      </c>
      <c r="E1856" s="1">
        <v>2</v>
      </c>
      <c r="F1856" s="1">
        <v>2</v>
      </c>
      <c r="G1856" s="1">
        <v>9</v>
      </c>
      <c r="H1856" s="1">
        <v>0</v>
      </c>
      <c r="I1856" s="1">
        <v>1</v>
      </c>
      <c r="J1856" s="1">
        <v>2</v>
      </c>
    </row>
    <row r="1857" spans="1:10" x14ac:dyDescent="0.2">
      <c r="A1857" s="1">
        <v>1038</v>
      </c>
      <c r="B1857" s="1">
        <v>0</v>
      </c>
      <c r="C1857" s="1">
        <v>16</v>
      </c>
      <c r="D1857" s="1">
        <v>2</v>
      </c>
      <c r="E1857" s="1">
        <v>2</v>
      </c>
      <c r="F1857" s="1">
        <v>2</v>
      </c>
      <c r="G1857" s="1">
        <v>9</v>
      </c>
      <c r="H1857" s="1">
        <v>1</v>
      </c>
      <c r="I1857" s="1">
        <v>2</v>
      </c>
      <c r="J1857" s="1">
        <v>2</v>
      </c>
    </row>
    <row r="1858" spans="1:10" x14ac:dyDescent="0.2">
      <c r="A1858" s="1">
        <v>2008</v>
      </c>
      <c r="B1858" s="1">
        <v>0</v>
      </c>
      <c r="C1858" s="1">
        <v>7</v>
      </c>
      <c r="D1858" s="1">
        <v>3</v>
      </c>
      <c r="E1858" s="1">
        <v>3</v>
      </c>
      <c r="F1858" s="1">
        <v>2</v>
      </c>
      <c r="G1858" s="1">
        <v>9</v>
      </c>
      <c r="H1858" s="1">
        <v>0</v>
      </c>
      <c r="I1858" s="1">
        <v>1</v>
      </c>
      <c r="J1858" s="1">
        <v>2</v>
      </c>
    </row>
    <row r="1859" spans="1:10" x14ac:dyDescent="0.2">
      <c r="A1859" s="1">
        <v>753</v>
      </c>
      <c r="B1859" s="1">
        <v>0</v>
      </c>
      <c r="C1859" s="1">
        <v>8</v>
      </c>
      <c r="D1859" s="1">
        <v>5</v>
      </c>
      <c r="E1859" s="1">
        <v>3</v>
      </c>
      <c r="F1859" s="1">
        <v>2</v>
      </c>
      <c r="G1859" s="1">
        <v>9</v>
      </c>
      <c r="H1859" s="1">
        <v>1</v>
      </c>
      <c r="I1859" s="1">
        <v>3</v>
      </c>
      <c r="J1859" s="1">
        <v>2</v>
      </c>
    </row>
    <row r="1860" spans="1:10" x14ac:dyDescent="0.2">
      <c r="A1860" s="1">
        <v>2350</v>
      </c>
      <c r="B1860" s="1">
        <v>0</v>
      </c>
      <c r="C1860" s="1">
        <v>17</v>
      </c>
      <c r="D1860" s="1">
        <v>4</v>
      </c>
      <c r="E1860" s="1">
        <v>3</v>
      </c>
      <c r="F1860" s="1">
        <v>2</v>
      </c>
      <c r="G1860" s="1">
        <v>9</v>
      </c>
      <c r="H1860" s="1">
        <v>0</v>
      </c>
      <c r="I1860" s="1">
        <v>1</v>
      </c>
      <c r="J1860" s="1">
        <v>2</v>
      </c>
    </row>
    <row r="1861" spans="1:10" x14ac:dyDescent="0.2">
      <c r="A1861" s="1">
        <v>1265</v>
      </c>
      <c r="B1861" s="1">
        <v>0</v>
      </c>
      <c r="C1861" s="1">
        <v>20</v>
      </c>
      <c r="D1861" s="1">
        <v>5</v>
      </c>
      <c r="E1861" s="1">
        <v>3</v>
      </c>
      <c r="F1861" s="1">
        <v>2</v>
      </c>
      <c r="G1861" s="1">
        <v>9</v>
      </c>
      <c r="H1861" s="1">
        <v>0</v>
      </c>
      <c r="I1861" s="1">
        <v>2</v>
      </c>
      <c r="J1861" s="1">
        <v>2</v>
      </c>
    </row>
    <row r="1862" spans="1:10" x14ac:dyDescent="0.2">
      <c r="A1862" s="1">
        <v>798</v>
      </c>
      <c r="B1862" s="1">
        <v>0</v>
      </c>
      <c r="C1862" s="1">
        <v>5</v>
      </c>
      <c r="D1862" s="1">
        <v>2</v>
      </c>
      <c r="E1862" s="1">
        <v>1</v>
      </c>
      <c r="F1862" s="1">
        <v>3</v>
      </c>
      <c r="G1862" s="1">
        <v>9</v>
      </c>
      <c r="H1862" s="1">
        <v>1</v>
      </c>
      <c r="I1862" s="1">
        <v>3</v>
      </c>
      <c r="J1862" s="1">
        <v>2</v>
      </c>
    </row>
    <row r="1863" spans="1:10" x14ac:dyDescent="0.2">
      <c r="A1863" s="1">
        <v>6</v>
      </c>
      <c r="B1863" s="1">
        <v>0</v>
      </c>
      <c r="C1863" s="1">
        <v>8</v>
      </c>
      <c r="D1863" s="1">
        <v>1</v>
      </c>
      <c r="E1863" s="1">
        <v>1</v>
      </c>
      <c r="F1863" s="1">
        <v>3</v>
      </c>
      <c r="G1863" s="1">
        <v>9</v>
      </c>
      <c r="H1863" s="1">
        <v>0</v>
      </c>
      <c r="I1863" s="1">
        <v>1</v>
      </c>
      <c r="J1863" s="1">
        <v>2</v>
      </c>
    </row>
    <row r="1864" spans="1:10" x14ac:dyDescent="0.2">
      <c r="A1864" s="1">
        <v>1276</v>
      </c>
      <c r="B1864" s="1">
        <v>0</v>
      </c>
      <c r="C1864" s="1">
        <v>14</v>
      </c>
      <c r="D1864" s="1">
        <v>2</v>
      </c>
      <c r="E1864" s="1">
        <v>1</v>
      </c>
      <c r="F1864" s="1">
        <v>3</v>
      </c>
      <c r="G1864" s="1">
        <v>9</v>
      </c>
      <c r="H1864" s="1">
        <v>0</v>
      </c>
      <c r="I1864" s="1">
        <v>0</v>
      </c>
      <c r="J1864" s="1">
        <v>2</v>
      </c>
    </row>
    <row r="1865" spans="1:10" x14ac:dyDescent="0.2">
      <c r="A1865" s="1">
        <v>1259</v>
      </c>
      <c r="B1865" s="1">
        <v>0</v>
      </c>
      <c r="C1865" s="1">
        <v>17</v>
      </c>
      <c r="D1865" s="1">
        <v>3</v>
      </c>
      <c r="E1865" s="1">
        <v>2</v>
      </c>
      <c r="F1865" s="1">
        <v>3</v>
      </c>
      <c r="G1865" s="1">
        <v>9</v>
      </c>
      <c r="H1865" s="1">
        <v>1</v>
      </c>
      <c r="I1865" s="1">
        <v>1</v>
      </c>
      <c r="J1865" s="1">
        <v>2</v>
      </c>
    </row>
    <row r="1866" spans="1:10" x14ac:dyDescent="0.2">
      <c r="A1866" s="1">
        <v>2061</v>
      </c>
      <c r="B1866" s="1">
        <v>0</v>
      </c>
      <c r="C1866" s="1">
        <v>11</v>
      </c>
      <c r="D1866" s="1">
        <v>2</v>
      </c>
      <c r="E1866" s="1">
        <v>3</v>
      </c>
      <c r="F1866" s="1">
        <v>3</v>
      </c>
      <c r="G1866" s="1">
        <v>9</v>
      </c>
      <c r="H1866" s="1">
        <v>0</v>
      </c>
      <c r="I1866" s="1">
        <v>0</v>
      </c>
      <c r="J1866" s="1">
        <v>2</v>
      </c>
    </row>
    <row r="1867" spans="1:10" x14ac:dyDescent="0.2">
      <c r="A1867" s="1">
        <v>197</v>
      </c>
      <c r="B1867" s="1">
        <v>0</v>
      </c>
      <c r="C1867" s="1">
        <v>15</v>
      </c>
      <c r="D1867" s="1">
        <v>5</v>
      </c>
      <c r="E1867" s="1">
        <v>3</v>
      </c>
      <c r="F1867" s="1">
        <v>3</v>
      </c>
      <c r="G1867" s="1">
        <v>9</v>
      </c>
      <c r="H1867" s="1">
        <v>1</v>
      </c>
      <c r="I1867" s="1">
        <v>3</v>
      </c>
      <c r="J1867" s="1">
        <v>2</v>
      </c>
    </row>
    <row r="1868" spans="1:10" x14ac:dyDescent="0.2">
      <c r="A1868" s="1">
        <v>107</v>
      </c>
      <c r="B1868" s="1">
        <v>0</v>
      </c>
      <c r="C1868" s="1">
        <v>18</v>
      </c>
      <c r="D1868" s="1">
        <v>4</v>
      </c>
      <c r="E1868" s="1">
        <v>1</v>
      </c>
      <c r="F1868" s="1">
        <v>4</v>
      </c>
      <c r="G1868" s="1">
        <v>9</v>
      </c>
      <c r="H1868" s="1">
        <v>1</v>
      </c>
      <c r="I1868" s="1">
        <v>1</v>
      </c>
      <c r="J1868" s="1">
        <v>2</v>
      </c>
    </row>
    <row r="1869" spans="1:10" x14ac:dyDescent="0.2">
      <c r="A1869" s="1">
        <v>38</v>
      </c>
      <c r="B1869" s="1">
        <v>0</v>
      </c>
      <c r="C1869" s="1">
        <v>17</v>
      </c>
      <c r="D1869" s="1">
        <v>5</v>
      </c>
      <c r="E1869" s="1">
        <v>2</v>
      </c>
      <c r="F1869" s="1">
        <v>4</v>
      </c>
      <c r="G1869" s="1">
        <v>9</v>
      </c>
      <c r="H1869" s="1">
        <v>1</v>
      </c>
      <c r="I1869" s="1">
        <v>2</v>
      </c>
      <c r="J1869" s="1">
        <v>2</v>
      </c>
    </row>
    <row r="1870" spans="1:10" x14ac:dyDescent="0.2">
      <c r="A1870" s="1">
        <v>207</v>
      </c>
      <c r="B1870" s="1">
        <v>0</v>
      </c>
      <c r="C1870" s="1">
        <v>5</v>
      </c>
      <c r="D1870" s="1">
        <v>2</v>
      </c>
      <c r="E1870" s="1">
        <v>2</v>
      </c>
      <c r="F1870" s="1">
        <v>5</v>
      </c>
      <c r="G1870" s="1">
        <v>9</v>
      </c>
      <c r="H1870" s="1">
        <v>1</v>
      </c>
      <c r="I1870" s="1">
        <v>0</v>
      </c>
      <c r="J1870" s="1">
        <v>2</v>
      </c>
    </row>
    <row r="1871" spans="1:10" x14ac:dyDescent="0.2">
      <c r="A1871" s="1">
        <v>1458</v>
      </c>
      <c r="B1871" s="1">
        <v>0</v>
      </c>
      <c r="C1871" s="1">
        <v>14</v>
      </c>
      <c r="D1871" s="1">
        <v>2</v>
      </c>
      <c r="E1871" s="1">
        <v>2</v>
      </c>
      <c r="F1871" s="1">
        <v>5</v>
      </c>
      <c r="G1871" s="1">
        <v>9</v>
      </c>
      <c r="H1871" s="1">
        <v>1</v>
      </c>
      <c r="I1871" s="1">
        <v>1</v>
      </c>
      <c r="J1871" s="1">
        <v>2</v>
      </c>
    </row>
    <row r="1872" spans="1:10" x14ac:dyDescent="0.2">
      <c r="A1872" s="1">
        <v>812</v>
      </c>
      <c r="B1872" s="1">
        <v>0</v>
      </c>
      <c r="C1872" s="1">
        <v>16</v>
      </c>
      <c r="D1872" s="1">
        <v>4</v>
      </c>
      <c r="E1872" s="1">
        <v>2</v>
      </c>
      <c r="F1872" s="1">
        <v>5</v>
      </c>
      <c r="G1872" s="1">
        <v>9</v>
      </c>
      <c r="H1872" s="1">
        <v>1</v>
      </c>
      <c r="I1872" s="1">
        <v>3</v>
      </c>
      <c r="J1872" s="1">
        <v>2</v>
      </c>
    </row>
    <row r="1873" spans="1:10" x14ac:dyDescent="0.2">
      <c r="A1873" s="1">
        <v>1519</v>
      </c>
      <c r="B1873" s="1">
        <v>0</v>
      </c>
      <c r="C1873" s="1">
        <v>7</v>
      </c>
      <c r="D1873" s="1">
        <v>1</v>
      </c>
      <c r="E1873" s="1">
        <v>3</v>
      </c>
      <c r="F1873" s="1">
        <v>5</v>
      </c>
      <c r="G1873" s="1">
        <v>9</v>
      </c>
      <c r="H1873" s="1">
        <v>1</v>
      </c>
      <c r="I1873" s="1">
        <v>1</v>
      </c>
      <c r="J1873" s="1">
        <v>2</v>
      </c>
    </row>
    <row r="1874" spans="1:10" x14ac:dyDescent="0.2">
      <c r="A1874" s="1">
        <v>716</v>
      </c>
      <c r="B1874" s="1">
        <v>0</v>
      </c>
      <c r="C1874" s="1">
        <v>14</v>
      </c>
      <c r="D1874" s="1">
        <v>3</v>
      </c>
      <c r="E1874" s="1">
        <v>3</v>
      </c>
      <c r="F1874" s="1">
        <v>5</v>
      </c>
      <c r="G1874" s="1">
        <v>9</v>
      </c>
      <c r="H1874" s="1">
        <v>0</v>
      </c>
      <c r="I1874" s="1">
        <v>1</v>
      </c>
      <c r="J1874" s="1">
        <v>2</v>
      </c>
    </row>
    <row r="1875" spans="1:10" x14ac:dyDescent="0.2">
      <c r="A1875" s="1">
        <v>2026</v>
      </c>
      <c r="B1875" s="1">
        <v>0</v>
      </c>
      <c r="C1875" s="1">
        <v>18</v>
      </c>
      <c r="D1875" s="1">
        <v>3</v>
      </c>
      <c r="E1875" s="1">
        <v>3</v>
      </c>
      <c r="F1875" s="1">
        <v>5</v>
      </c>
      <c r="G1875" s="1">
        <v>9</v>
      </c>
      <c r="H1875" s="1">
        <v>1</v>
      </c>
      <c r="I1875" s="1">
        <v>3</v>
      </c>
      <c r="J1875" s="1">
        <v>2</v>
      </c>
    </row>
    <row r="1876" spans="1:10" x14ac:dyDescent="0.2">
      <c r="A1876" s="1">
        <v>231</v>
      </c>
      <c r="B1876" s="1">
        <v>0</v>
      </c>
      <c r="C1876" s="1">
        <v>20</v>
      </c>
      <c r="D1876" s="1">
        <v>1</v>
      </c>
      <c r="E1876" s="1">
        <v>3</v>
      </c>
      <c r="F1876" s="1">
        <v>5</v>
      </c>
      <c r="G1876" s="1">
        <v>9</v>
      </c>
      <c r="H1876" s="1">
        <v>1</v>
      </c>
      <c r="I1876" s="1">
        <v>3</v>
      </c>
      <c r="J1876" s="1">
        <v>2</v>
      </c>
    </row>
    <row r="1877" spans="1:10" x14ac:dyDescent="0.2">
      <c r="A1877" s="1">
        <v>1839</v>
      </c>
      <c r="B1877" s="1">
        <v>0</v>
      </c>
      <c r="C1877" s="1">
        <v>20</v>
      </c>
      <c r="D1877" s="1">
        <v>1</v>
      </c>
      <c r="E1877" s="1">
        <v>3</v>
      </c>
      <c r="F1877" s="1">
        <v>5</v>
      </c>
      <c r="G1877" s="1">
        <v>9</v>
      </c>
      <c r="H1877" s="1">
        <v>0</v>
      </c>
      <c r="I1877" s="1">
        <v>2</v>
      </c>
      <c r="J1877" s="1">
        <v>2</v>
      </c>
    </row>
    <row r="1878" spans="1:10" x14ac:dyDescent="0.2">
      <c r="A1878" s="1">
        <v>1222</v>
      </c>
      <c r="B1878" s="1">
        <v>0</v>
      </c>
      <c r="C1878" s="1">
        <v>6</v>
      </c>
      <c r="D1878" s="1">
        <v>3</v>
      </c>
      <c r="E1878" s="1">
        <v>2</v>
      </c>
      <c r="F1878" s="1">
        <v>6</v>
      </c>
      <c r="G1878" s="1">
        <v>9</v>
      </c>
      <c r="H1878" s="1">
        <v>0</v>
      </c>
      <c r="I1878" s="1">
        <v>1</v>
      </c>
      <c r="J1878" s="1">
        <v>2</v>
      </c>
    </row>
    <row r="1879" spans="1:10" x14ac:dyDescent="0.2">
      <c r="A1879" s="1">
        <v>946</v>
      </c>
      <c r="B1879" s="1">
        <v>0</v>
      </c>
      <c r="C1879" s="1">
        <v>12</v>
      </c>
      <c r="D1879" s="1">
        <v>1</v>
      </c>
      <c r="E1879" s="1">
        <v>3</v>
      </c>
      <c r="F1879" s="1">
        <v>6</v>
      </c>
      <c r="G1879" s="1">
        <v>9</v>
      </c>
      <c r="H1879" s="1">
        <v>1</v>
      </c>
      <c r="I1879" s="1">
        <v>0</v>
      </c>
      <c r="J1879" s="1">
        <v>2</v>
      </c>
    </row>
    <row r="1880" spans="1:10" x14ac:dyDescent="0.2">
      <c r="A1880" s="1">
        <v>2205</v>
      </c>
      <c r="B1880" s="1">
        <v>0</v>
      </c>
      <c r="C1880" s="1">
        <v>15</v>
      </c>
      <c r="D1880" s="1">
        <v>3</v>
      </c>
      <c r="E1880" s="1">
        <v>3</v>
      </c>
      <c r="F1880" s="1">
        <v>6</v>
      </c>
      <c r="G1880" s="1">
        <v>9</v>
      </c>
      <c r="H1880" s="1">
        <v>0</v>
      </c>
      <c r="I1880" s="1">
        <v>2</v>
      </c>
      <c r="J1880" s="1">
        <v>2</v>
      </c>
    </row>
    <row r="1881" spans="1:10" x14ac:dyDescent="0.2">
      <c r="A1881" s="1">
        <v>2476</v>
      </c>
      <c r="B1881" s="1">
        <v>0</v>
      </c>
      <c r="C1881" s="1">
        <v>19</v>
      </c>
      <c r="D1881" s="1">
        <v>2</v>
      </c>
      <c r="E1881" s="1">
        <v>3</v>
      </c>
      <c r="F1881" s="1">
        <v>6</v>
      </c>
      <c r="G1881" s="1">
        <v>9</v>
      </c>
      <c r="H1881" s="1">
        <v>0</v>
      </c>
      <c r="I1881" s="1">
        <v>3</v>
      </c>
      <c r="J1881" s="1">
        <v>2</v>
      </c>
    </row>
    <row r="1882" spans="1:10" x14ac:dyDescent="0.2">
      <c r="A1882" s="1">
        <v>1916</v>
      </c>
      <c r="B1882" s="1">
        <v>0</v>
      </c>
      <c r="C1882" s="1">
        <v>11</v>
      </c>
      <c r="D1882" s="1">
        <v>3</v>
      </c>
      <c r="E1882" s="1">
        <v>2</v>
      </c>
      <c r="F1882" s="1">
        <v>7</v>
      </c>
      <c r="G1882" s="1">
        <v>9</v>
      </c>
      <c r="H1882" s="1">
        <v>0</v>
      </c>
      <c r="I1882" s="1">
        <v>0</v>
      </c>
      <c r="J1882" s="1">
        <v>2</v>
      </c>
    </row>
    <row r="1883" spans="1:10" x14ac:dyDescent="0.2">
      <c r="A1883" s="1">
        <v>921</v>
      </c>
      <c r="B1883" s="1">
        <v>0</v>
      </c>
      <c r="C1883" s="1">
        <v>11</v>
      </c>
      <c r="D1883" s="1">
        <v>3</v>
      </c>
      <c r="E1883" s="1">
        <v>3</v>
      </c>
      <c r="F1883" s="1">
        <v>7</v>
      </c>
      <c r="G1883" s="1">
        <v>9</v>
      </c>
      <c r="H1883" s="1">
        <v>0</v>
      </c>
      <c r="I1883" s="1">
        <v>0</v>
      </c>
      <c r="J1883" s="1">
        <v>2</v>
      </c>
    </row>
    <row r="1884" spans="1:10" x14ac:dyDescent="0.2">
      <c r="A1884" s="1">
        <v>1251</v>
      </c>
      <c r="B1884" s="1">
        <v>0</v>
      </c>
      <c r="C1884" s="1">
        <v>14</v>
      </c>
      <c r="D1884" s="1">
        <v>1</v>
      </c>
      <c r="E1884" s="1">
        <v>2</v>
      </c>
      <c r="F1884" s="1">
        <v>8</v>
      </c>
      <c r="G1884" s="1">
        <v>9</v>
      </c>
      <c r="H1884" s="1">
        <v>1</v>
      </c>
      <c r="I1884" s="1">
        <v>2</v>
      </c>
      <c r="J1884" s="1">
        <v>2</v>
      </c>
    </row>
    <row r="1885" spans="1:10" x14ac:dyDescent="0.2">
      <c r="A1885" s="1">
        <v>1662</v>
      </c>
      <c r="B1885" s="1">
        <v>0</v>
      </c>
      <c r="C1885" s="1">
        <v>8</v>
      </c>
      <c r="D1885" s="1">
        <v>4</v>
      </c>
      <c r="E1885" s="1">
        <v>3</v>
      </c>
      <c r="F1885" s="1">
        <v>8</v>
      </c>
      <c r="G1885" s="1">
        <v>9</v>
      </c>
      <c r="H1885" s="1">
        <v>1</v>
      </c>
      <c r="I1885" s="1">
        <v>1</v>
      </c>
      <c r="J1885" s="1">
        <v>2</v>
      </c>
    </row>
    <row r="1886" spans="1:10" x14ac:dyDescent="0.2">
      <c r="A1886" s="1">
        <v>1559</v>
      </c>
      <c r="B1886" s="1">
        <v>0</v>
      </c>
      <c r="C1886" s="1">
        <v>13</v>
      </c>
      <c r="D1886" s="1">
        <v>1</v>
      </c>
      <c r="E1886" s="1">
        <v>2</v>
      </c>
      <c r="F1886" s="1">
        <v>9</v>
      </c>
      <c r="G1886" s="1">
        <v>9</v>
      </c>
      <c r="H1886" s="1">
        <v>0</v>
      </c>
      <c r="I1886" s="1">
        <v>2</v>
      </c>
      <c r="J1886" s="1">
        <v>2</v>
      </c>
    </row>
    <row r="1887" spans="1:10" x14ac:dyDescent="0.2">
      <c r="A1887" s="1">
        <v>1891</v>
      </c>
      <c r="B1887" s="1">
        <v>0</v>
      </c>
      <c r="C1887" s="1">
        <v>5</v>
      </c>
      <c r="D1887" s="1">
        <v>3</v>
      </c>
      <c r="E1887" s="1">
        <v>2</v>
      </c>
      <c r="F1887" s="1">
        <v>10</v>
      </c>
      <c r="G1887" s="1">
        <v>9</v>
      </c>
      <c r="H1887" s="1">
        <v>0</v>
      </c>
      <c r="I1887" s="1">
        <v>1</v>
      </c>
      <c r="J1887" s="1">
        <v>2</v>
      </c>
    </row>
    <row r="1888" spans="1:10" x14ac:dyDescent="0.2">
      <c r="A1888" s="1">
        <v>2015</v>
      </c>
      <c r="B1888" s="1">
        <v>0</v>
      </c>
      <c r="C1888" s="1">
        <v>12</v>
      </c>
      <c r="D1888" s="1">
        <v>5</v>
      </c>
      <c r="E1888" s="1">
        <v>2</v>
      </c>
      <c r="F1888" s="1">
        <v>10</v>
      </c>
      <c r="G1888" s="1">
        <v>9</v>
      </c>
      <c r="H1888" s="1">
        <v>0</v>
      </c>
      <c r="I1888" s="1">
        <v>0</v>
      </c>
      <c r="J1888" s="1">
        <v>2</v>
      </c>
    </row>
    <row r="1889" spans="1:10" x14ac:dyDescent="0.2">
      <c r="A1889" s="1">
        <v>1290</v>
      </c>
      <c r="B1889" s="1">
        <v>0</v>
      </c>
      <c r="C1889" s="1">
        <v>7</v>
      </c>
      <c r="D1889" s="1">
        <v>5</v>
      </c>
      <c r="E1889" s="1">
        <v>3</v>
      </c>
      <c r="F1889" s="1">
        <v>10</v>
      </c>
      <c r="G1889" s="1">
        <v>9</v>
      </c>
      <c r="H1889" s="1">
        <v>1</v>
      </c>
      <c r="I1889" s="1">
        <v>2</v>
      </c>
      <c r="J1889" s="1">
        <v>2</v>
      </c>
    </row>
    <row r="1890" spans="1:10" x14ac:dyDescent="0.2">
      <c r="A1890" s="1">
        <v>2421</v>
      </c>
      <c r="B1890" s="1">
        <v>0</v>
      </c>
      <c r="C1890" s="1">
        <v>8</v>
      </c>
      <c r="D1890" s="1">
        <v>5</v>
      </c>
      <c r="E1890" s="1">
        <v>3</v>
      </c>
      <c r="F1890" s="1">
        <v>10</v>
      </c>
      <c r="G1890" s="1">
        <v>9</v>
      </c>
      <c r="H1890" s="1">
        <v>0</v>
      </c>
      <c r="I1890" s="1">
        <v>2</v>
      </c>
      <c r="J1890" s="1">
        <v>2</v>
      </c>
    </row>
    <row r="1891" spans="1:10" x14ac:dyDescent="0.2">
      <c r="A1891" s="1">
        <v>1411</v>
      </c>
      <c r="B1891" s="1">
        <v>0</v>
      </c>
      <c r="C1891" s="1">
        <v>8</v>
      </c>
      <c r="D1891" s="1">
        <v>3</v>
      </c>
      <c r="E1891" s="1">
        <v>2</v>
      </c>
      <c r="F1891" s="1">
        <v>1</v>
      </c>
      <c r="G1891" s="1">
        <v>9</v>
      </c>
      <c r="H1891" s="1">
        <v>1</v>
      </c>
      <c r="I1891" s="1">
        <v>0</v>
      </c>
      <c r="J1891" s="1">
        <v>3</v>
      </c>
    </row>
    <row r="1892" spans="1:10" x14ac:dyDescent="0.2">
      <c r="A1892" s="1">
        <v>2045</v>
      </c>
      <c r="B1892" s="1">
        <v>0</v>
      </c>
      <c r="C1892" s="1">
        <v>19</v>
      </c>
      <c r="D1892" s="1">
        <v>3</v>
      </c>
      <c r="E1892" s="1">
        <v>2</v>
      </c>
      <c r="F1892" s="1">
        <v>1</v>
      </c>
      <c r="G1892" s="1">
        <v>9</v>
      </c>
      <c r="H1892" s="1">
        <v>1</v>
      </c>
      <c r="I1892" s="1">
        <v>1</v>
      </c>
      <c r="J1892" s="1">
        <v>3</v>
      </c>
    </row>
    <row r="1893" spans="1:10" x14ac:dyDescent="0.2">
      <c r="A1893" s="1">
        <v>1310</v>
      </c>
      <c r="B1893" s="1">
        <v>0</v>
      </c>
      <c r="C1893" s="1">
        <v>14</v>
      </c>
      <c r="D1893" s="1">
        <v>3</v>
      </c>
      <c r="E1893" s="1">
        <v>3</v>
      </c>
      <c r="F1893" s="1">
        <v>1</v>
      </c>
      <c r="G1893" s="1">
        <v>9</v>
      </c>
      <c r="H1893" s="1">
        <v>1</v>
      </c>
      <c r="I1893" s="1">
        <v>3</v>
      </c>
      <c r="J1893" s="1">
        <v>3</v>
      </c>
    </row>
    <row r="1894" spans="1:10" x14ac:dyDescent="0.2">
      <c r="A1894" s="1">
        <v>1460</v>
      </c>
      <c r="B1894" s="1">
        <v>0</v>
      </c>
      <c r="C1894" s="1">
        <v>11</v>
      </c>
      <c r="D1894" s="1">
        <v>3</v>
      </c>
      <c r="E1894" s="1">
        <v>1</v>
      </c>
      <c r="F1894" s="1">
        <v>2</v>
      </c>
      <c r="G1894" s="1">
        <v>9</v>
      </c>
      <c r="H1894" s="1">
        <v>0</v>
      </c>
      <c r="I1894" s="1">
        <v>2</v>
      </c>
      <c r="J1894" s="1">
        <v>3</v>
      </c>
    </row>
    <row r="1895" spans="1:10" x14ac:dyDescent="0.2">
      <c r="A1895" s="1">
        <v>232</v>
      </c>
      <c r="B1895" s="1">
        <v>0</v>
      </c>
      <c r="C1895" s="1">
        <v>16</v>
      </c>
      <c r="D1895" s="1">
        <v>5</v>
      </c>
      <c r="E1895" s="1">
        <v>1</v>
      </c>
      <c r="F1895" s="1">
        <v>2</v>
      </c>
      <c r="G1895" s="1">
        <v>9</v>
      </c>
      <c r="H1895" s="1">
        <v>1</v>
      </c>
      <c r="I1895" s="1">
        <v>3</v>
      </c>
      <c r="J1895" s="1">
        <v>3</v>
      </c>
    </row>
    <row r="1896" spans="1:10" x14ac:dyDescent="0.2">
      <c r="A1896" s="1">
        <v>1372</v>
      </c>
      <c r="B1896" s="1">
        <v>0</v>
      </c>
      <c r="C1896" s="1">
        <v>20</v>
      </c>
      <c r="D1896" s="1">
        <v>3</v>
      </c>
      <c r="E1896" s="1">
        <v>2</v>
      </c>
      <c r="F1896" s="1">
        <v>2</v>
      </c>
      <c r="G1896" s="1">
        <v>9</v>
      </c>
      <c r="H1896" s="1">
        <v>0</v>
      </c>
      <c r="I1896" s="1">
        <v>1</v>
      </c>
      <c r="J1896" s="1">
        <v>3</v>
      </c>
    </row>
    <row r="1897" spans="1:10" x14ac:dyDescent="0.2">
      <c r="A1897" s="1">
        <v>577</v>
      </c>
      <c r="B1897" s="1">
        <v>0</v>
      </c>
      <c r="C1897" s="1">
        <v>15</v>
      </c>
      <c r="D1897" s="1">
        <v>1</v>
      </c>
      <c r="E1897" s="1">
        <v>3</v>
      </c>
      <c r="F1897" s="1">
        <v>2</v>
      </c>
      <c r="G1897" s="1">
        <v>9</v>
      </c>
      <c r="H1897" s="1">
        <v>1</v>
      </c>
      <c r="I1897" s="1">
        <v>2</v>
      </c>
      <c r="J1897" s="1">
        <v>3</v>
      </c>
    </row>
    <row r="1898" spans="1:10" x14ac:dyDescent="0.2">
      <c r="A1898" s="1">
        <v>1705</v>
      </c>
      <c r="B1898" s="1">
        <v>0</v>
      </c>
      <c r="C1898" s="1">
        <v>16</v>
      </c>
      <c r="D1898" s="1">
        <v>4</v>
      </c>
      <c r="E1898" s="1">
        <v>3</v>
      </c>
      <c r="F1898" s="1">
        <v>2</v>
      </c>
      <c r="G1898" s="1">
        <v>9</v>
      </c>
      <c r="H1898" s="1">
        <v>1</v>
      </c>
      <c r="I1898" s="1">
        <v>0</v>
      </c>
      <c r="J1898" s="1">
        <v>3</v>
      </c>
    </row>
    <row r="1899" spans="1:10" x14ac:dyDescent="0.2">
      <c r="A1899" s="1">
        <v>595</v>
      </c>
      <c r="B1899" s="1">
        <v>0</v>
      </c>
      <c r="C1899" s="1">
        <v>5</v>
      </c>
      <c r="D1899" s="1">
        <v>5</v>
      </c>
      <c r="E1899" s="1">
        <v>2</v>
      </c>
      <c r="F1899" s="1">
        <v>3</v>
      </c>
      <c r="G1899" s="1">
        <v>9</v>
      </c>
      <c r="H1899" s="1">
        <v>0</v>
      </c>
      <c r="I1899" s="1">
        <v>2</v>
      </c>
      <c r="J1899" s="1">
        <v>3</v>
      </c>
    </row>
    <row r="1900" spans="1:10" x14ac:dyDescent="0.2">
      <c r="A1900" s="1">
        <v>440</v>
      </c>
      <c r="B1900" s="1">
        <v>0</v>
      </c>
      <c r="C1900" s="1">
        <v>9</v>
      </c>
      <c r="D1900" s="1">
        <v>4</v>
      </c>
      <c r="E1900" s="1">
        <v>2</v>
      </c>
      <c r="F1900" s="1">
        <v>3</v>
      </c>
      <c r="G1900" s="1">
        <v>9</v>
      </c>
      <c r="H1900" s="1">
        <v>1</v>
      </c>
      <c r="I1900" s="1">
        <v>3</v>
      </c>
      <c r="J1900" s="1">
        <v>3</v>
      </c>
    </row>
    <row r="1901" spans="1:10" x14ac:dyDescent="0.2">
      <c r="A1901" s="1">
        <v>1990</v>
      </c>
      <c r="B1901" s="1">
        <v>0</v>
      </c>
      <c r="C1901" s="1">
        <v>19</v>
      </c>
      <c r="D1901" s="1">
        <v>1</v>
      </c>
      <c r="E1901" s="1">
        <v>2</v>
      </c>
      <c r="F1901" s="1">
        <v>3</v>
      </c>
      <c r="G1901" s="1">
        <v>9</v>
      </c>
      <c r="H1901" s="1">
        <v>0</v>
      </c>
      <c r="I1901" s="1">
        <v>3</v>
      </c>
      <c r="J1901" s="1">
        <v>3</v>
      </c>
    </row>
    <row r="1902" spans="1:10" x14ac:dyDescent="0.2">
      <c r="A1902" s="1">
        <v>1655</v>
      </c>
      <c r="B1902" s="1">
        <v>0</v>
      </c>
      <c r="C1902" s="1">
        <v>5</v>
      </c>
      <c r="D1902" s="1">
        <v>3</v>
      </c>
      <c r="E1902" s="1">
        <v>3</v>
      </c>
      <c r="F1902" s="1">
        <v>3</v>
      </c>
      <c r="G1902" s="1">
        <v>9</v>
      </c>
      <c r="H1902" s="1">
        <v>0</v>
      </c>
      <c r="I1902" s="1">
        <v>0</v>
      </c>
      <c r="J1902" s="1">
        <v>3</v>
      </c>
    </row>
    <row r="1903" spans="1:10" x14ac:dyDescent="0.2">
      <c r="A1903" s="1">
        <v>1179</v>
      </c>
      <c r="B1903" s="1">
        <v>0</v>
      </c>
      <c r="C1903" s="1">
        <v>6</v>
      </c>
      <c r="D1903" s="1">
        <v>5</v>
      </c>
      <c r="E1903" s="1">
        <v>2</v>
      </c>
      <c r="F1903" s="1">
        <v>4</v>
      </c>
      <c r="G1903" s="1">
        <v>9</v>
      </c>
      <c r="H1903" s="1">
        <v>0</v>
      </c>
      <c r="I1903" s="1">
        <v>1</v>
      </c>
      <c r="J1903" s="1">
        <v>3</v>
      </c>
    </row>
    <row r="1904" spans="1:10" x14ac:dyDescent="0.2">
      <c r="A1904" s="1">
        <v>1792</v>
      </c>
      <c r="B1904" s="1">
        <v>0</v>
      </c>
      <c r="C1904" s="1">
        <v>9</v>
      </c>
      <c r="D1904" s="1">
        <v>5</v>
      </c>
      <c r="E1904" s="1">
        <v>3</v>
      </c>
      <c r="F1904" s="1">
        <v>4</v>
      </c>
      <c r="G1904" s="1">
        <v>9</v>
      </c>
      <c r="H1904" s="1">
        <v>1</v>
      </c>
      <c r="I1904" s="1">
        <v>0</v>
      </c>
      <c r="J1904" s="1">
        <v>3</v>
      </c>
    </row>
    <row r="1905" spans="1:10" x14ac:dyDescent="0.2">
      <c r="A1905" s="1">
        <v>2359</v>
      </c>
      <c r="B1905" s="1">
        <v>0</v>
      </c>
      <c r="C1905" s="1">
        <v>11</v>
      </c>
      <c r="D1905" s="1">
        <v>4</v>
      </c>
      <c r="E1905" s="1">
        <v>3</v>
      </c>
      <c r="F1905" s="1">
        <v>4</v>
      </c>
      <c r="G1905" s="1">
        <v>9</v>
      </c>
      <c r="H1905" s="1">
        <v>0</v>
      </c>
      <c r="I1905" s="1">
        <v>3</v>
      </c>
      <c r="J1905" s="1">
        <v>3</v>
      </c>
    </row>
    <row r="1906" spans="1:10" x14ac:dyDescent="0.2">
      <c r="A1906" s="1">
        <v>364</v>
      </c>
      <c r="B1906" s="1">
        <v>0</v>
      </c>
      <c r="C1906" s="1">
        <v>12</v>
      </c>
      <c r="D1906" s="1">
        <v>5</v>
      </c>
      <c r="E1906" s="1">
        <v>3</v>
      </c>
      <c r="F1906" s="1">
        <v>4</v>
      </c>
      <c r="G1906" s="1">
        <v>9</v>
      </c>
      <c r="H1906" s="1">
        <v>0</v>
      </c>
      <c r="I1906" s="1">
        <v>2</v>
      </c>
      <c r="J1906" s="1">
        <v>3</v>
      </c>
    </row>
    <row r="1907" spans="1:10" x14ac:dyDescent="0.2">
      <c r="A1907" s="1">
        <v>2228</v>
      </c>
      <c r="B1907" s="1">
        <v>0</v>
      </c>
      <c r="C1907" s="1">
        <v>5</v>
      </c>
      <c r="D1907" s="1">
        <v>4</v>
      </c>
      <c r="E1907" s="1">
        <v>3</v>
      </c>
      <c r="F1907" s="1">
        <v>5</v>
      </c>
      <c r="G1907" s="1">
        <v>9</v>
      </c>
      <c r="H1907" s="1">
        <v>0</v>
      </c>
      <c r="I1907" s="1">
        <v>1</v>
      </c>
      <c r="J1907" s="1">
        <v>3</v>
      </c>
    </row>
    <row r="1908" spans="1:10" x14ac:dyDescent="0.2">
      <c r="A1908" s="1">
        <v>119</v>
      </c>
      <c r="B1908" s="1">
        <v>0</v>
      </c>
      <c r="C1908" s="1">
        <v>10</v>
      </c>
      <c r="D1908" s="1">
        <v>5</v>
      </c>
      <c r="E1908" s="1">
        <v>3</v>
      </c>
      <c r="F1908" s="1">
        <v>5</v>
      </c>
      <c r="G1908" s="1">
        <v>9</v>
      </c>
      <c r="H1908" s="1">
        <v>1</v>
      </c>
      <c r="I1908" s="1">
        <v>1</v>
      </c>
      <c r="J1908" s="1">
        <v>3</v>
      </c>
    </row>
    <row r="1909" spans="1:10" x14ac:dyDescent="0.2">
      <c r="A1909" s="1">
        <v>14</v>
      </c>
      <c r="B1909" s="1">
        <v>0</v>
      </c>
      <c r="C1909" s="1">
        <v>20</v>
      </c>
      <c r="D1909" s="1">
        <v>1</v>
      </c>
      <c r="E1909" s="1">
        <v>3</v>
      </c>
      <c r="F1909" s="1">
        <v>5</v>
      </c>
      <c r="G1909" s="1">
        <v>9</v>
      </c>
      <c r="H1909" s="1">
        <v>0</v>
      </c>
      <c r="I1909" s="1">
        <v>1</v>
      </c>
      <c r="J1909" s="1">
        <v>3</v>
      </c>
    </row>
    <row r="1910" spans="1:10" x14ac:dyDescent="0.2">
      <c r="A1910" s="1">
        <v>1917</v>
      </c>
      <c r="B1910" s="1">
        <v>0</v>
      </c>
      <c r="C1910" s="1">
        <v>18</v>
      </c>
      <c r="D1910" s="1">
        <v>2</v>
      </c>
      <c r="E1910" s="1">
        <v>2</v>
      </c>
      <c r="F1910" s="1">
        <v>6</v>
      </c>
      <c r="G1910" s="1">
        <v>9</v>
      </c>
      <c r="H1910" s="1">
        <v>1</v>
      </c>
      <c r="I1910" s="1">
        <v>0</v>
      </c>
      <c r="J1910" s="1">
        <v>3</v>
      </c>
    </row>
    <row r="1911" spans="1:10" x14ac:dyDescent="0.2">
      <c r="A1911" s="1">
        <v>617</v>
      </c>
      <c r="B1911" s="1">
        <v>0</v>
      </c>
      <c r="C1911" s="1">
        <v>13</v>
      </c>
      <c r="D1911" s="1">
        <v>3</v>
      </c>
      <c r="E1911" s="1">
        <v>3</v>
      </c>
      <c r="F1911" s="1">
        <v>7</v>
      </c>
      <c r="G1911" s="1">
        <v>9</v>
      </c>
      <c r="H1911" s="1">
        <v>1</v>
      </c>
      <c r="I1911" s="1">
        <v>3</v>
      </c>
      <c r="J1911" s="1">
        <v>3</v>
      </c>
    </row>
    <row r="1912" spans="1:10" x14ac:dyDescent="0.2">
      <c r="A1912" s="1">
        <v>2279</v>
      </c>
      <c r="B1912" s="1">
        <v>0</v>
      </c>
      <c r="C1912" s="1">
        <v>13</v>
      </c>
      <c r="D1912" s="1">
        <v>1</v>
      </c>
      <c r="E1912" s="1">
        <v>3</v>
      </c>
      <c r="F1912" s="1">
        <v>9</v>
      </c>
      <c r="G1912" s="1">
        <v>9</v>
      </c>
      <c r="H1912" s="1">
        <v>1</v>
      </c>
      <c r="I1912" s="1">
        <v>0</v>
      </c>
      <c r="J1912" s="1">
        <v>3</v>
      </c>
    </row>
    <row r="1913" spans="1:10" x14ac:dyDescent="0.2">
      <c r="A1913" s="1">
        <v>1294</v>
      </c>
      <c r="B1913" s="1">
        <v>0</v>
      </c>
      <c r="C1913" s="1">
        <v>7</v>
      </c>
      <c r="D1913" s="1">
        <v>4</v>
      </c>
      <c r="E1913" s="1">
        <v>3</v>
      </c>
      <c r="F1913" s="1">
        <v>10</v>
      </c>
      <c r="G1913" s="1">
        <v>9</v>
      </c>
      <c r="H1913" s="1">
        <v>0</v>
      </c>
      <c r="I1913" s="1">
        <v>1</v>
      </c>
      <c r="J1913" s="1">
        <v>3</v>
      </c>
    </row>
    <row r="1914" spans="1:10" x14ac:dyDescent="0.2">
      <c r="A1914" s="1">
        <v>1693</v>
      </c>
      <c r="B1914" s="1">
        <v>0</v>
      </c>
      <c r="C1914" s="1">
        <v>15</v>
      </c>
      <c r="D1914" s="1">
        <v>1</v>
      </c>
      <c r="E1914" s="1">
        <v>3</v>
      </c>
      <c r="F1914" s="1">
        <v>10</v>
      </c>
      <c r="G1914" s="1">
        <v>9</v>
      </c>
      <c r="H1914" s="1">
        <v>1</v>
      </c>
      <c r="I1914" s="1">
        <v>2</v>
      </c>
      <c r="J1914" s="1">
        <v>3</v>
      </c>
    </row>
    <row r="1915" spans="1:10" x14ac:dyDescent="0.2">
      <c r="A1915" s="1">
        <v>1199</v>
      </c>
      <c r="B1915" s="1">
        <v>0</v>
      </c>
      <c r="C1915" s="1">
        <v>5</v>
      </c>
      <c r="D1915" s="1">
        <v>5</v>
      </c>
      <c r="E1915" s="1">
        <v>1</v>
      </c>
      <c r="F1915" s="1">
        <v>1</v>
      </c>
      <c r="G1915" s="1">
        <v>9</v>
      </c>
      <c r="H1915" s="1">
        <v>0</v>
      </c>
      <c r="I1915" s="1">
        <v>1</v>
      </c>
      <c r="J1915" s="1">
        <v>4</v>
      </c>
    </row>
    <row r="1916" spans="1:10" x14ac:dyDescent="0.2">
      <c r="A1916" s="1">
        <v>187</v>
      </c>
      <c r="B1916" s="1">
        <v>0</v>
      </c>
      <c r="C1916" s="1">
        <v>11</v>
      </c>
      <c r="D1916" s="1">
        <v>5</v>
      </c>
      <c r="E1916" s="1">
        <v>1</v>
      </c>
      <c r="F1916" s="1">
        <v>1</v>
      </c>
      <c r="G1916" s="1">
        <v>9</v>
      </c>
      <c r="H1916" s="1">
        <v>0</v>
      </c>
      <c r="I1916" s="1">
        <v>0</v>
      </c>
      <c r="J1916" s="1">
        <v>4</v>
      </c>
    </row>
    <row r="1917" spans="1:10" x14ac:dyDescent="0.2">
      <c r="A1917" s="1">
        <v>96</v>
      </c>
      <c r="B1917" s="1">
        <v>0</v>
      </c>
      <c r="C1917" s="1">
        <v>13</v>
      </c>
      <c r="D1917" s="1">
        <v>1</v>
      </c>
      <c r="E1917" s="1">
        <v>1</v>
      </c>
      <c r="F1917" s="1">
        <v>1</v>
      </c>
      <c r="G1917" s="1">
        <v>9</v>
      </c>
      <c r="H1917" s="1">
        <v>1</v>
      </c>
      <c r="I1917" s="1">
        <v>3</v>
      </c>
      <c r="J1917" s="1">
        <v>4</v>
      </c>
    </row>
    <row r="1918" spans="1:10" x14ac:dyDescent="0.2">
      <c r="A1918" s="1">
        <v>1067</v>
      </c>
      <c r="B1918" s="1">
        <v>0</v>
      </c>
      <c r="C1918" s="1">
        <v>8</v>
      </c>
      <c r="D1918" s="1">
        <v>3</v>
      </c>
      <c r="E1918" s="1">
        <v>2</v>
      </c>
      <c r="F1918" s="1">
        <v>1</v>
      </c>
      <c r="G1918" s="1">
        <v>9</v>
      </c>
      <c r="H1918" s="1">
        <v>0</v>
      </c>
      <c r="I1918" s="1">
        <v>1</v>
      </c>
      <c r="J1918" s="1">
        <v>4</v>
      </c>
    </row>
    <row r="1919" spans="1:10" x14ac:dyDescent="0.2">
      <c r="A1919" s="1">
        <v>718</v>
      </c>
      <c r="B1919" s="1">
        <v>0</v>
      </c>
      <c r="C1919" s="1">
        <v>6</v>
      </c>
      <c r="D1919" s="1">
        <v>2</v>
      </c>
      <c r="E1919" s="1">
        <v>3</v>
      </c>
      <c r="F1919" s="1">
        <v>1</v>
      </c>
      <c r="G1919" s="1">
        <v>9</v>
      </c>
      <c r="H1919" s="1">
        <v>1</v>
      </c>
      <c r="I1919" s="1">
        <v>2</v>
      </c>
      <c r="J1919" s="1">
        <v>4</v>
      </c>
    </row>
    <row r="1920" spans="1:10" x14ac:dyDescent="0.2">
      <c r="A1920" s="1">
        <v>496</v>
      </c>
      <c r="B1920" s="1">
        <v>0</v>
      </c>
      <c r="C1920" s="1">
        <v>12</v>
      </c>
      <c r="D1920" s="1">
        <v>5</v>
      </c>
      <c r="E1920" s="1">
        <v>3</v>
      </c>
      <c r="F1920" s="1">
        <v>1</v>
      </c>
      <c r="G1920" s="1">
        <v>9</v>
      </c>
      <c r="H1920" s="1">
        <v>1</v>
      </c>
      <c r="I1920" s="1">
        <v>1</v>
      </c>
      <c r="J1920" s="1">
        <v>4</v>
      </c>
    </row>
    <row r="1921" spans="1:10" x14ac:dyDescent="0.2">
      <c r="A1921" s="1">
        <v>528</v>
      </c>
      <c r="B1921" s="1">
        <v>0</v>
      </c>
      <c r="C1921" s="1">
        <v>13</v>
      </c>
      <c r="D1921" s="1">
        <v>3</v>
      </c>
      <c r="E1921" s="1">
        <v>3</v>
      </c>
      <c r="F1921" s="1">
        <v>1</v>
      </c>
      <c r="G1921" s="1">
        <v>9</v>
      </c>
      <c r="H1921" s="1">
        <v>1</v>
      </c>
      <c r="I1921" s="1">
        <v>2</v>
      </c>
      <c r="J1921" s="1">
        <v>4</v>
      </c>
    </row>
    <row r="1922" spans="1:10" x14ac:dyDescent="0.2">
      <c r="A1922" s="1">
        <v>2465</v>
      </c>
      <c r="B1922" s="1">
        <v>0</v>
      </c>
      <c r="C1922" s="1">
        <v>11</v>
      </c>
      <c r="D1922" s="1">
        <v>5</v>
      </c>
      <c r="E1922" s="1">
        <v>2</v>
      </c>
      <c r="F1922" s="1">
        <v>2</v>
      </c>
      <c r="G1922" s="1">
        <v>9</v>
      </c>
      <c r="H1922" s="1">
        <v>0</v>
      </c>
      <c r="I1922" s="1">
        <v>3</v>
      </c>
      <c r="J1922" s="1">
        <v>4</v>
      </c>
    </row>
    <row r="1923" spans="1:10" x14ac:dyDescent="0.2">
      <c r="A1923" s="1">
        <v>486</v>
      </c>
      <c r="B1923" s="1">
        <v>0</v>
      </c>
      <c r="C1923" s="1">
        <v>14</v>
      </c>
      <c r="D1923" s="1">
        <v>4</v>
      </c>
      <c r="E1923" s="1">
        <v>2</v>
      </c>
      <c r="F1923" s="1">
        <v>2</v>
      </c>
      <c r="G1923" s="1">
        <v>9</v>
      </c>
      <c r="H1923" s="1">
        <v>1</v>
      </c>
      <c r="I1923" s="1">
        <v>2</v>
      </c>
      <c r="J1923" s="1">
        <v>4</v>
      </c>
    </row>
    <row r="1924" spans="1:10" x14ac:dyDescent="0.2">
      <c r="A1924" s="1">
        <v>417</v>
      </c>
      <c r="B1924" s="1">
        <v>0</v>
      </c>
      <c r="C1924" s="1">
        <v>15</v>
      </c>
      <c r="D1924" s="1">
        <v>5</v>
      </c>
      <c r="E1924" s="1">
        <v>2</v>
      </c>
      <c r="F1924" s="1">
        <v>2</v>
      </c>
      <c r="G1924" s="1">
        <v>9</v>
      </c>
      <c r="H1924" s="1">
        <v>1</v>
      </c>
      <c r="I1924" s="1">
        <v>2</v>
      </c>
      <c r="J1924" s="1">
        <v>4</v>
      </c>
    </row>
    <row r="1925" spans="1:10" x14ac:dyDescent="0.2">
      <c r="A1925" s="1">
        <v>2126</v>
      </c>
      <c r="B1925" s="1">
        <v>0</v>
      </c>
      <c r="C1925" s="1">
        <v>7</v>
      </c>
      <c r="D1925" s="1">
        <v>2</v>
      </c>
      <c r="E1925" s="1">
        <v>3</v>
      </c>
      <c r="F1925" s="1">
        <v>2</v>
      </c>
      <c r="G1925" s="1">
        <v>9</v>
      </c>
      <c r="H1925" s="1">
        <v>1</v>
      </c>
      <c r="I1925" s="1">
        <v>2</v>
      </c>
      <c r="J1925" s="1">
        <v>4</v>
      </c>
    </row>
    <row r="1926" spans="1:10" x14ac:dyDescent="0.2">
      <c r="A1926" s="1">
        <v>1899</v>
      </c>
      <c r="B1926" s="1">
        <v>0</v>
      </c>
      <c r="C1926" s="1">
        <v>14</v>
      </c>
      <c r="D1926" s="1">
        <v>3</v>
      </c>
      <c r="E1926" s="1">
        <v>3</v>
      </c>
      <c r="F1926" s="1">
        <v>3</v>
      </c>
      <c r="G1926" s="1">
        <v>9</v>
      </c>
      <c r="H1926" s="1">
        <v>0</v>
      </c>
      <c r="I1926" s="1">
        <v>3</v>
      </c>
      <c r="J1926" s="1">
        <v>4</v>
      </c>
    </row>
    <row r="1927" spans="1:10" x14ac:dyDescent="0.2">
      <c r="A1927" s="1">
        <v>698</v>
      </c>
      <c r="B1927" s="1">
        <v>0</v>
      </c>
      <c r="C1927" s="1">
        <v>7</v>
      </c>
      <c r="D1927" s="1">
        <v>4</v>
      </c>
      <c r="E1927" s="1">
        <v>3</v>
      </c>
      <c r="F1927" s="1">
        <v>4</v>
      </c>
      <c r="G1927" s="1">
        <v>9</v>
      </c>
      <c r="H1927" s="1">
        <v>0</v>
      </c>
      <c r="I1927" s="1">
        <v>1</v>
      </c>
      <c r="J1927" s="1">
        <v>4</v>
      </c>
    </row>
    <row r="1928" spans="1:10" x14ac:dyDescent="0.2">
      <c r="A1928" s="1">
        <v>1370</v>
      </c>
      <c r="B1928" s="1">
        <v>0</v>
      </c>
      <c r="C1928" s="1">
        <v>13</v>
      </c>
      <c r="D1928" s="1">
        <v>4</v>
      </c>
      <c r="E1928" s="1">
        <v>3</v>
      </c>
      <c r="F1928" s="1">
        <v>4</v>
      </c>
      <c r="G1928" s="1">
        <v>9</v>
      </c>
      <c r="H1928" s="1">
        <v>1</v>
      </c>
      <c r="I1928" s="1">
        <v>1</v>
      </c>
      <c r="J1928" s="1">
        <v>4</v>
      </c>
    </row>
    <row r="1929" spans="1:10" x14ac:dyDescent="0.2">
      <c r="A1929" s="1">
        <v>640</v>
      </c>
      <c r="B1929" s="1">
        <v>0</v>
      </c>
      <c r="C1929" s="1">
        <v>19</v>
      </c>
      <c r="D1929" s="1">
        <v>4</v>
      </c>
      <c r="E1929" s="1">
        <v>3</v>
      </c>
      <c r="F1929" s="1">
        <v>4</v>
      </c>
      <c r="G1929" s="1">
        <v>9</v>
      </c>
      <c r="H1929" s="1">
        <v>1</v>
      </c>
      <c r="I1929" s="1">
        <v>3</v>
      </c>
      <c r="J1929" s="1">
        <v>4</v>
      </c>
    </row>
    <row r="1930" spans="1:10" x14ac:dyDescent="0.2">
      <c r="A1930" s="1">
        <v>2460</v>
      </c>
      <c r="B1930" s="1">
        <v>0</v>
      </c>
      <c r="C1930" s="1">
        <v>5</v>
      </c>
      <c r="D1930" s="1">
        <v>3</v>
      </c>
      <c r="E1930" s="1">
        <v>3</v>
      </c>
      <c r="F1930" s="1">
        <v>5</v>
      </c>
      <c r="G1930" s="1">
        <v>9</v>
      </c>
      <c r="H1930" s="1">
        <v>1</v>
      </c>
      <c r="I1930" s="1">
        <v>3</v>
      </c>
      <c r="J1930" s="1">
        <v>4</v>
      </c>
    </row>
    <row r="1931" spans="1:10" x14ac:dyDescent="0.2">
      <c r="A1931" s="1">
        <v>1034</v>
      </c>
      <c r="B1931" s="1">
        <v>0</v>
      </c>
      <c r="C1931" s="1">
        <v>9</v>
      </c>
      <c r="D1931" s="1">
        <v>5</v>
      </c>
      <c r="E1931" s="1">
        <v>3</v>
      </c>
      <c r="F1931" s="1">
        <v>5</v>
      </c>
      <c r="G1931" s="1">
        <v>9</v>
      </c>
      <c r="H1931" s="1">
        <v>0</v>
      </c>
      <c r="I1931" s="1">
        <v>0</v>
      </c>
      <c r="J1931" s="1">
        <v>4</v>
      </c>
    </row>
    <row r="1932" spans="1:10" x14ac:dyDescent="0.2">
      <c r="A1932" s="1">
        <v>539</v>
      </c>
      <c r="B1932" s="1">
        <v>0</v>
      </c>
      <c r="C1932" s="1">
        <v>19</v>
      </c>
      <c r="D1932" s="1">
        <v>1</v>
      </c>
      <c r="E1932" s="1">
        <v>3</v>
      </c>
      <c r="F1932" s="1">
        <v>5</v>
      </c>
      <c r="G1932" s="1">
        <v>9</v>
      </c>
      <c r="H1932" s="1">
        <v>0</v>
      </c>
      <c r="I1932" s="1">
        <v>3</v>
      </c>
      <c r="J1932" s="1">
        <v>4</v>
      </c>
    </row>
    <row r="1933" spans="1:10" x14ac:dyDescent="0.2">
      <c r="A1933" s="1">
        <v>299</v>
      </c>
      <c r="B1933" s="1">
        <v>0</v>
      </c>
      <c r="C1933" s="1">
        <v>8</v>
      </c>
      <c r="D1933" s="1">
        <v>4</v>
      </c>
      <c r="E1933" s="1">
        <v>3</v>
      </c>
      <c r="F1933" s="1">
        <v>6</v>
      </c>
      <c r="G1933" s="1">
        <v>9</v>
      </c>
      <c r="H1933" s="1">
        <v>1</v>
      </c>
      <c r="I1933" s="1">
        <v>1</v>
      </c>
      <c r="J1933" s="1">
        <v>4</v>
      </c>
    </row>
    <row r="1934" spans="1:10" x14ac:dyDescent="0.2">
      <c r="A1934" s="1">
        <v>1133</v>
      </c>
      <c r="B1934" s="1">
        <v>0</v>
      </c>
      <c r="C1934" s="1">
        <v>6</v>
      </c>
      <c r="D1934" s="1">
        <v>3</v>
      </c>
      <c r="E1934" s="1">
        <v>3</v>
      </c>
      <c r="F1934" s="1">
        <v>7</v>
      </c>
      <c r="G1934" s="1">
        <v>9</v>
      </c>
      <c r="H1934" s="1">
        <v>0</v>
      </c>
      <c r="I1934" s="1">
        <v>1</v>
      </c>
      <c r="J1934" s="1">
        <v>4</v>
      </c>
    </row>
    <row r="1935" spans="1:10" x14ac:dyDescent="0.2">
      <c r="A1935" s="1">
        <v>1338</v>
      </c>
      <c r="B1935" s="1">
        <v>0</v>
      </c>
      <c r="C1935" s="1">
        <v>8</v>
      </c>
      <c r="D1935" s="1">
        <v>4</v>
      </c>
      <c r="E1935" s="1">
        <v>3</v>
      </c>
      <c r="F1935" s="1">
        <v>7</v>
      </c>
      <c r="G1935" s="1">
        <v>9</v>
      </c>
      <c r="H1935" s="1">
        <v>1</v>
      </c>
      <c r="I1935" s="1">
        <v>2</v>
      </c>
      <c r="J1935" s="1">
        <v>4</v>
      </c>
    </row>
    <row r="1936" spans="1:10" x14ac:dyDescent="0.2">
      <c r="A1936" s="1">
        <v>30</v>
      </c>
      <c r="B1936" s="1">
        <v>0</v>
      </c>
      <c r="C1936" s="1">
        <v>14</v>
      </c>
      <c r="D1936" s="1">
        <v>3</v>
      </c>
      <c r="E1936" s="1">
        <v>3</v>
      </c>
      <c r="F1936" s="1">
        <v>7</v>
      </c>
      <c r="G1936" s="1">
        <v>9</v>
      </c>
      <c r="H1936" s="1">
        <v>0</v>
      </c>
      <c r="I1936" s="1">
        <v>0</v>
      </c>
      <c r="J1936" s="1">
        <v>4</v>
      </c>
    </row>
    <row r="1937" spans="1:10" x14ac:dyDescent="0.2">
      <c r="A1937" s="1">
        <v>434</v>
      </c>
      <c r="B1937" s="1">
        <v>0</v>
      </c>
      <c r="C1937" s="1">
        <v>11</v>
      </c>
      <c r="D1937" s="1">
        <v>2</v>
      </c>
      <c r="E1937" s="1">
        <v>3</v>
      </c>
      <c r="F1937" s="1">
        <v>8</v>
      </c>
      <c r="G1937" s="1">
        <v>9</v>
      </c>
      <c r="H1937" s="1">
        <v>1</v>
      </c>
      <c r="I1937" s="1">
        <v>3</v>
      </c>
      <c r="J1937" s="1">
        <v>4</v>
      </c>
    </row>
    <row r="1938" spans="1:10" x14ac:dyDescent="0.2">
      <c r="A1938" s="1">
        <v>932</v>
      </c>
      <c r="B1938" s="1">
        <v>0</v>
      </c>
      <c r="C1938" s="1">
        <v>12</v>
      </c>
      <c r="D1938" s="1">
        <v>1</v>
      </c>
      <c r="E1938" s="1">
        <v>3</v>
      </c>
      <c r="F1938" s="1">
        <v>8</v>
      </c>
      <c r="G1938" s="1">
        <v>9</v>
      </c>
      <c r="H1938" s="1">
        <v>1</v>
      </c>
      <c r="I1938" s="1">
        <v>1</v>
      </c>
      <c r="J1938" s="1">
        <v>4</v>
      </c>
    </row>
    <row r="1939" spans="1:10" x14ac:dyDescent="0.2">
      <c r="A1939" s="1">
        <v>1996</v>
      </c>
      <c r="B1939" s="1">
        <v>0</v>
      </c>
      <c r="C1939" s="1">
        <v>5</v>
      </c>
      <c r="D1939" s="1">
        <v>5</v>
      </c>
      <c r="E1939" s="1">
        <v>3</v>
      </c>
      <c r="F1939" s="1">
        <v>9</v>
      </c>
      <c r="G1939" s="1">
        <v>9</v>
      </c>
      <c r="H1939" s="1">
        <v>1</v>
      </c>
      <c r="I1939" s="1">
        <v>3</v>
      </c>
      <c r="J1939" s="1">
        <v>4</v>
      </c>
    </row>
    <row r="1940" spans="1:10" x14ac:dyDescent="0.2">
      <c r="A1940" s="1">
        <v>2131</v>
      </c>
      <c r="B1940" s="1">
        <v>0</v>
      </c>
      <c r="C1940" s="1">
        <v>17</v>
      </c>
      <c r="D1940" s="1">
        <v>4</v>
      </c>
      <c r="E1940" s="1">
        <v>3</v>
      </c>
      <c r="F1940" s="1">
        <v>9</v>
      </c>
      <c r="G1940" s="1">
        <v>9</v>
      </c>
      <c r="H1940" s="1">
        <v>1</v>
      </c>
      <c r="I1940" s="1">
        <v>0</v>
      </c>
      <c r="J1940" s="1">
        <v>4</v>
      </c>
    </row>
    <row r="1941" spans="1:10" x14ac:dyDescent="0.2">
      <c r="A1941" s="1">
        <v>2402</v>
      </c>
      <c r="B1941" s="1">
        <v>0</v>
      </c>
      <c r="C1941" s="1">
        <v>11</v>
      </c>
      <c r="D1941" s="1">
        <v>5</v>
      </c>
      <c r="E1941" s="1">
        <v>3</v>
      </c>
      <c r="F1941" s="1">
        <v>10</v>
      </c>
      <c r="G1941" s="1">
        <v>9</v>
      </c>
      <c r="H1941" s="1">
        <v>1</v>
      </c>
      <c r="I1941" s="1">
        <v>0</v>
      </c>
      <c r="J1941" s="1">
        <v>4</v>
      </c>
    </row>
    <row r="1942" spans="1:10" x14ac:dyDescent="0.2">
      <c r="A1942" s="1">
        <v>2156</v>
      </c>
      <c r="B1942" s="1">
        <v>0</v>
      </c>
      <c r="C1942" s="1">
        <v>7</v>
      </c>
      <c r="D1942" s="1">
        <v>4</v>
      </c>
      <c r="E1942" s="1">
        <v>1</v>
      </c>
      <c r="F1942" s="1">
        <v>1</v>
      </c>
      <c r="G1942" s="1">
        <v>10</v>
      </c>
      <c r="H1942" s="1">
        <v>0</v>
      </c>
      <c r="I1942" s="1">
        <v>1</v>
      </c>
      <c r="J1942" s="1">
        <v>1</v>
      </c>
    </row>
    <row r="1943" spans="1:10" x14ac:dyDescent="0.2">
      <c r="A1943" s="1">
        <v>1587</v>
      </c>
      <c r="B1943" s="1">
        <v>0</v>
      </c>
      <c r="C1943" s="1">
        <v>6</v>
      </c>
      <c r="D1943" s="1">
        <v>3</v>
      </c>
      <c r="E1943" s="1">
        <v>2</v>
      </c>
      <c r="F1943" s="1">
        <v>1</v>
      </c>
      <c r="G1943" s="1">
        <v>10</v>
      </c>
      <c r="H1943" s="1">
        <v>1</v>
      </c>
      <c r="I1943" s="1">
        <v>0</v>
      </c>
      <c r="J1943" s="1">
        <v>1</v>
      </c>
    </row>
    <row r="1944" spans="1:10" x14ac:dyDescent="0.2">
      <c r="A1944" s="1">
        <v>83</v>
      </c>
      <c r="B1944" s="1">
        <v>0</v>
      </c>
      <c r="C1944" s="1">
        <v>7</v>
      </c>
      <c r="D1944" s="1">
        <v>4</v>
      </c>
      <c r="E1944" s="1">
        <v>2</v>
      </c>
      <c r="F1944" s="1">
        <v>1</v>
      </c>
      <c r="G1944" s="1">
        <v>10</v>
      </c>
      <c r="H1944" s="1">
        <v>1</v>
      </c>
      <c r="I1944" s="1">
        <v>2</v>
      </c>
      <c r="J1944" s="1">
        <v>1</v>
      </c>
    </row>
    <row r="1945" spans="1:10" x14ac:dyDescent="0.2">
      <c r="A1945" s="1">
        <v>1252</v>
      </c>
      <c r="B1945" s="1">
        <v>0</v>
      </c>
      <c r="C1945" s="1">
        <v>18</v>
      </c>
      <c r="D1945" s="1">
        <v>1</v>
      </c>
      <c r="E1945" s="1">
        <v>2</v>
      </c>
      <c r="F1945" s="1">
        <v>1</v>
      </c>
      <c r="G1945" s="1">
        <v>10</v>
      </c>
      <c r="H1945" s="1">
        <v>0</v>
      </c>
      <c r="I1945" s="1">
        <v>1</v>
      </c>
      <c r="J1945" s="1">
        <v>1</v>
      </c>
    </row>
    <row r="1946" spans="1:10" x14ac:dyDescent="0.2">
      <c r="A1946" s="1">
        <v>714</v>
      </c>
      <c r="B1946" s="1">
        <v>0</v>
      </c>
      <c r="C1946" s="1">
        <v>10</v>
      </c>
      <c r="D1946" s="1">
        <v>2</v>
      </c>
      <c r="E1946" s="1">
        <v>3</v>
      </c>
      <c r="F1946" s="1">
        <v>1</v>
      </c>
      <c r="G1946" s="1">
        <v>10</v>
      </c>
      <c r="H1946" s="1">
        <v>1</v>
      </c>
      <c r="I1946" s="1">
        <v>3</v>
      </c>
      <c r="J1946" s="1">
        <v>1</v>
      </c>
    </row>
    <row r="1947" spans="1:10" x14ac:dyDescent="0.2">
      <c r="A1947" s="1">
        <v>620</v>
      </c>
      <c r="B1947" s="1">
        <v>0</v>
      </c>
      <c r="C1947" s="1">
        <v>20</v>
      </c>
      <c r="D1947" s="1">
        <v>2</v>
      </c>
      <c r="E1947" s="1">
        <v>3</v>
      </c>
      <c r="F1947" s="1">
        <v>1</v>
      </c>
      <c r="G1947" s="1">
        <v>10</v>
      </c>
      <c r="H1947" s="1">
        <v>0</v>
      </c>
      <c r="I1947" s="1">
        <v>3</v>
      </c>
      <c r="J1947" s="1">
        <v>1</v>
      </c>
    </row>
    <row r="1948" spans="1:10" x14ac:dyDescent="0.2">
      <c r="A1948" s="1">
        <v>1077</v>
      </c>
      <c r="B1948" s="1">
        <v>0</v>
      </c>
      <c r="C1948" s="1">
        <v>20</v>
      </c>
      <c r="D1948" s="1">
        <v>2</v>
      </c>
      <c r="E1948" s="1">
        <v>3</v>
      </c>
      <c r="F1948" s="1">
        <v>1</v>
      </c>
      <c r="G1948" s="1">
        <v>10</v>
      </c>
      <c r="H1948" s="1">
        <v>1</v>
      </c>
      <c r="I1948" s="1">
        <v>3</v>
      </c>
      <c r="J1948" s="1">
        <v>1</v>
      </c>
    </row>
    <row r="1949" spans="1:10" x14ac:dyDescent="0.2">
      <c r="A1949" s="1">
        <v>1615</v>
      </c>
      <c r="B1949" s="1">
        <v>0</v>
      </c>
      <c r="C1949" s="1">
        <v>16</v>
      </c>
      <c r="D1949" s="1">
        <v>5</v>
      </c>
      <c r="E1949" s="1">
        <v>1</v>
      </c>
      <c r="F1949" s="1">
        <v>2</v>
      </c>
      <c r="G1949" s="1">
        <v>10</v>
      </c>
      <c r="H1949" s="1">
        <v>1</v>
      </c>
      <c r="I1949" s="1">
        <v>1</v>
      </c>
      <c r="J1949" s="1">
        <v>1</v>
      </c>
    </row>
    <row r="1950" spans="1:10" x14ac:dyDescent="0.2">
      <c r="A1950" s="1">
        <v>554</v>
      </c>
      <c r="B1950" s="1">
        <v>0</v>
      </c>
      <c r="C1950" s="1">
        <v>13</v>
      </c>
      <c r="D1950" s="1">
        <v>5</v>
      </c>
      <c r="E1950" s="1">
        <v>2</v>
      </c>
      <c r="F1950" s="1">
        <v>2</v>
      </c>
      <c r="G1950" s="1">
        <v>10</v>
      </c>
      <c r="H1950" s="1">
        <v>1</v>
      </c>
      <c r="I1950" s="1">
        <v>2</v>
      </c>
      <c r="J1950" s="1">
        <v>1</v>
      </c>
    </row>
    <row r="1951" spans="1:10" x14ac:dyDescent="0.2">
      <c r="A1951" s="1">
        <v>1516</v>
      </c>
      <c r="B1951" s="1">
        <v>0</v>
      </c>
      <c r="C1951" s="1">
        <v>9</v>
      </c>
      <c r="D1951" s="1">
        <v>3</v>
      </c>
      <c r="E1951" s="1">
        <v>3</v>
      </c>
      <c r="F1951" s="1">
        <v>2</v>
      </c>
      <c r="G1951" s="1">
        <v>10</v>
      </c>
      <c r="H1951" s="1">
        <v>0</v>
      </c>
      <c r="I1951" s="1">
        <v>1</v>
      </c>
      <c r="J1951" s="1">
        <v>1</v>
      </c>
    </row>
    <row r="1952" spans="1:10" x14ac:dyDescent="0.2">
      <c r="A1952" s="1">
        <v>1565</v>
      </c>
      <c r="B1952" s="1">
        <v>0</v>
      </c>
      <c r="C1952" s="1">
        <v>11</v>
      </c>
      <c r="D1952" s="1">
        <v>3</v>
      </c>
      <c r="E1952" s="1">
        <v>3</v>
      </c>
      <c r="F1952" s="1">
        <v>2</v>
      </c>
      <c r="G1952" s="1">
        <v>10</v>
      </c>
      <c r="H1952" s="1">
        <v>0</v>
      </c>
      <c r="I1952" s="1">
        <v>2</v>
      </c>
      <c r="J1952" s="1">
        <v>1</v>
      </c>
    </row>
    <row r="1953" spans="1:10" x14ac:dyDescent="0.2">
      <c r="A1953" s="1">
        <v>1560</v>
      </c>
      <c r="B1953" s="1">
        <v>0</v>
      </c>
      <c r="C1953" s="1">
        <v>15</v>
      </c>
      <c r="D1953" s="1">
        <v>4</v>
      </c>
      <c r="E1953" s="1">
        <v>3</v>
      </c>
      <c r="F1953" s="1">
        <v>2</v>
      </c>
      <c r="G1953" s="1">
        <v>10</v>
      </c>
      <c r="H1953" s="1">
        <v>1</v>
      </c>
      <c r="I1953" s="1">
        <v>3</v>
      </c>
      <c r="J1953" s="1">
        <v>1</v>
      </c>
    </row>
    <row r="1954" spans="1:10" x14ac:dyDescent="0.2">
      <c r="A1954" s="1">
        <v>1584</v>
      </c>
      <c r="B1954" s="1">
        <v>0</v>
      </c>
      <c r="C1954" s="1">
        <v>9</v>
      </c>
      <c r="D1954" s="1">
        <v>1</v>
      </c>
      <c r="E1954" s="1">
        <v>1</v>
      </c>
      <c r="F1954" s="1">
        <v>3</v>
      </c>
      <c r="G1954" s="1">
        <v>10</v>
      </c>
      <c r="H1954" s="1">
        <v>1</v>
      </c>
      <c r="I1954" s="1">
        <v>3</v>
      </c>
      <c r="J1954" s="1">
        <v>1</v>
      </c>
    </row>
    <row r="1955" spans="1:10" x14ac:dyDescent="0.2">
      <c r="A1955" s="1">
        <v>2011</v>
      </c>
      <c r="B1955" s="1">
        <v>0</v>
      </c>
      <c r="C1955" s="1">
        <v>9</v>
      </c>
      <c r="D1955" s="1">
        <v>3</v>
      </c>
      <c r="E1955" s="1">
        <v>1</v>
      </c>
      <c r="F1955" s="1">
        <v>3</v>
      </c>
      <c r="G1955" s="1">
        <v>10</v>
      </c>
      <c r="H1955" s="1">
        <v>0</v>
      </c>
      <c r="I1955" s="1">
        <v>2</v>
      </c>
      <c r="J1955" s="1">
        <v>1</v>
      </c>
    </row>
    <row r="1956" spans="1:10" x14ac:dyDescent="0.2">
      <c r="A1956" s="1">
        <v>1369</v>
      </c>
      <c r="B1956" s="1">
        <v>0</v>
      </c>
      <c r="C1956" s="1">
        <v>14</v>
      </c>
      <c r="D1956" s="1">
        <v>4</v>
      </c>
      <c r="E1956" s="1">
        <v>1</v>
      </c>
      <c r="F1956" s="1">
        <v>3</v>
      </c>
      <c r="G1956" s="1">
        <v>10</v>
      </c>
      <c r="H1956" s="1">
        <v>1</v>
      </c>
      <c r="I1956" s="1">
        <v>2</v>
      </c>
      <c r="J1956" s="1">
        <v>1</v>
      </c>
    </row>
    <row r="1957" spans="1:10" x14ac:dyDescent="0.2">
      <c r="A1957" s="1">
        <v>153</v>
      </c>
      <c r="B1957" s="1">
        <v>0</v>
      </c>
      <c r="C1957" s="1">
        <v>17</v>
      </c>
      <c r="D1957" s="1">
        <v>4</v>
      </c>
      <c r="E1957" s="1">
        <v>1</v>
      </c>
      <c r="F1957" s="1">
        <v>3</v>
      </c>
      <c r="G1957" s="1">
        <v>10</v>
      </c>
      <c r="H1957" s="1">
        <v>1</v>
      </c>
      <c r="I1957" s="1">
        <v>0</v>
      </c>
      <c r="J1957" s="1">
        <v>1</v>
      </c>
    </row>
    <row r="1958" spans="1:10" x14ac:dyDescent="0.2">
      <c r="A1958" s="1">
        <v>1484</v>
      </c>
      <c r="B1958" s="1">
        <v>0</v>
      </c>
      <c r="C1958" s="1">
        <v>20</v>
      </c>
      <c r="D1958" s="1">
        <v>5</v>
      </c>
      <c r="E1958" s="1">
        <v>1</v>
      </c>
      <c r="F1958" s="1">
        <v>3</v>
      </c>
      <c r="G1958" s="1">
        <v>10</v>
      </c>
      <c r="H1958" s="1">
        <v>1</v>
      </c>
      <c r="I1958" s="1">
        <v>2</v>
      </c>
      <c r="J1958" s="1">
        <v>1</v>
      </c>
    </row>
    <row r="1959" spans="1:10" x14ac:dyDescent="0.2">
      <c r="A1959" s="1">
        <v>141</v>
      </c>
      <c r="B1959" s="1">
        <v>0</v>
      </c>
      <c r="C1959" s="1">
        <v>5</v>
      </c>
      <c r="D1959" s="1">
        <v>3</v>
      </c>
      <c r="E1959" s="1">
        <v>2</v>
      </c>
      <c r="F1959" s="1">
        <v>3</v>
      </c>
      <c r="G1959" s="1">
        <v>10</v>
      </c>
      <c r="H1959" s="1">
        <v>1</v>
      </c>
      <c r="I1959" s="1">
        <v>1</v>
      </c>
      <c r="J1959" s="1">
        <v>1</v>
      </c>
    </row>
    <row r="1960" spans="1:10" x14ac:dyDescent="0.2">
      <c r="A1960" s="1">
        <v>1930</v>
      </c>
      <c r="B1960" s="1">
        <v>0</v>
      </c>
      <c r="C1960" s="1">
        <v>5</v>
      </c>
      <c r="D1960" s="1">
        <v>5</v>
      </c>
      <c r="E1960" s="1">
        <v>2</v>
      </c>
      <c r="F1960" s="1">
        <v>3</v>
      </c>
      <c r="G1960" s="1">
        <v>10</v>
      </c>
      <c r="H1960" s="1">
        <v>0</v>
      </c>
      <c r="I1960" s="1">
        <v>3</v>
      </c>
      <c r="J1960" s="1">
        <v>1</v>
      </c>
    </row>
    <row r="1961" spans="1:10" x14ac:dyDescent="0.2">
      <c r="A1961" s="1">
        <v>1667</v>
      </c>
      <c r="B1961" s="1">
        <v>0</v>
      </c>
      <c r="C1961" s="1">
        <v>9</v>
      </c>
      <c r="D1961" s="1">
        <v>5</v>
      </c>
      <c r="E1961" s="1">
        <v>3</v>
      </c>
      <c r="F1961" s="1">
        <v>3</v>
      </c>
      <c r="G1961" s="1">
        <v>10</v>
      </c>
      <c r="H1961" s="1">
        <v>1</v>
      </c>
      <c r="I1961" s="1">
        <v>2</v>
      </c>
      <c r="J1961" s="1">
        <v>1</v>
      </c>
    </row>
    <row r="1962" spans="1:10" x14ac:dyDescent="0.2">
      <c r="A1962" s="1">
        <v>76</v>
      </c>
      <c r="B1962" s="1">
        <v>0</v>
      </c>
      <c r="C1962" s="1">
        <v>12</v>
      </c>
      <c r="D1962" s="1">
        <v>3</v>
      </c>
      <c r="E1962" s="1">
        <v>3</v>
      </c>
      <c r="F1962" s="1">
        <v>3</v>
      </c>
      <c r="G1962" s="1">
        <v>10</v>
      </c>
      <c r="H1962" s="1">
        <v>1</v>
      </c>
      <c r="I1962" s="1">
        <v>1</v>
      </c>
      <c r="J1962" s="1">
        <v>1</v>
      </c>
    </row>
    <row r="1963" spans="1:10" x14ac:dyDescent="0.2">
      <c r="A1963" s="1">
        <v>1712</v>
      </c>
      <c r="B1963" s="1">
        <v>0</v>
      </c>
      <c r="C1963" s="1">
        <v>8</v>
      </c>
      <c r="D1963" s="1">
        <v>2</v>
      </c>
      <c r="E1963" s="1">
        <v>1</v>
      </c>
      <c r="F1963" s="1">
        <v>4</v>
      </c>
      <c r="G1963" s="1">
        <v>10</v>
      </c>
      <c r="H1963" s="1">
        <v>1</v>
      </c>
      <c r="I1963" s="1">
        <v>2</v>
      </c>
      <c r="J1963" s="1">
        <v>1</v>
      </c>
    </row>
    <row r="1964" spans="1:10" x14ac:dyDescent="0.2">
      <c r="A1964" s="1">
        <v>1933</v>
      </c>
      <c r="B1964" s="1">
        <v>0</v>
      </c>
      <c r="C1964" s="1">
        <v>16</v>
      </c>
      <c r="D1964" s="1">
        <v>2</v>
      </c>
      <c r="E1964" s="1">
        <v>1</v>
      </c>
      <c r="F1964" s="1">
        <v>4</v>
      </c>
      <c r="G1964" s="1">
        <v>10</v>
      </c>
      <c r="H1964" s="1">
        <v>1</v>
      </c>
      <c r="I1964" s="1">
        <v>1</v>
      </c>
      <c r="J1964" s="1">
        <v>1</v>
      </c>
    </row>
    <row r="1965" spans="1:10" x14ac:dyDescent="0.2">
      <c r="A1965" s="1">
        <v>2095</v>
      </c>
      <c r="B1965" s="1">
        <v>0</v>
      </c>
      <c r="C1965" s="1">
        <v>8</v>
      </c>
      <c r="D1965" s="1">
        <v>2</v>
      </c>
      <c r="E1965" s="1">
        <v>2</v>
      </c>
      <c r="F1965" s="1">
        <v>4</v>
      </c>
      <c r="G1965" s="1">
        <v>10</v>
      </c>
      <c r="H1965" s="1">
        <v>0</v>
      </c>
      <c r="I1965" s="1">
        <v>2</v>
      </c>
      <c r="J1965" s="1">
        <v>1</v>
      </c>
    </row>
    <row r="1966" spans="1:10" x14ac:dyDescent="0.2">
      <c r="A1966" s="1">
        <v>1800</v>
      </c>
      <c r="B1966" s="1">
        <v>0</v>
      </c>
      <c r="C1966" s="1">
        <v>8</v>
      </c>
      <c r="D1966" s="1">
        <v>4</v>
      </c>
      <c r="E1966" s="1">
        <v>3</v>
      </c>
      <c r="F1966" s="1">
        <v>4</v>
      </c>
      <c r="G1966" s="1">
        <v>10</v>
      </c>
      <c r="H1966" s="1">
        <v>1</v>
      </c>
      <c r="I1966" s="1">
        <v>3</v>
      </c>
      <c r="J1966" s="1">
        <v>1</v>
      </c>
    </row>
    <row r="1967" spans="1:10" x14ac:dyDescent="0.2">
      <c r="A1967" s="1">
        <v>1515</v>
      </c>
      <c r="B1967" s="1">
        <v>0</v>
      </c>
      <c r="C1967" s="1">
        <v>16</v>
      </c>
      <c r="D1967" s="1">
        <v>3</v>
      </c>
      <c r="E1967" s="1">
        <v>3</v>
      </c>
      <c r="F1967" s="1">
        <v>4</v>
      </c>
      <c r="G1967" s="1">
        <v>10</v>
      </c>
      <c r="H1967" s="1">
        <v>0</v>
      </c>
      <c r="I1967" s="1">
        <v>3</v>
      </c>
      <c r="J1967" s="1">
        <v>1</v>
      </c>
    </row>
    <row r="1968" spans="1:10" x14ac:dyDescent="0.2">
      <c r="A1968" s="1">
        <v>433</v>
      </c>
      <c r="B1968" s="1">
        <v>0</v>
      </c>
      <c r="C1968" s="1">
        <v>20</v>
      </c>
      <c r="D1968" s="1">
        <v>5</v>
      </c>
      <c r="E1968" s="1">
        <v>3</v>
      </c>
      <c r="F1968" s="1">
        <v>4</v>
      </c>
      <c r="G1968" s="1">
        <v>10</v>
      </c>
      <c r="H1968" s="1">
        <v>1</v>
      </c>
      <c r="I1968" s="1">
        <v>2</v>
      </c>
      <c r="J1968" s="1">
        <v>1</v>
      </c>
    </row>
    <row r="1969" spans="1:10" x14ac:dyDescent="0.2">
      <c r="A1969" s="1">
        <v>436</v>
      </c>
      <c r="B1969" s="1">
        <v>0</v>
      </c>
      <c r="C1969" s="1">
        <v>16</v>
      </c>
      <c r="D1969" s="1">
        <v>1</v>
      </c>
      <c r="E1969" s="1">
        <v>1</v>
      </c>
      <c r="F1969" s="1">
        <v>5</v>
      </c>
      <c r="G1969" s="1">
        <v>10</v>
      </c>
      <c r="H1969" s="1">
        <v>1</v>
      </c>
      <c r="I1969" s="1">
        <v>1</v>
      </c>
      <c r="J1969" s="1">
        <v>1</v>
      </c>
    </row>
    <row r="1970" spans="1:10" x14ac:dyDescent="0.2">
      <c r="A1970" s="1">
        <v>2165</v>
      </c>
      <c r="B1970" s="1">
        <v>0</v>
      </c>
      <c r="C1970" s="1">
        <v>5</v>
      </c>
      <c r="D1970" s="1">
        <v>1</v>
      </c>
      <c r="E1970" s="1">
        <v>2</v>
      </c>
      <c r="F1970" s="1">
        <v>5</v>
      </c>
      <c r="G1970" s="1">
        <v>10</v>
      </c>
      <c r="H1970" s="1">
        <v>0</v>
      </c>
      <c r="I1970" s="1">
        <v>1</v>
      </c>
      <c r="J1970" s="1">
        <v>1</v>
      </c>
    </row>
    <row r="1971" spans="1:10" x14ac:dyDescent="0.2">
      <c r="A1971" s="1">
        <v>927</v>
      </c>
      <c r="B1971" s="1">
        <v>0</v>
      </c>
      <c r="C1971" s="1">
        <v>7</v>
      </c>
      <c r="D1971" s="1">
        <v>3</v>
      </c>
      <c r="E1971" s="1">
        <v>2</v>
      </c>
      <c r="F1971" s="1">
        <v>5</v>
      </c>
      <c r="G1971" s="1">
        <v>10</v>
      </c>
      <c r="H1971" s="1">
        <v>1</v>
      </c>
      <c r="I1971" s="1">
        <v>2</v>
      </c>
      <c r="J1971" s="1">
        <v>1</v>
      </c>
    </row>
    <row r="1972" spans="1:10" x14ac:dyDescent="0.2">
      <c r="A1972" s="1">
        <v>115</v>
      </c>
      <c r="B1972" s="1">
        <v>0</v>
      </c>
      <c r="C1972" s="1">
        <v>12</v>
      </c>
      <c r="D1972" s="1">
        <v>4</v>
      </c>
      <c r="E1972" s="1">
        <v>3</v>
      </c>
      <c r="F1972" s="1">
        <v>5</v>
      </c>
      <c r="G1972" s="1">
        <v>10</v>
      </c>
      <c r="H1972" s="1">
        <v>0</v>
      </c>
      <c r="I1972" s="1">
        <v>1</v>
      </c>
      <c r="J1972" s="1">
        <v>1</v>
      </c>
    </row>
    <row r="1973" spans="1:10" x14ac:dyDescent="0.2">
      <c r="A1973" s="1">
        <v>263</v>
      </c>
      <c r="B1973" s="1">
        <v>0</v>
      </c>
      <c r="C1973" s="1">
        <v>6</v>
      </c>
      <c r="D1973" s="1">
        <v>1</v>
      </c>
      <c r="E1973" s="1">
        <v>1</v>
      </c>
      <c r="F1973" s="1">
        <v>6</v>
      </c>
      <c r="G1973" s="1">
        <v>10</v>
      </c>
      <c r="H1973" s="1">
        <v>0</v>
      </c>
      <c r="I1973" s="1">
        <v>0</v>
      </c>
      <c r="J1973" s="1">
        <v>1</v>
      </c>
    </row>
    <row r="1974" spans="1:10" x14ac:dyDescent="0.2">
      <c r="A1974" s="1">
        <v>1110</v>
      </c>
      <c r="B1974" s="1">
        <v>0</v>
      </c>
      <c r="C1974" s="1">
        <v>15</v>
      </c>
      <c r="D1974" s="1">
        <v>3</v>
      </c>
      <c r="E1974" s="1">
        <v>1</v>
      </c>
      <c r="F1974" s="1">
        <v>6</v>
      </c>
      <c r="G1974" s="1">
        <v>10</v>
      </c>
      <c r="H1974" s="1">
        <v>1</v>
      </c>
      <c r="I1974" s="1">
        <v>0</v>
      </c>
      <c r="J1974" s="1">
        <v>1</v>
      </c>
    </row>
    <row r="1975" spans="1:10" x14ac:dyDescent="0.2">
      <c r="A1975" s="1">
        <v>1325</v>
      </c>
      <c r="B1975" s="1">
        <v>0</v>
      </c>
      <c r="C1975" s="1">
        <v>17</v>
      </c>
      <c r="D1975" s="1">
        <v>4</v>
      </c>
      <c r="E1975" s="1">
        <v>1</v>
      </c>
      <c r="F1975" s="1">
        <v>6</v>
      </c>
      <c r="G1975" s="1">
        <v>10</v>
      </c>
      <c r="H1975" s="1">
        <v>0</v>
      </c>
      <c r="I1975" s="1">
        <v>0</v>
      </c>
      <c r="J1975" s="1">
        <v>1</v>
      </c>
    </row>
    <row r="1976" spans="1:10" x14ac:dyDescent="0.2">
      <c r="A1976" s="1">
        <v>151</v>
      </c>
      <c r="B1976" s="1">
        <v>0</v>
      </c>
      <c r="C1976" s="1">
        <v>10</v>
      </c>
      <c r="D1976" s="1">
        <v>1</v>
      </c>
      <c r="E1976" s="1">
        <v>2</v>
      </c>
      <c r="F1976" s="1">
        <v>6</v>
      </c>
      <c r="G1976" s="1">
        <v>10</v>
      </c>
      <c r="H1976" s="1">
        <v>1</v>
      </c>
      <c r="I1976" s="1">
        <v>1</v>
      </c>
      <c r="J1976" s="1">
        <v>1</v>
      </c>
    </row>
    <row r="1977" spans="1:10" x14ac:dyDescent="0.2">
      <c r="A1977" s="1">
        <v>550</v>
      </c>
      <c r="B1977" s="1">
        <v>0</v>
      </c>
      <c r="C1977" s="1">
        <v>20</v>
      </c>
      <c r="D1977" s="1">
        <v>4</v>
      </c>
      <c r="E1977" s="1">
        <v>2</v>
      </c>
      <c r="F1977" s="1">
        <v>6</v>
      </c>
      <c r="G1977" s="1">
        <v>10</v>
      </c>
      <c r="H1977" s="1">
        <v>1</v>
      </c>
      <c r="I1977" s="1">
        <v>1</v>
      </c>
      <c r="J1977" s="1">
        <v>1</v>
      </c>
    </row>
    <row r="1978" spans="1:10" x14ac:dyDescent="0.2">
      <c r="A1978" s="1">
        <v>274</v>
      </c>
      <c r="B1978" s="1">
        <v>0</v>
      </c>
      <c r="C1978" s="1">
        <v>5</v>
      </c>
      <c r="D1978" s="1">
        <v>5</v>
      </c>
      <c r="E1978" s="1">
        <v>3</v>
      </c>
      <c r="F1978" s="1">
        <v>6</v>
      </c>
      <c r="G1978" s="1">
        <v>10</v>
      </c>
      <c r="H1978" s="1">
        <v>0</v>
      </c>
      <c r="I1978" s="1">
        <v>1</v>
      </c>
      <c r="J1978" s="1">
        <v>1</v>
      </c>
    </row>
    <row r="1979" spans="1:10" x14ac:dyDescent="0.2">
      <c r="A1979" s="1">
        <v>671</v>
      </c>
      <c r="B1979" s="1">
        <v>0</v>
      </c>
      <c r="C1979" s="1">
        <v>6</v>
      </c>
      <c r="D1979" s="1">
        <v>1</v>
      </c>
      <c r="E1979" s="1">
        <v>3</v>
      </c>
      <c r="F1979" s="1">
        <v>6</v>
      </c>
      <c r="G1979" s="1">
        <v>10</v>
      </c>
      <c r="H1979" s="1">
        <v>0</v>
      </c>
      <c r="I1979" s="1">
        <v>0</v>
      </c>
      <c r="J1979" s="1">
        <v>1</v>
      </c>
    </row>
    <row r="1980" spans="1:10" x14ac:dyDescent="0.2">
      <c r="A1980" s="1">
        <v>1016</v>
      </c>
      <c r="B1980" s="1">
        <v>0</v>
      </c>
      <c r="C1980" s="1">
        <v>18</v>
      </c>
      <c r="D1980" s="1">
        <v>1</v>
      </c>
      <c r="E1980" s="1">
        <v>3</v>
      </c>
      <c r="F1980" s="1">
        <v>6</v>
      </c>
      <c r="G1980" s="1">
        <v>10</v>
      </c>
      <c r="H1980" s="1">
        <v>1</v>
      </c>
      <c r="I1980" s="1">
        <v>1</v>
      </c>
      <c r="J1980" s="1">
        <v>1</v>
      </c>
    </row>
    <row r="1981" spans="1:10" x14ac:dyDescent="0.2">
      <c r="A1981" s="1">
        <v>332</v>
      </c>
      <c r="B1981" s="1">
        <v>0</v>
      </c>
      <c r="C1981" s="1">
        <v>5</v>
      </c>
      <c r="D1981" s="1">
        <v>1</v>
      </c>
      <c r="E1981" s="1">
        <v>1</v>
      </c>
      <c r="F1981" s="1">
        <v>7</v>
      </c>
      <c r="G1981" s="1">
        <v>10</v>
      </c>
      <c r="H1981" s="1">
        <v>0</v>
      </c>
      <c r="I1981" s="1">
        <v>2</v>
      </c>
      <c r="J1981" s="1">
        <v>1</v>
      </c>
    </row>
    <row r="1982" spans="1:10" x14ac:dyDescent="0.2">
      <c r="A1982" s="1">
        <v>958</v>
      </c>
      <c r="B1982" s="1">
        <v>0</v>
      </c>
      <c r="C1982" s="1">
        <v>11</v>
      </c>
      <c r="D1982" s="1">
        <v>3</v>
      </c>
      <c r="E1982" s="1">
        <v>1</v>
      </c>
      <c r="F1982" s="1">
        <v>7</v>
      </c>
      <c r="G1982" s="1">
        <v>10</v>
      </c>
      <c r="H1982" s="1">
        <v>0</v>
      </c>
      <c r="I1982" s="1">
        <v>1</v>
      </c>
      <c r="J1982" s="1">
        <v>1</v>
      </c>
    </row>
    <row r="1983" spans="1:10" x14ac:dyDescent="0.2">
      <c r="A1983" s="1">
        <v>426</v>
      </c>
      <c r="B1983" s="1">
        <v>0</v>
      </c>
      <c r="C1983" s="1">
        <v>13</v>
      </c>
      <c r="D1983" s="1">
        <v>2</v>
      </c>
      <c r="E1983" s="1">
        <v>1</v>
      </c>
      <c r="F1983" s="1">
        <v>7</v>
      </c>
      <c r="G1983" s="1">
        <v>10</v>
      </c>
      <c r="H1983" s="1">
        <v>0</v>
      </c>
      <c r="I1983" s="1">
        <v>3</v>
      </c>
      <c r="J1983" s="1">
        <v>1</v>
      </c>
    </row>
    <row r="1984" spans="1:10" x14ac:dyDescent="0.2">
      <c r="A1984" s="1">
        <v>846</v>
      </c>
      <c r="B1984" s="1">
        <v>0</v>
      </c>
      <c r="C1984" s="1">
        <v>15</v>
      </c>
      <c r="D1984" s="1">
        <v>2</v>
      </c>
      <c r="E1984" s="1">
        <v>2</v>
      </c>
      <c r="F1984" s="1">
        <v>7</v>
      </c>
      <c r="G1984" s="1">
        <v>10</v>
      </c>
      <c r="H1984" s="1">
        <v>0</v>
      </c>
      <c r="I1984" s="1">
        <v>2</v>
      </c>
      <c r="J1984" s="1">
        <v>1</v>
      </c>
    </row>
    <row r="1985" spans="1:10" x14ac:dyDescent="0.2">
      <c r="A1985" s="1">
        <v>822</v>
      </c>
      <c r="B1985" s="1">
        <v>0</v>
      </c>
      <c r="C1985" s="1">
        <v>18</v>
      </c>
      <c r="D1985" s="1">
        <v>3</v>
      </c>
      <c r="E1985" s="1">
        <v>3</v>
      </c>
      <c r="F1985" s="1">
        <v>7</v>
      </c>
      <c r="G1985" s="1">
        <v>10</v>
      </c>
      <c r="H1985" s="1">
        <v>0</v>
      </c>
      <c r="I1985" s="1">
        <v>0</v>
      </c>
      <c r="J1985" s="1">
        <v>1</v>
      </c>
    </row>
    <row r="1986" spans="1:10" x14ac:dyDescent="0.2">
      <c r="A1986" s="1">
        <v>962</v>
      </c>
      <c r="B1986" s="1">
        <v>0</v>
      </c>
      <c r="C1986" s="1">
        <v>13</v>
      </c>
      <c r="D1986" s="1">
        <v>5</v>
      </c>
      <c r="E1986" s="1">
        <v>2</v>
      </c>
      <c r="F1986" s="1">
        <v>8</v>
      </c>
      <c r="G1986" s="1">
        <v>10</v>
      </c>
      <c r="H1986" s="1">
        <v>0</v>
      </c>
      <c r="I1986" s="1">
        <v>2</v>
      </c>
      <c r="J1986" s="1">
        <v>1</v>
      </c>
    </row>
    <row r="1987" spans="1:10" x14ac:dyDescent="0.2">
      <c r="A1987" s="1">
        <v>32</v>
      </c>
      <c r="B1987" s="1">
        <v>0</v>
      </c>
      <c r="C1987" s="1">
        <v>14</v>
      </c>
      <c r="D1987" s="1">
        <v>1</v>
      </c>
      <c r="E1987" s="1">
        <v>2</v>
      </c>
      <c r="F1987" s="1">
        <v>8</v>
      </c>
      <c r="G1987" s="1">
        <v>10</v>
      </c>
      <c r="H1987" s="1">
        <v>1</v>
      </c>
      <c r="I1987" s="1">
        <v>2</v>
      </c>
      <c r="J1987" s="1">
        <v>1</v>
      </c>
    </row>
    <row r="1988" spans="1:10" x14ac:dyDescent="0.2">
      <c r="A1988" s="1">
        <v>994</v>
      </c>
      <c r="B1988" s="1">
        <v>0</v>
      </c>
      <c r="C1988" s="1">
        <v>12</v>
      </c>
      <c r="D1988" s="1">
        <v>2</v>
      </c>
      <c r="E1988" s="1">
        <v>3</v>
      </c>
      <c r="F1988" s="1">
        <v>8</v>
      </c>
      <c r="G1988" s="1">
        <v>10</v>
      </c>
      <c r="H1988" s="1">
        <v>1</v>
      </c>
      <c r="I1988" s="1">
        <v>3</v>
      </c>
      <c r="J1988" s="1">
        <v>1</v>
      </c>
    </row>
    <row r="1989" spans="1:10" x14ac:dyDescent="0.2">
      <c r="A1989" s="1">
        <v>405</v>
      </c>
      <c r="B1989" s="1">
        <v>0</v>
      </c>
      <c r="C1989" s="1">
        <v>8</v>
      </c>
      <c r="D1989" s="1">
        <v>3</v>
      </c>
      <c r="E1989" s="1">
        <v>1</v>
      </c>
      <c r="F1989" s="1">
        <v>9</v>
      </c>
      <c r="G1989" s="1">
        <v>10</v>
      </c>
      <c r="H1989" s="1">
        <v>0</v>
      </c>
      <c r="I1989" s="1">
        <v>1</v>
      </c>
      <c r="J1989" s="1">
        <v>1</v>
      </c>
    </row>
    <row r="1990" spans="1:10" x14ac:dyDescent="0.2">
      <c r="A1990" s="1">
        <v>722</v>
      </c>
      <c r="B1990" s="1">
        <v>0</v>
      </c>
      <c r="C1990" s="1">
        <v>8</v>
      </c>
      <c r="D1990" s="1">
        <v>5</v>
      </c>
      <c r="E1990" s="1">
        <v>1</v>
      </c>
      <c r="F1990" s="1">
        <v>9</v>
      </c>
      <c r="G1990" s="1">
        <v>10</v>
      </c>
      <c r="H1990" s="1">
        <v>0</v>
      </c>
      <c r="I1990" s="1">
        <v>3</v>
      </c>
      <c r="J1990" s="1">
        <v>1</v>
      </c>
    </row>
    <row r="1991" spans="1:10" x14ac:dyDescent="0.2">
      <c r="A1991" s="1">
        <v>1915</v>
      </c>
      <c r="B1991" s="1">
        <v>0</v>
      </c>
      <c r="C1991" s="1">
        <v>20</v>
      </c>
      <c r="D1991" s="1">
        <v>5</v>
      </c>
      <c r="E1991" s="1">
        <v>1</v>
      </c>
      <c r="F1991" s="1">
        <v>9</v>
      </c>
      <c r="G1991" s="1">
        <v>10</v>
      </c>
      <c r="H1991" s="1">
        <v>0</v>
      </c>
      <c r="I1991" s="1">
        <v>1</v>
      </c>
      <c r="J1991" s="1">
        <v>1</v>
      </c>
    </row>
    <row r="1992" spans="1:10" x14ac:dyDescent="0.2">
      <c r="A1992" s="1">
        <v>1929</v>
      </c>
      <c r="B1992" s="1">
        <v>0</v>
      </c>
      <c r="C1992" s="1">
        <v>5</v>
      </c>
      <c r="D1992" s="1">
        <v>2</v>
      </c>
      <c r="E1992" s="1">
        <v>2</v>
      </c>
      <c r="F1992" s="1">
        <v>9</v>
      </c>
      <c r="G1992" s="1">
        <v>10</v>
      </c>
      <c r="H1992" s="1">
        <v>0</v>
      </c>
      <c r="I1992" s="1">
        <v>3</v>
      </c>
      <c r="J1992" s="1">
        <v>1</v>
      </c>
    </row>
    <row r="1993" spans="1:10" x14ac:dyDescent="0.2">
      <c r="A1993" s="1">
        <v>101</v>
      </c>
      <c r="B1993" s="1">
        <v>0</v>
      </c>
      <c r="C1993" s="1">
        <v>12</v>
      </c>
      <c r="D1993" s="1">
        <v>1</v>
      </c>
      <c r="E1993" s="1">
        <v>2</v>
      </c>
      <c r="F1993" s="1">
        <v>9</v>
      </c>
      <c r="G1993" s="1">
        <v>10</v>
      </c>
      <c r="H1993" s="1">
        <v>0</v>
      </c>
      <c r="I1993" s="1">
        <v>2</v>
      </c>
      <c r="J1993" s="1">
        <v>1</v>
      </c>
    </row>
    <row r="1994" spans="1:10" x14ac:dyDescent="0.2">
      <c r="A1994" s="1">
        <v>1430</v>
      </c>
      <c r="B1994" s="1">
        <v>0</v>
      </c>
      <c r="C1994" s="1">
        <v>18</v>
      </c>
      <c r="D1994" s="1">
        <v>1</v>
      </c>
      <c r="E1994" s="1">
        <v>2</v>
      </c>
      <c r="F1994" s="1">
        <v>9</v>
      </c>
      <c r="G1994" s="1">
        <v>10</v>
      </c>
      <c r="H1994" s="1">
        <v>1</v>
      </c>
      <c r="I1994" s="1">
        <v>1</v>
      </c>
      <c r="J1994" s="1">
        <v>1</v>
      </c>
    </row>
    <row r="1995" spans="1:10" x14ac:dyDescent="0.2">
      <c r="A1995" s="1">
        <v>142</v>
      </c>
      <c r="B1995" s="1">
        <v>0</v>
      </c>
      <c r="C1995" s="1">
        <v>20</v>
      </c>
      <c r="D1995" s="1">
        <v>4</v>
      </c>
      <c r="E1995" s="1">
        <v>2</v>
      </c>
      <c r="F1995" s="1">
        <v>9</v>
      </c>
      <c r="G1995" s="1">
        <v>10</v>
      </c>
      <c r="H1995" s="1">
        <v>0</v>
      </c>
      <c r="I1995" s="1">
        <v>2</v>
      </c>
      <c r="J1995" s="1">
        <v>1</v>
      </c>
    </row>
    <row r="1996" spans="1:10" x14ac:dyDescent="0.2">
      <c r="A1996" s="1">
        <v>1809</v>
      </c>
      <c r="B1996" s="1">
        <v>0</v>
      </c>
      <c r="C1996" s="1">
        <v>5</v>
      </c>
      <c r="D1996" s="1">
        <v>3</v>
      </c>
      <c r="E1996" s="1">
        <v>3</v>
      </c>
      <c r="F1996" s="1">
        <v>9</v>
      </c>
      <c r="G1996" s="1">
        <v>10</v>
      </c>
      <c r="H1996" s="1">
        <v>1</v>
      </c>
      <c r="I1996" s="1">
        <v>3</v>
      </c>
      <c r="J1996" s="1">
        <v>1</v>
      </c>
    </row>
    <row r="1997" spans="1:10" x14ac:dyDescent="0.2">
      <c r="A1997" s="1">
        <v>1363</v>
      </c>
      <c r="B1997" s="1">
        <v>0</v>
      </c>
      <c r="C1997" s="1">
        <v>20</v>
      </c>
      <c r="D1997" s="1">
        <v>4</v>
      </c>
      <c r="E1997" s="1">
        <v>3</v>
      </c>
      <c r="F1997" s="1">
        <v>9</v>
      </c>
      <c r="G1997" s="1">
        <v>10</v>
      </c>
      <c r="H1997" s="1">
        <v>0</v>
      </c>
      <c r="I1997" s="1">
        <v>3</v>
      </c>
      <c r="J1997" s="1">
        <v>1</v>
      </c>
    </row>
    <row r="1998" spans="1:10" x14ac:dyDescent="0.2">
      <c r="A1998" s="1">
        <v>2123</v>
      </c>
      <c r="B1998" s="1">
        <v>0</v>
      </c>
      <c r="C1998" s="1">
        <v>20</v>
      </c>
      <c r="D1998" s="1">
        <v>4</v>
      </c>
      <c r="E1998" s="1">
        <v>3</v>
      </c>
      <c r="F1998" s="1">
        <v>9</v>
      </c>
      <c r="G1998" s="1">
        <v>10</v>
      </c>
      <c r="H1998" s="1">
        <v>1</v>
      </c>
      <c r="I1998" s="1">
        <v>1</v>
      </c>
      <c r="J1998" s="1">
        <v>1</v>
      </c>
    </row>
    <row r="1999" spans="1:10" x14ac:dyDescent="0.2">
      <c r="A1999" s="1">
        <v>1880</v>
      </c>
      <c r="B1999" s="1">
        <v>0</v>
      </c>
      <c r="C1999" s="1">
        <v>8</v>
      </c>
      <c r="D1999" s="1">
        <v>1</v>
      </c>
      <c r="E1999" s="1">
        <v>2</v>
      </c>
      <c r="F1999" s="1">
        <v>10</v>
      </c>
      <c r="G1999" s="1">
        <v>10</v>
      </c>
      <c r="H1999" s="1">
        <v>0</v>
      </c>
      <c r="I1999" s="1">
        <v>0</v>
      </c>
      <c r="J1999" s="1">
        <v>1</v>
      </c>
    </row>
    <row r="2000" spans="1:10" x14ac:dyDescent="0.2">
      <c r="A2000" s="1">
        <v>1971</v>
      </c>
      <c r="B2000" s="1">
        <v>0</v>
      </c>
      <c r="C2000" s="1">
        <v>13</v>
      </c>
      <c r="D2000" s="1">
        <v>1</v>
      </c>
      <c r="E2000" s="1">
        <v>2</v>
      </c>
      <c r="F2000" s="1">
        <v>10</v>
      </c>
      <c r="G2000" s="1">
        <v>10</v>
      </c>
      <c r="H2000" s="1">
        <v>1</v>
      </c>
      <c r="I2000" s="1">
        <v>3</v>
      </c>
      <c r="J2000" s="1">
        <v>1</v>
      </c>
    </row>
    <row r="2001" spans="1:10" x14ac:dyDescent="0.2">
      <c r="A2001" s="1">
        <v>1723</v>
      </c>
      <c r="B2001" s="1">
        <v>0</v>
      </c>
      <c r="C2001" s="1">
        <v>16</v>
      </c>
      <c r="D2001" s="1">
        <v>2</v>
      </c>
      <c r="E2001" s="1">
        <v>2</v>
      </c>
      <c r="F2001" s="1">
        <v>10</v>
      </c>
      <c r="G2001" s="1">
        <v>10</v>
      </c>
      <c r="H2001" s="1">
        <v>0</v>
      </c>
      <c r="I2001" s="1">
        <v>2</v>
      </c>
      <c r="J2001" s="1">
        <v>1</v>
      </c>
    </row>
    <row r="2002" spans="1:10" x14ac:dyDescent="0.2">
      <c r="A2002" s="1">
        <v>2155</v>
      </c>
      <c r="B2002" s="1">
        <v>0</v>
      </c>
      <c r="C2002" s="1">
        <v>7</v>
      </c>
      <c r="D2002" s="1">
        <v>5</v>
      </c>
      <c r="E2002" s="1">
        <v>3</v>
      </c>
      <c r="F2002" s="1">
        <v>10</v>
      </c>
      <c r="G2002" s="1">
        <v>10</v>
      </c>
      <c r="H2002" s="1">
        <v>0</v>
      </c>
      <c r="I2002" s="1">
        <v>1</v>
      </c>
      <c r="J2002" s="1">
        <v>1</v>
      </c>
    </row>
    <row r="2003" spans="1:10" x14ac:dyDescent="0.2">
      <c r="A2003" s="1">
        <v>2144</v>
      </c>
      <c r="B2003" s="1">
        <v>0</v>
      </c>
      <c r="C2003" s="1">
        <v>19</v>
      </c>
      <c r="D2003" s="1">
        <v>2</v>
      </c>
      <c r="E2003" s="1">
        <v>3</v>
      </c>
      <c r="F2003" s="1">
        <v>10</v>
      </c>
      <c r="G2003" s="1">
        <v>10</v>
      </c>
      <c r="H2003" s="1">
        <v>0</v>
      </c>
      <c r="I2003" s="1">
        <v>1</v>
      </c>
      <c r="J2003" s="1">
        <v>1</v>
      </c>
    </row>
    <row r="2004" spans="1:10" x14ac:dyDescent="0.2">
      <c r="A2004" s="1">
        <v>50</v>
      </c>
      <c r="B2004" s="1">
        <v>0</v>
      </c>
      <c r="C2004" s="1">
        <v>5</v>
      </c>
      <c r="D2004" s="1">
        <v>4</v>
      </c>
      <c r="E2004" s="1">
        <v>2</v>
      </c>
      <c r="F2004" s="1">
        <v>1</v>
      </c>
      <c r="G2004" s="1">
        <v>10</v>
      </c>
      <c r="H2004" s="1">
        <v>1</v>
      </c>
      <c r="I2004" s="1">
        <v>2</v>
      </c>
      <c r="J2004" s="1">
        <v>2</v>
      </c>
    </row>
    <row r="2005" spans="1:10" x14ac:dyDescent="0.2">
      <c r="A2005" s="1">
        <v>17</v>
      </c>
      <c r="B2005" s="1">
        <v>0</v>
      </c>
      <c r="C2005" s="1">
        <v>6</v>
      </c>
      <c r="D2005" s="1">
        <v>2</v>
      </c>
      <c r="E2005" s="1">
        <v>3</v>
      </c>
      <c r="F2005" s="1">
        <v>1</v>
      </c>
      <c r="G2005" s="1">
        <v>10</v>
      </c>
      <c r="H2005" s="1">
        <v>0</v>
      </c>
      <c r="I2005" s="1">
        <v>2</v>
      </c>
      <c r="J2005" s="1">
        <v>2</v>
      </c>
    </row>
    <row r="2006" spans="1:10" x14ac:dyDescent="0.2">
      <c r="A2006" s="1">
        <v>1876</v>
      </c>
      <c r="B2006" s="1">
        <v>0</v>
      </c>
      <c r="C2006" s="1">
        <v>10</v>
      </c>
      <c r="D2006" s="1">
        <v>4</v>
      </c>
      <c r="E2006" s="1">
        <v>1</v>
      </c>
      <c r="F2006" s="1">
        <v>2</v>
      </c>
      <c r="G2006" s="1">
        <v>10</v>
      </c>
      <c r="H2006" s="1">
        <v>0</v>
      </c>
      <c r="I2006" s="1">
        <v>2</v>
      </c>
      <c r="J2006" s="1">
        <v>2</v>
      </c>
    </row>
    <row r="2007" spans="1:10" x14ac:dyDescent="0.2">
      <c r="A2007" s="1">
        <v>395</v>
      </c>
      <c r="B2007" s="1">
        <v>0</v>
      </c>
      <c r="C2007" s="1">
        <v>12</v>
      </c>
      <c r="D2007" s="1">
        <v>1</v>
      </c>
      <c r="E2007" s="1">
        <v>1</v>
      </c>
      <c r="F2007" s="1">
        <v>2</v>
      </c>
      <c r="G2007" s="1">
        <v>10</v>
      </c>
      <c r="H2007" s="1">
        <v>0</v>
      </c>
      <c r="I2007" s="1">
        <v>0</v>
      </c>
      <c r="J2007" s="1">
        <v>2</v>
      </c>
    </row>
    <row r="2008" spans="1:10" x14ac:dyDescent="0.2">
      <c r="A2008" s="1">
        <v>911</v>
      </c>
      <c r="B2008" s="1">
        <v>0</v>
      </c>
      <c r="C2008" s="1">
        <v>17</v>
      </c>
      <c r="D2008" s="1">
        <v>4</v>
      </c>
      <c r="E2008" s="1">
        <v>1</v>
      </c>
      <c r="F2008" s="1">
        <v>2</v>
      </c>
      <c r="G2008" s="1">
        <v>10</v>
      </c>
      <c r="H2008" s="1">
        <v>0</v>
      </c>
      <c r="I2008" s="1">
        <v>1</v>
      </c>
      <c r="J2008" s="1">
        <v>2</v>
      </c>
    </row>
    <row r="2009" spans="1:10" x14ac:dyDescent="0.2">
      <c r="A2009" s="1">
        <v>1233</v>
      </c>
      <c r="B2009" s="1">
        <v>0</v>
      </c>
      <c r="C2009" s="1">
        <v>9</v>
      </c>
      <c r="D2009" s="1">
        <v>1</v>
      </c>
      <c r="E2009" s="1">
        <v>2</v>
      </c>
      <c r="F2009" s="1">
        <v>2</v>
      </c>
      <c r="G2009" s="1">
        <v>10</v>
      </c>
      <c r="H2009" s="1">
        <v>0</v>
      </c>
      <c r="I2009" s="1">
        <v>1</v>
      </c>
      <c r="J2009" s="1">
        <v>2</v>
      </c>
    </row>
    <row r="2010" spans="1:10" x14ac:dyDescent="0.2">
      <c r="A2010" s="1">
        <v>501</v>
      </c>
      <c r="B2010" s="1">
        <v>0</v>
      </c>
      <c r="C2010" s="1">
        <v>7</v>
      </c>
      <c r="D2010" s="1">
        <v>1</v>
      </c>
      <c r="E2010" s="1">
        <v>3</v>
      </c>
      <c r="F2010" s="1">
        <v>3</v>
      </c>
      <c r="G2010" s="1">
        <v>10</v>
      </c>
      <c r="H2010" s="1">
        <v>0</v>
      </c>
      <c r="I2010" s="1">
        <v>3</v>
      </c>
      <c r="J2010" s="1">
        <v>2</v>
      </c>
    </row>
    <row r="2011" spans="1:10" x14ac:dyDescent="0.2">
      <c r="A2011" s="1">
        <v>2426</v>
      </c>
      <c r="B2011" s="1">
        <v>0</v>
      </c>
      <c r="C2011" s="1">
        <v>18</v>
      </c>
      <c r="D2011" s="1">
        <v>5</v>
      </c>
      <c r="E2011" s="1">
        <v>3</v>
      </c>
      <c r="F2011" s="1">
        <v>3</v>
      </c>
      <c r="G2011" s="1">
        <v>10</v>
      </c>
      <c r="H2011" s="1">
        <v>0</v>
      </c>
      <c r="I2011" s="1">
        <v>3</v>
      </c>
      <c r="J2011" s="1">
        <v>2</v>
      </c>
    </row>
    <row r="2012" spans="1:10" x14ac:dyDescent="0.2">
      <c r="A2012" s="1">
        <v>1004</v>
      </c>
      <c r="B2012" s="1">
        <v>0</v>
      </c>
      <c r="C2012" s="1">
        <v>20</v>
      </c>
      <c r="D2012" s="1">
        <v>1</v>
      </c>
      <c r="E2012" s="1">
        <v>3</v>
      </c>
      <c r="F2012" s="1">
        <v>3</v>
      </c>
      <c r="G2012" s="1">
        <v>10</v>
      </c>
      <c r="H2012" s="1">
        <v>1</v>
      </c>
      <c r="I2012" s="1">
        <v>2</v>
      </c>
      <c r="J2012" s="1">
        <v>2</v>
      </c>
    </row>
    <row r="2013" spans="1:10" x14ac:dyDescent="0.2">
      <c r="A2013" s="1">
        <v>1830</v>
      </c>
      <c r="B2013" s="1">
        <v>0</v>
      </c>
      <c r="C2013" s="1">
        <v>12</v>
      </c>
      <c r="D2013" s="1">
        <v>5</v>
      </c>
      <c r="E2013" s="1">
        <v>1</v>
      </c>
      <c r="F2013" s="1">
        <v>4</v>
      </c>
      <c r="G2013" s="1">
        <v>10</v>
      </c>
      <c r="H2013" s="1">
        <v>1</v>
      </c>
      <c r="I2013" s="1">
        <v>3</v>
      </c>
      <c r="J2013" s="1">
        <v>2</v>
      </c>
    </row>
    <row r="2014" spans="1:10" x14ac:dyDescent="0.2">
      <c r="A2014" s="1">
        <v>675</v>
      </c>
      <c r="B2014" s="1">
        <v>0</v>
      </c>
      <c r="C2014" s="1">
        <v>7</v>
      </c>
      <c r="D2014" s="1">
        <v>1</v>
      </c>
      <c r="E2014" s="1">
        <v>2</v>
      </c>
      <c r="F2014" s="1">
        <v>4</v>
      </c>
      <c r="G2014" s="1">
        <v>10</v>
      </c>
      <c r="H2014" s="1">
        <v>0</v>
      </c>
      <c r="I2014" s="1">
        <v>3</v>
      </c>
      <c r="J2014" s="1">
        <v>2</v>
      </c>
    </row>
    <row r="2015" spans="1:10" x14ac:dyDescent="0.2">
      <c r="A2015" s="1">
        <v>2028</v>
      </c>
      <c r="B2015" s="1">
        <v>0</v>
      </c>
      <c r="C2015" s="1">
        <v>11</v>
      </c>
      <c r="D2015" s="1">
        <v>5</v>
      </c>
      <c r="E2015" s="1">
        <v>2</v>
      </c>
      <c r="F2015" s="1">
        <v>4</v>
      </c>
      <c r="G2015" s="1">
        <v>10</v>
      </c>
      <c r="H2015" s="1">
        <v>0</v>
      </c>
      <c r="I2015" s="1">
        <v>2</v>
      </c>
      <c r="J2015" s="1">
        <v>2</v>
      </c>
    </row>
    <row r="2016" spans="1:10" x14ac:dyDescent="0.2">
      <c r="A2016" s="1">
        <v>1745</v>
      </c>
      <c r="B2016" s="1">
        <v>0</v>
      </c>
      <c r="C2016" s="1">
        <v>19</v>
      </c>
      <c r="D2016" s="1">
        <v>1</v>
      </c>
      <c r="E2016" s="1">
        <v>2</v>
      </c>
      <c r="F2016" s="1">
        <v>4</v>
      </c>
      <c r="G2016" s="1">
        <v>10</v>
      </c>
      <c r="H2016" s="1">
        <v>0</v>
      </c>
      <c r="I2016" s="1">
        <v>0</v>
      </c>
      <c r="J2016" s="1">
        <v>2</v>
      </c>
    </row>
    <row r="2017" spans="1:10" x14ac:dyDescent="0.2">
      <c r="A2017" s="1">
        <v>2019</v>
      </c>
      <c r="B2017" s="1">
        <v>0</v>
      </c>
      <c r="C2017" s="1">
        <v>18</v>
      </c>
      <c r="D2017" s="1">
        <v>5</v>
      </c>
      <c r="E2017" s="1">
        <v>2</v>
      </c>
      <c r="F2017" s="1">
        <v>5</v>
      </c>
      <c r="G2017" s="1">
        <v>10</v>
      </c>
      <c r="H2017" s="1">
        <v>1</v>
      </c>
      <c r="I2017" s="1">
        <v>1</v>
      </c>
      <c r="J2017" s="1">
        <v>2</v>
      </c>
    </row>
    <row r="2018" spans="1:10" x14ac:dyDescent="0.2">
      <c r="A2018" s="1">
        <v>454</v>
      </c>
      <c r="B2018" s="1">
        <v>0</v>
      </c>
      <c r="C2018" s="1">
        <v>7</v>
      </c>
      <c r="D2018" s="1">
        <v>3</v>
      </c>
      <c r="E2018" s="1">
        <v>3</v>
      </c>
      <c r="F2018" s="1">
        <v>5</v>
      </c>
      <c r="G2018" s="1">
        <v>10</v>
      </c>
      <c r="H2018" s="1">
        <v>0</v>
      </c>
      <c r="I2018" s="1">
        <v>1</v>
      </c>
      <c r="J2018" s="1">
        <v>2</v>
      </c>
    </row>
    <row r="2019" spans="1:10" x14ac:dyDescent="0.2">
      <c r="A2019" s="1">
        <v>1439</v>
      </c>
      <c r="B2019" s="1">
        <v>0</v>
      </c>
      <c r="C2019" s="1">
        <v>10</v>
      </c>
      <c r="D2019" s="1">
        <v>2</v>
      </c>
      <c r="E2019" s="1">
        <v>3</v>
      </c>
      <c r="F2019" s="1">
        <v>5</v>
      </c>
      <c r="G2019" s="1">
        <v>10</v>
      </c>
      <c r="H2019" s="1">
        <v>1</v>
      </c>
      <c r="I2019" s="1">
        <v>3</v>
      </c>
      <c r="J2019" s="1">
        <v>2</v>
      </c>
    </row>
    <row r="2020" spans="1:10" x14ac:dyDescent="0.2">
      <c r="A2020" s="1">
        <v>544</v>
      </c>
      <c r="B2020" s="1">
        <v>0</v>
      </c>
      <c r="C2020" s="1">
        <v>15</v>
      </c>
      <c r="D2020" s="1">
        <v>1</v>
      </c>
      <c r="E2020" s="1">
        <v>3</v>
      </c>
      <c r="F2020" s="1">
        <v>5</v>
      </c>
      <c r="G2020" s="1">
        <v>10</v>
      </c>
      <c r="H2020" s="1">
        <v>1</v>
      </c>
      <c r="I2020" s="1">
        <v>0</v>
      </c>
      <c r="J2020" s="1">
        <v>2</v>
      </c>
    </row>
    <row r="2021" spans="1:10" x14ac:dyDescent="0.2">
      <c r="A2021" s="1">
        <v>2230</v>
      </c>
      <c r="B2021" s="1">
        <v>0</v>
      </c>
      <c r="C2021" s="1">
        <v>15</v>
      </c>
      <c r="D2021" s="1">
        <v>3</v>
      </c>
      <c r="E2021" s="1">
        <v>3</v>
      </c>
      <c r="F2021" s="1">
        <v>5</v>
      </c>
      <c r="G2021" s="1">
        <v>10</v>
      </c>
      <c r="H2021" s="1">
        <v>0</v>
      </c>
      <c r="I2021" s="1">
        <v>3</v>
      </c>
      <c r="J2021" s="1">
        <v>2</v>
      </c>
    </row>
    <row r="2022" spans="1:10" x14ac:dyDescent="0.2">
      <c r="A2022" s="1">
        <v>1841</v>
      </c>
      <c r="B2022" s="1">
        <v>0</v>
      </c>
      <c r="C2022" s="1">
        <v>14</v>
      </c>
      <c r="D2022" s="1">
        <v>4</v>
      </c>
      <c r="E2022" s="1">
        <v>1</v>
      </c>
      <c r="F2022" s="1">
        <v>6</v>
      </c>
      <c r="G2022" s="1">
        <v>10</v>
      </c>
      <c r="H2022" s="1">
        <v>1</v>
      </c>
      <c r="I2022" s="1">
        <v>1</v>
      </c>
      <c r="J2022" s="1">
        <v>2</v>
      </c>
    </row>
    <row r="2023" spans="1:10" x14ac:dyDescent="0.2">
      <c r="A2023" s="1">
        <v>582</v>
      </c>
      <c r="B2023" s="1">
        <v>0</v>
      </c>
      <c r="C2023" s="1">
        <v>9</v>
      </c>
      <c r="D2023" s="1">
        <v>3</v>
      </c>
      <c r="E2023" s="1">
        <v>2</v>
      </c>
      <c r="F2023" s="1">
        <v>6</v>
      </c>
      <c r="G2023" s="1">
        <v>10</v>
      </c>
      <c r="H2023" s="1">
        <v>0</v>
      </c>
      <c r="I2023" s="1">
        <v>2</v>
      </c>
      <c r="J2023" s="1">
        <v>2</v>
      </c>
    </row>
    <row r="2024" spans="1:10" x14ac:dyDescent="0.2">
      <c r="A2024" s="1">
        <v>1367</v>
      </c>
      <c r="B2024" s="1">
        <v>0</v>
      </c>
      <c r="C2024" s="1">
        <v>18</v>
      </c>
      <c r="D2024" s="1">
        <v>3</v>
      </c>
      <c r="E2024" s="1">
        <v>2</v>
      </c>
      <c r="F2024" s="1">
        <v>6</v>
      </c>
      <c r="G2024" s="1">
        <v>10</v>
      </c>
      <c r="H2024" s="1">
        <v>0</v>
      </c>
      <c r="I2024" s="1">
        <v>2</v>
      </c>
      <c r="J2024" s="1">
        <v>2</v>
      </c>
    </row>
    <row r="2025" spans="1:10" x14ac:dyDescent="0.2">
      <c r="A2025" s="1">
        <v>1178</v>
      </c>
      <c r="B2025" s="1">
        <v>0</v>
      </c>
      <c r="C2025" s="1">
        <v>8</v>
      </c>
      <c r="D2025" s="1">
        <v>4</v>
      </c>
      <c r="E2025" s="1">
        <v>3</v>
      </c>
      <c r="F2025" s="1">
        <v>6</v>
      </c>
      <c r="G2025" s="1">
        <v>10</v>
      </c>
      <c r="H2025" s="1">
        <v>0</v>
      </c>
      <c r="I2025" s="1">
        <v>1</v>
      </c>
      <c r="J2025" s="1">
        <v>2</v>
      </c>
    </row>
    <row r="2026" spans="1:10" x14ac:dyDescent="0.2">
      <c r="A2026" s="1">
        <v>502</v>
      </c>
      <c r="B2026" s="1">
        <v>0</v>
      </c>
      <c r="C2026" s="1">
        <v>20</v>
      </c>
      <c r="D2026" s="1">
        <v>2</v>
      </c>
      <c r="E2026" s="1">
        <v>3</v>
      </c>
      <c r="F2026" s="1">
        <v>6</v>
      </c>
      <c r="G2026" s="1">
        <v>10</v>
      </c>
      <c r="H2026" s="1">
        <v>1</v>
      </c>
      <c r="I2026" s="1">
        <v>0</v>
      </c>
      <c r="J2026" s="1">
        <v>2</v>
      </c>
    </row>
    <row r="2027" spans="1:10" x14ac:dyDescent="0.2">
      <c r="A2027" s="1">
        <v>1220</v>
      </c>
      <c r="B2027" s="1">
        <v>0</v>
      </c>
      <c r="C2027" s="1">
        <v>6</v>
      </c>
      <c r="D2027" s="1">
        <v>4</v>
      </c>
      <c r="E2027" s="1">
        <v>2</v>
      </c>
      <c r="F2027" s="1">
        <v>7</v>
      </c>
      <c r="G2027" s="1">
        <v>10</v>
      </c>
      <c r="H2027" s="1">
        <v>1</v>
      </c>
      <c r="I2027" s="1">
        <v>2</v>
      </c>
      <c r="J2027" s="1">
        <v>2</v>
      </c>
    </row>
    <row r="2028" spans="1:10" x14ac:dyDescent="0.2">
      <c r="A2028" s="1">
        <v>3</v>
      </c>
      <c r="B2028" s="1">
        <v>0</v>
      </c>
      <c r="C2028" s="1">
        <v>14</v>
      </c>
      <c r="D2028" s="1">
        <v>1</v>
      </c>
      <c r="E2028" s="1">
        <v>2</v>
      </c>
      <c r="F2028" s="1">
        <v>7</v>
      </c>
      <c r="G2028" s="1">
        <v>10</v>
      </c>
      <c r="H2028" s="1">
        <v>1</v>
      </c>
      <c r="I2028" s="1">
        <v>0</v>
      </c>
      <c r="J2028" s="1">
        <v>2</v>
      </c>
    </row>
    <row r="2029" spans="1:10" x14ac:dyDescent="0.2">
      <c r="A2029" s="1">
        <v>1002</v>
      </c>
      <c r="B2029" s="1">
        <v>0</v>
      </c>
      <c r="C2029" s="1">
        <v>16</v>
      </c>
      <c r="D2029" s="1">
        <v>2</v>
      </c>
      <c r="E2029" s="1">
        <v>2</v>
      </c>
      <c r="F2029" s="1">
        <v>7</v>
      </c>
      <c r="G2029" s="1">
        <v>10</v>
      </c>
      <c r="H2029" s="1">
        <v>0</v>
      </c>
      <c r="I2029" s="1">
        <v>3</v>
      </c>
      <c r="J2029" s="1">
        <v>2</v>
      </c>
    </row>
    <row r="2030" spans="1:10" x14ac:dyDescent="0.2">
      <c r="A2030" s="1">
        <v>2029</v>
      </c>
      <c r="B2030" s="1">
        <v>0</v>
      </c>
      <c r="C2030" s="1">
        <v>18</v>
      </c>
      <c r="D2030" s="1">
        <v>3</v>
      </c>
      <c r="E2030" s="1">
        <v>2</v>
      </c>
      <c r="F2030" s="1">
        <v>7</v>
      </c>
      <c r="G2030" s="1">
        <v>10</v>
      </c>
      <c r="H2030" s="1">
        <v>0</v>
      </c>
      <c r="I2030" s="1">
        <v>0</v>
      </c>
      <c r="J2030" s="1">
        <v>2</v>
      </c>
    </row>
    <row r="2031" spans="1:10" x14ac:dyDescent="0.2">
      <c r="A2031" s="1">
        <v>1437</v>
      </c>
      <c r="B2031" s="1">
        <v>0</v>
      </c>
      <c r="C2031" s="1">
        <v>15</v>
      </c>
      <c r="D2031" s="1">
        <v>2</v>
      </c>
      <c r="E2031" s="1">
        <v>3</v>
      </c>
      <c r="F2031" s="1">
        <v>7</v>
      </c>
      <c r="G2031" s="1">
        <v>10</v>
      </c>
      <c r="H2031" s="1">
        <v>1</v>
      </c>
      <c r="I2031" s="1">
        <v>0</v>
      </c>
      <c r="J2031" s="1">
        <v>2</v>
      </c>
    </row>
    <row r="2032" spans="1:10" x14ac:dyDescent="0.2">
      <c r="A2032" s="1">
        <v>1945</v>
      </c>
      <c r="B2032" s="1">
        <v>0</v>
      </c>
      <c r="C2032" s="1">
        <v>19</v>
      </c>
      <c r="D2032" s="1">
        <v>1</v>
      </c>
      <c r="E2032" s="1">
        <v>3</v>
      </c>
      <c r="F2032" s="1">
        <v>7</v>
      </c>
      <c r="G2032" s="1">
        <v>10</v>
      </c>
      <c r="H2032" s="1">
        <v>1</v>
      </c>
      <c r="I2032" s="1">
        <v>0</v>
      </c>
      <c r="J2032" s="1">
        <v>2</v>
      </c>
    </row>
    <row r="2033" spans="1:10" x14ac:dyDescent="0.2">
      <c r="A2033" s="1">
        <v>2492</v>
      </c>
      <c r="B2033" s="1">
        <v>0</v>
      </c>
      <c r="C2033" s="1">
        <v>8</v>
      </c>
      <c r="D2033" s="1">
        <v>5</v>
      </c>
      <c r="E2033" s="1">
        <v>2</v>
      </c>
      <c r="F2033" s="1">
        <v>8</v>
      </c>
      <c r="G2033" s="1">
        <v>10</v>
      </c>
      <c r="H2033" s="1">
        <v>1</v>
      </c>
      <c r="I2033" s="1">
        <v>2</v>
      </c>
      <c r="J2033" s="1">
        <v>2</v>
      </c>
    </row>
    <row r="2034" spans="1:10" x14ac:dyDescent="0.2">
      <c r="A2034" s="1">
        <v>131</v>
      </c>
      <c r="B2034" s="1">
        <v>0</v>
      </c>
      <c r="C2034" s="1">
        <v>15</v>
      </c>
      <c r="D2034" s="1">
        <v>1</v>
      </c>
      <c r="E2034" s="1">
        <v>3</v>
      </c>
      <c r="F2034" s="1">
        <v>8</v>
      </c>
      <c r="G2034" s="1">
        <v>10</v>
      </c>
      <c r="H2034" s="1">
        <v>0</v>
      </c>
      <c r="I2034" s="1">
        <v>2</v>
      </c>
      <c r="J2034" s="1">
        <v>2</v>
      </c>
    </row>
    <row r="2035" spans="1:10" x14ac:dyDescent="0.2">
      <c r="A2035" s="1">
        <v>755</v>
      </c>
      <c r="B2035" s="1">
        <v>0</v>
      </c>
      <c r="C2035" s="1">
        <v>12</v>
      </c>
      <c r="D2035" s="1">
        <v>2</v>
      </c>
      <c r="E2035" s="1">
        <v>3</v>
      </c>
      <c r="F2035" s="1">
        <v>9</v>
      </c>
      <c r="G2035" s="1">
        <v>10</v>
      </c>
      <c r="H2035" s="1">
        <v>0</v>
      </c>
      <c r="I2035" s="1">
        <v>0</v>
      </c>
      <c r="J2035" s="1">
        <v>2</v>
      </c>
    </row>
    <row r="2036" spans="1:10" x14ac:dyDescent="0.2">
      <c r="A2036" s="1">
        <v>2445</v>
      </c>
      <c r="B2036" s="1">
        <v>0</v>
      </c>
      <c r="C2036" s="1">
        <v>15</v>
      </c>
      <c r="D2036" s="1">
        <v>5</v>
      </c>
      <c r="E2036" s="1">
        <v>3</v>
      </c>
      <c r="F2036" s="1">
        <v>9</v>
      </c>
      <c r="G2036" s="1">
        <v>10</v>
      </c>
      <c r="H2036" s="1">
        <v>0</v>
      </c>
      <c r="I2036" s="1">
        <v>0</v>
      </c>
      <c r="J2036" s="1">
        <v>2</v>
      </c>
    </row>
    <row r="2037" spans="1:10" x14ac:dyDescent="0.2">
      <c r="A2037" s="1">
        <v>2133</v>
      </c>
      <c r="B2037" s="1">
        <v>0</v>
      </c>
      <c r="C2037" s="1">
        <v>5</v>
      </c>
      <c r="D2037" s="1">
        <v>1</v>
      </c>
      <c r="E2037" s="1">
        <v>3</v>
      </c>
      <c r="F2037" s="1">
        <v>10</v>
      </c>
      <c r="G2037" s="1">
        <v>10</v>
      </c>
      <c r="H2037" s="1">
        <v>1</v>
      </c>
      <c r="I2037" s="1">
        <v>3</v>
      </c>
      <c r="J2037" s="1">
        <v>2</v>
      </c>
    </row>
    <row r="2038" spans="1:10" x14ac:dyDescent="0.2">
      <c r="A2038" s="1">
        <v>581</v>
      </c>
      <c r="B2038" s="1">
        <v>0</v>
      </c>
      <c r="C2038" s="1">
        <v>8</v>
      </c>
      <c r="D2038" s="1">
        <v>4</v>
      </c>
      <c r="E2038" s="1">
        <v>3</v>
      </c>
      <c r="F2038" s="1">
        <v>10</v>
      </c>
      <c r="G2038" s="1">
        <v>10</v>
      </c>
      <c r="H2038" s="1">
        <v>1</v>
      </c>
      <c r="I2038" s="1">
        <v>2</v>
      </c>
      <c r="J2038" s="1">
        <v>2</v>
      </c>
    </row>
    <row r="2039" spans="1:10" x14ac:dyDescent="0.2">
      <c r="A2039" s="1">
        <v>1098</v>
      </c>
      <c r="B2039" s="1">
        <v>0</v>
      </c>
      <c r="C2039" s="1">
        <v>13</v>
      </c>
      <c r="D2039" s="1">
        <v>1</v>
      </c>
      <c r="E2039" s="1">
        <v>1</v>
      </c>
      <c r="F2039" s="1">
        <v>1</v>
      </c>
      <c r="G2039" s="1">
        <v>10</v>
      </c>
      <c r="H2039" s="1">
        <v>1</v>
      </c>
      <c r="I2039" s="1">
        <v>0</v>
      </c>
      <c r="J2039" s="1">
        <v>3</v>
      </c>
    </row>
    <row r="2040" spans="1:10" x14ac:dyDescent="0.2">
      <c r="A2040" s="1">
        <v>162</v>
      </c>
      <c r="B2040" s="1">
        <v>0</v>
      </c>
      <c r="C2040" s="1">
        <v>18</v>
      </c>
      <c r="D2040" s="1">
        <v>1</v>
      </c>
      <c r="E2040" s="1">
        <v>1</v>
      </c>
      <c r="F2040" s="1">
        <v>1</v>
      </c>
      <c r="G2040" s="1">
        <v>10</v>
      </c>
      <c r="H2040" s="1">
        <v>0</v>
      </c>
      <c r="I2040" s="1">
        <v>2</v>
      </c>
      <c r="J2040" s="1">
        <v>3</v>
      </c>
    </row>
    <row r="2041" spans="1:10" x14ac:dyDescent="0.2">
      <c r="A2041" s="1">
        <v>1318</v>
      </c>
      <c r="B2041" s="1">
        <v>0</v>
      </c>
      <c r="C2041" s="1">
        <v>9</v>
      </c>
      <c r="D2041" s="1">
        <v>4</v>
      </c>
      <c r="E2041" s="1">
        <v>2</v>
      </c>
      <c r="F2041" s="1">
        <v>2</v>
      </c>
      <c r="G2041" s="1">
        <v>10</v>
      </c>
      <c r="H2041" s="1">
        <v>1</v>
      </c>
      <c r="I2041" s="1">
        <v>3</v>
      </c>
      <c r="J2041" s="1">
        <v>3</v>
      </c>
    </row>
    <row r="2042" spans="1:10" x14ac:dyDescent="0.2">
      <c r="A2042" s="1">
        <v>2097</v>
      </c>
      <c r="B2042" s="1">
        <v>0</v>
      </c>
      <c r="C2042" s="1">
        <v>11</v>
      </c>
      <c r="D2042" s="1">
        <v>3</v>
      </c>
      <c r="E2042" s="1">
        <v>1</v>
      </c>
      <c r="F2042" s="1">
        <v>3</v>
      </c>
      <c r="G2042" s="1">
        <v>10</v>
      </c>
      <c r="H2042" s="1">
        <v>1</v>
      </c>
      <c r="I2042" s="1">
        <v>1</v>
      </c>
      <c r="J2042" s="1">
        <v>3</v>
      </c>
    </row>
    <row r="2043" spans="1:10" x14ac:dyDescent="0.2">
      <c r="A2043" s="1">
        <v>774</v>
      </c>
      <c r="B2043" s="1">
        <v>0</v>
      </c>
      <c r="C2043" s="1">
        <v>7</v>
      </c>
      <c r="D2043" s="1">
        <v>3</v>
      </c>
      <c r="E2043" s="1">
        <v>3</v>
      </c>
      <c r="F2043" s="1">
        <v>3</v>
      </c>
      <c r="G2043" s="1">
        <v>10</v>
      </c>
      <c r="H2043" s="1">
        <v>0</v>
      </c>
      <c r="I2043" s="1">
        <v>0</v>
      </c>
      <c r="J2043" s="1">
        <v>3</v>
      </c>
    </row>
    <row r="2044" spans="1:10" x14ac:dyDescent="0.2">
      <c r="A2044" s="1">
        <v>1622</v>
      </c>
      <c r="B2044" s="1">
        <v>0</v>
      </c>
      <c r="C2044" s="1">
        <v>9</v>
      </c>
      <c r="D2044" s="1">
        <v>4</v>
      </c>
      <c r="E2044" s="1">
        <v>3</v>
      </c>
      <c r="F2044" s="1">
        <v>3</v>
      </c>
      <c r="G2044" s="1">
        <v>10</v>
      </c>
      <c r="H2044" s="1">
        <v>1</v>
      </c>
      <c r="I2044" s="1">
        <v>3</v>
      </c>
      <c r="J2044" s="1">
        <v>3</v>
      </c>
    </row>
    <row r="2045" spans="1:10" x14ac:dyDescent="0.2">
      <c r="A2045" s="1">
        <v>1890</v>
      </c>
      <c r="B2045" s="1">
        <v>0</v>
      </c>
      <c r="C2045" s="1">
        <v>14</v>
      </c>
      <c r="D2045" s="1">
        <v>5</v>
      </c>
      <c r="E2045" s="1">
        <v>3</v>
      </c>
      <c r="F2045" s="1">
        <v>4</v>
      </c>
      <c r="G2045" s="1">
        <v>10</v>
      </c>
      <c r="H2045" s="1">
        <v>1</v>
      </c>
      <c r="I2045" s="1">
        <v>0</v>
      </c>
      <c r="J2045" s="1">
        <v>3</v>
      </c>
    </row>
    <row r="2046" spans="1:10" x14ac:dyDescent="0.2">
      <c r="A2046" s="1">
        <v>933</v>
      </c>
      <c r="B2046" s="1">
        <v>0</v>
      </c>
      <c r="C2046" s="1">
        <v>11</v>
      </c>
      <c r="D2046" s="1">
        <v>5</v>
      </c>
      <c r="E2046" s="1">
        <v>2</v>
      </c>
      <c r="F2046" s="1">
        <v>5</v>
      </c>
      <c r="G2046" s="1">
        <v>10</v>
      </c>
      <c r="H2046" s="1">
        <v>0</v>
      </c>
      <c r="I2046" s="1">
        <v>3</v>
      </c>
      <c r="J2046" s="1">
        <v>3</v>
      </c>
    </row>
    <row r="2047" spans="1:10" x14ac:dyDescent="0.2">
      <c r="A2047" s="1">
        <v>828</v>
      </c>
      <c r="B2047" s="1">
        <v>0</v>
      </c>
      <c r="C2047" s="1">
        <v>20</v>
      </c>
      <c r="D2047" s="1">
        <v>2</v>
      </c>
      <c r="E2047" s="1">
        <v>3</v>
      </c>
      <c r="F2047" s="1">
        <v>5</v>
      </c>
      <c r="G2047" s="1">
        <v>10</v>
      </c>
      <c r="H2047" s="1">
        <v>1</v>
      </c>
      <c r="I2047" s="1">
        <v>2</v>
      </c>
      <c r="J2047" s="1">
        <v>3</v>
      </c>
    </row>
    <row r="2048" spans="1:10" x14ac:dyDescent="0.2">
      <c r="A2048" s="1">
        <v>1146</v>
      </c>
      <c r="B2048" s="1">
        <v>0</v>
      </c>
      <c r="C2048" s="1">
        <v>20</v>
      </c>
      <c r="D2048" s="1">
        <v>1</v>
      </c>
      <c r="E2048" s="1">
        <v>3</v>
      </c>
      <c r="F2048" s="1">
        <v>5</v>
      </c>
      <c r="G2048" s="1">
        <v>10</v>
      </c>
      <c r="H2048" s="1">
        <v>1</v>
      </c>
      <c r="I2048" s="1">
        <v>2</v>
      </c>
      <c r="J2048" s="1">
        <v>3</v>
      </c>
    </row>
    <row r="2049" spans="1:10" x14ac:dyDescent="0.2">
      <c r="A2049" s="1">
        <v>2371</v>
      </c>
      <c r="B2049" s="1">
        <v>0</v>
      </c>
      <c r="C2049" s="1">
        <v>6</v>
      </c>
      <c r="D2049" s="1">
        <v>5</v>
      </c>
      <c r="E2049" s="1">
        <v>3</v>
      </c>
      <c r="F2049" s="1">
        <v>6</v>
      </c>
      <c r="G2049" s="1">
        <v>10</v>
      </c>
      <c r="H2049" s="1">
        <v>0</v>
      </c>
      <c r="I2049" s="1">
        <v>1</v>
      </c>
      <c r="J2049" s="1">
        <v>3</v>
      </c>
    </row>
    <row r="2050" spans="1:10" x14ac:dyDescent="0.2">
      <c r="A2050" s="1">
        <v>1105</v>
      </c>
      <c r="B2050" s="1">
        <v>0</v>
      </c>
      <c r="C2050" s="1">
        <v>16</v>
      </c>
      <c r="D2050" s="1">
        <v>5</v>
      </c>
      <c r="E2050" s="1">
        <v>3</v>
      </c>
      <c r="F2050" s="1">
        <v>7</v>
      </c>
      <c r="G2050" s="1">
        <v>10</v>
      </c>
      <c r="H2050" s="1">
        <v>0</v>
      </c>
      <c r="I2050" s="1">
        <v>0</v>
      </c>
      <c r="J2050" s="1">
        <v>3</v>
      </c>
    </row>
    <row r="2051" spans="1:10" x14ac:dyDescent="0.2">
      <c r="A2051" s="1">
        <v>1341</v>
      </c>
      <c r="B2051" s="1">
        <v>0</v>
      </c>
      <c r="C2051" s="1">
        <v>19</v>
      </c>
      <c r="D2051" s="1">
        <v>5</v>
      </c>
      <c r="E2051" s="1">
        <v>3</v>
      </c>
      <c r="F2051" s="1">
        <v>7</v>
      </c>
      <c r="G2051" s="1">
        <v>10</v>
      </c>
      <c r="H2051" s="1">
        <v>0</v>
      </c>
      <c r="I2051" s="1">
        <v>3</v>
      </c>
      <c r="J2051" s="1">
        <v>3</v>
      </c>
    </row>
    <row r="2052" spans="1:10" x14ac:dyDescent="0.2">
      <c r="A2052" s="1">
        <v>1616</v>
      </c>
      <c r="B2052" s="1">
        <v>0</v>
      </c>
      <c r="C2052" s="1">
        <v>18</v>
      </c>
      <c r="D2052" s="1">
        <v>1</v>
      </c>
      <c r="E2052" s="1">
        <v>3</v>
      </c>
      <c r="F2052" s="1">
        <v>8</v>
      </c>
      <c r="G2052" s="1">
        <v>10</v>
      </c>
      <c r="H2052" s="1">
        <v>1</v>
      </c>
      <c r="I2052" s="1">
        <v>3</v>
      </c>
      <c r="J2052" s="1">
        <v>3</v>
      </c>
    </row>
    <row r="2053" spans="1:10" x14ac:dyDescent="0.2">
      <c r="A2053" s="1">
        <v>1981</v>
      </c>
      <c r="B2053" s="1">
        <v>0</v>
      </c>
      <c r="C2053" s="1">
        <v>8</v>
      </c>
      <c r="D2053" s="1">
        <v>1</v>
      </c>
      <c r="E2053" s="1">
        <v>3</v>
      </c>
      <c r="F2053" s="1">
        <v>9</v>
      </c>
      <c r="G2053" s="1">
        <v>10</v>
      </c>
      <c r="H2053" s="1">
        <v>1</v>
      </c>
      <c r="I2053" s="1">
        <v>1</v>
      </c>
      <c r="J2053" s="1">
        <v>3</v>
      </c>
    </row>
    <row r="2054" spans="1:10" x14ac:dyDescent="0.2">
      <c r="A2054" s="1">
        <v>583</v>
      </c>
      <c r="B2054" s="1">
        <v>0</v>
      </c>
      <c r="C2054" s="1">
        <v>9</v>
      </c>
      <c r="D2054" s="1">
        <v>5</v>
      </c>
      <c r="E2054" s="1">
        <v>3</v>
      </c>
      <c r="F2054" s="1">
        <v>9</v>
      </c>
      <c r="G2054" s="1">
        <v>10</v>
      </c>
      <c r="H2054" s="1">
        <v>1</v>
      </c>
      <c r="I2054" s="1">
        <v>3</v>
      </c>
      <c r="J2054" s="1">
        <v>3</v>
      </c>
    </row>
    <row r="2055" spans="1:10" x14ac:dyDescent="0.2">
      <c r="A2055" s="1">
        <v>1100</v>
      </c>
      <c r="B2055" s="1">
        <v>0</v>
      </c>
      <c r="C2055" s="1">
        <v>17</v>
      </c>
      <c r="D2055" s="1">
        <v>3</v>
      </c>
      <c r="E2055" s="1">
        <v>3</v>
      </c>
      <c r="F2055" s="1">
        <v>9</v>
      </c>
      <c r="G2055" s="1">
        <v>10</v>
      </c>
      <c r="H2055" s="1">
        <v>1</v>
      </c>
      <c r="I2055" s="1">
        <v>2</v>
      </c>
      <c r="J2055" s="1">
        <v>3</v>
      </c>
    </row>
    <row r="2056" spans="1:10" x14ac:dyDescent="0.2">
      <c r="A2056" s="1">
        <v>27</v>
      </c>
      <c r="B2056" s="1">
        <v>0</v>
      </c>
      <c r="C2056" s="1">
        <v>19</v>
      </c>
      <c r="D2056" s="1">
        <v>1</v>
      </c>
      <c r="E2056" s="1">
        <v>3</v>
      </c>
      <c r="F2056" s="1">
        <v>9</v>
      </c>
      <c r="G2056" s="1">
        <v>10</v>
      </c>
      <c r="H2056" s="1">
        <v>1</v>
      </c>
      <c r="I2056" s="1">
        <v>0</v>
      </c>
      <c r="J2056" s="1">
        <v>3</v>
      </c>
    </row>
    <row r="2057" spans="1:10" x14ac:dyDescent="0.2">
      <c r="A2057" s="1">
        <v>1040</v>
      </c>
      <c r="B2057" s="1">
        <v>0</v>
      </c>
      <c r="C2057" s="1">
        <v>19</v>
      </c>
      <c r="D2057" s="1">
        <v>4</v>
      </c>
      <c r="E2057" s="1">
        <v>3</v>
      </c>
      <c r="F2057" s="1">
        <v>10</v>
      </c>
      <c r="G2057" s="1">
        <v>10</v>
      </c>
      <c r="H2057" s="1">
        <v>1</v>
      </c>
      <c r="I2057" s="1">
        <v>0</v>
      </c>
      <c r="J2057" s="1">
        <v>3</v>
      </c>
    </row>
    <row r="2058" spans="1:10" x14ac:dyDescent="0.2">
      <c r="A2058" s="1">
        <v>2100</v>
      </c>
      <c r="B2058" s="1">
        <v>0</v>
      </c>
      <c r="C2058" s="1">
        <v>12</v>
      </c>
      <c r="D2058" s="1">
        <v>3</v>
      </c>
      <c r="E2058" s="1">
        <v>3</v>
      </c>
      <c r="F2058" s="1">
        <v>1</v>
      </c>
      <c r="G2058" s="1">
        <v>10</v>
      </c>
      <c r="H2058" s="1">
        <v>0</v>
      </c>
      <c r="I2058" s="1">
        <v>3</v>
      </c>
      <c r="J2058" s="1">
        <v>4</v>
      </c>
    </row>
    <row r="2059" spans="1:10" x14ac:dyDescent="0.2">
      <c r="A2059" s="1">
        <v>1708</v>
      </c>
      <c r="B2059" s="1">
        <v>0</v>
      </c>
      <c r="C2059" s="1">
        <v>14</v>
      </c>
      <c r="D2059" s="1">
        <v>3</v>
      </c>
      <c r="E2059" s="1">
        <v>3</v>
      </c>
      <c r="F2059" s="1">
        <v>1</v>
      </c>
      <c r="G2059" s="1">
        <v>10</v>
      </c>
      <c r="H2059" s="1">
        <v>0</v>
      </c>
      <c r="I2059" s="1">
        <v>3</v>
      </c>
      <c r="J2059" s="1">
        <v>4</v>
      </c>
    </row>
    <row r="2060" spans="1:10" x14ac:dyDescent="0.2">
      <c r="A2060" s="1">
        <v>270</v>
      </c>
      <c r="B2060" s="1">
        <v>0</v>
      </c>
      <c r="C2060" s="1">
        <v>8</v>
      </c>
      <c r="D2060" s="1">
        <v>2</v>
      </c>
      <c r="E2060" s="1">
        <v>3</v>
      </c>
      <c r="F2060" s="1">
        <v>2</v>
      </c>
      <c r="G2060" s="1">
        <v>10</v>
      </c>
      <c r="H2060" s="1">
        <v>0</v>
      </c>
      <c r="I2060" s="1">
        <v>0</v>
      </c>
      <c r="J2060" s="1">
        <v>4</v>
      </c>
    </row>
    <row r="2061" spans="1:10" x14ac:dyDescent="0.2">
      <c r="A2061" s="1">
        <v>13</v>
      </c>
      <c r="B2061" s="1">
        <v>0</v>
      </c>
      <c r="C2061" s="1">
        <v>20</v>
      </c>
      <c r="D2061" s="1">
        <v>1</v>
      </c>
      <c r="E2061" s="1">
        <v>3</v>
      </c>
      <c r="F2061" s="1">
        <v>2</v>
      </c>
      <c r="G2061" s="1">
        <v>10</v>
      </c>
      <c r="H2061" s="1">
        <v>1</v>
      </c>
      <c r="I2061" s="1">
        <v>1</v>
      </c>
      <c r="J2061" s="1">
        <v>4</v>
      </c>
    </row>
    <row r="2062" spans="1:10" x14ac:dyDescent="0.2">
      <c r="A2062" s="1">
        <v>257</v>
      </c>
      <c r="B2062" s="1">
        <v>0</v>
      </c>
      <c r="C2062" s="1">
        <v>7</v>
      </c>
      <c r="D2062" s="1">
        <v>4</v>
      </c>
      <c r="E2062" s="1">
        <v>3</v>
      </c>
      <c r="F2062" s="1">
        <v>5</v>
      </c>
      <c r="G2062" s="1">
        <v>10</v>
      </c>
      <c r="H2062" s="1">
        <v>1</v>
      </c>
      <c r="I2062" s="1">
        <v>1</v>
      </c>
      <c r="J2062" s="1">
        <v>4</v>
      </c>
    </row>
    <row r="2063" spans="1:10" x14ac:dyDescent="0.2">
      <c r="A2063" s="1">
        <v>2054</v>
      </c>
      <c r="B2063" s="1">
        <v>0</v>
      </c>
      <c r="C2063" s="1">
        <v>12</v>
      </c>
      <c r="D2063" s="1">
        <v>4</v>
      </c>
      <c r="E2063" s="1">
        <v>3</v>
      </c>
      <c r="F2063" s="1">
        <v>5</v>
      </c>
      <c r="G2063" s="1">
        <v>10</v>
      </c>
      <c r="H2063" s="1">
        <v>0</v>
      </c>
      <c r="I2063" s="1">
        <v>2</v>
      </c>
      <c r="J2063" s="1">
        <v>4</v>
      </c>
    </row>
    <row r="2064" spans="1:10" x14ac:dyDescent="0.2">
      <c r="A2064" s="1">
        <v>709</v>
      </c>
      <c r="B2064" s="1">
        <v>0</v>
      </c>
      <c r="C2064" s="1">
        <v>11</v>
      </c>
      <c r="D2064" s="1">
        <v>2</v>
      </c>
      <c r="E2064" s="1">
        <v>3</v>
      </c>
      <c r="F2064" s="1">
        <v>6</v>
      </c>
      <c r="G2064" s="1">
        <v>10</v>
      </c>
      <c r="H2064" s="1">
        <v>1</v>
      </c>
      <c r="I2064" s="1">
        <v>3</v>
      </c>
      <c r="J2064" s="1">
        <v>4</v>
      </c>
    </row>
    <row r="2065" spans="1:10" x14ac:dyDescent="0.2">
      <c r="A2065" s="1">
        <v>1051</v>
      </c>
      <c r="B2065" s="1">
        <v>0</v>
      </c>
      <c r="C2065" s="1">
        <v>12</v>
      </c>
      <c r="D2065" s="1">
        <v>5</v>
      </c>
      <c r="E2065" s="1">
        <v>3</v>
      </c>
      <c r="F2065" s="1">
        <v>6</v>
      </c>
      <c r="G2065" s="1">
        <v>10</v>
      </c>
      <c r="H2065" s="1">
        <v>0</v>
      </c>
      <c r="I2065" s="1">
        <v>3</v>
      </c>
      <c r="J2065" s="1">
        <v>4</v>
      </c>
    </row>
    <row r="2066" spans="1:10" x14ac:dyDescent="0.2">
      <c r="A2066" s="1">
        <v>971</v>
      </c>
      <c r="B2066" s="1">
        <v>0</v>
      </c>
      <c r="C2066" s="1">
        <v>5</v>
      </c>
      <c r="D2066" s="1">
        <v>3</v>
      </c>
      <c r="E2066" s="1">
        <v>3</v>
      </c>
      <c r="F2066" s="1">
        <v>7</v>
      </c>
      <c r="G2066" s="1">
        <v>10</v>
      </c>
      <c r="H2066" s="1">
        <v>1</v>
      </c>
      <c r="I2066" s="1">
        <v>0</v>
      </c>
      <c r="J2066" s="1">
        <v>4</v>
      </c>
    </row>
    <row r="2067" spans="1:10" x14ac:dyDescent="0.2">
      <c r="A2067" s="1">
        <v>2341</v>
      </c>
      <c r="B2067" s="1">
        <v>0</v>
      </c>
      <c r="C2067" s="1">
        <v>5</v>
      </c>
      <c r="D2067" s="1">
        <v>1</v>
      </c>
      <c r="E2067" s="1">
        <v>3</v>
      </c>
      <c r="F2067" s="1">
        <v>7</v>
      </c>
      <c r="G2067" s="1">
        <v>10</v>
      </c>
      <c r="H2067" s="1">
        <v>1</v>
      </c>
      <c r="I2067" s="1">
        <v>2</v>
      </c>
      <c r="J2067" s="1">
        <v>4</v>
      </c>
    </row>
    <row r="2068" spans="1:10" x14ac:dyDescent="0.2">
      <c r="A2068" s="1">
        <v>532</v>
      </c>
      <c r="B2068" s="1">
        <v>0</v>
      </c>
      <c r="C2068" s="1">
        <v>12</v>
      </c>
      <c r="D2068" s="1">
        <v>4</v>
      </c>
      <c r="E2068" s="1">
        <v>3</v>
      </c>
      <c r="F2068" s="1">
        <v>7</v>
      </c>
      <c r="G2068" s="1">
        <v>10</v>
      </c>
      <c r="H2068" s="1">
        <v>1</v>
      </c>
      <c r="I2068" s="1">
        <v>1</v>
      </c>
      <c r="J2068" s="1">
        <v>4</v>
      </c>
    </row>
    <row r="2069" spans="1:10" x14ac:dyDescent="0.2">
      <c r="A2069" s="1">
        <v>1350</v>
      </c>
      <c r="B2069" s="1">
        <v>0</v>
      </c>
      <c r="C2069" s="1">
        <v>7</v>
      </c>
      <c r="D2069" s="1">
        <v>3</v>
      </c>
      <c r="E2069" s="1">
        <v>3</v>
      </c>
      <c r="F2069" s="1">
        <v>8</v>
      </c>
      <c r="G2069" s="1">
        <v>10</v>
      </c>
      <c r="H2069" s="1">
        <v>1</v>
      </c>
      <c r="I2069" s="1">
        <v>1</v>
      </c>
      <c r="J2069" s="1">
        <v>4</v>
      </c>
    </row>
    <row r="2070" spans="1:10" x14ac:dyDescent="0.2">
      <c r="A2070" s="1">
        <v>347</v>
      </c>
      <c r="B2070" s="1">
        <v>0</v>
      </c>
      <c r="C2070" s="1">
        <v>12</v>
      </c>
      <c r="D2070" s="1">
        <v>4</v>
      </c>
      <c r="E2070" s="1">
        <v>3</v>
      </c>
      <c r="F2070" s="1">
        <v>9</v>
      </c>
      <c r="G2070" s="1">
        <v>10</v>
      </c>
      <c r="H2070" s="1">
        <v>0</v>
      </c>
      <c r="I2070" s="1">
        <v>3</v>
      </c>
      <c r="J2070" s="1">
        <v>4</v>
      </c>
    </row>
    <row r="2071" spans="1:10" x14ac:dyDescent="0.2">
      <c r="A2071" s="1">
        <v>1635</v>
      </c>
      <c r="B2071" s="1">
        <v>0</v>
      </c>
      <c r="C2071" s="1">
        <v>19</v>
      </c>
      <c r="D2071" s="1">
        <v>1</v>
      </c>
      <c r="E2071" s="1">
        <v>3</v>
      </c>
      <c r="F2071" s="1">
        <v>10</v>
      </c>
      <c r="G2071" s="1">
        <v>10</v>
      </c>
      <c r="H2071" s="1">
        <v>0</v>
      </c>
      <c r="I2071" s="1">
        <v>2</v>
      </c>
      <c r="J2071" s="1">
        <v>4</v>
      </c>
    </row>
    <row r="2072" spans="1:10" s="13" customFormat="1" x14ac:dyDescent="0.2">
      <c r="A2072" s="12">
        <v>970</v>
      </c>
      <c r="B2072" s="12">
        <v>1</v>
      </c>
      <c r="C2072" s="12">
        <v>5</v>
      </c>
      <c r="D2072" s="12">
        <v>3</v>
      </c>
      <c r="E2072" s="12">
        <v>1</v>
      </c>
      <c r="F2072" s="12">
        <v>10</v>
      </c>
      <c r="G2072" s="12">
        <v>3</v>
      </c>
      <c r="H2072" s="12">
        <v>0</v>
      </c>
      <c r="I2072" s="12">
        <v>3</v>
      </c>
      <c r="J2072" s="12">
        <v>3</v>
      </c>
    </row>
    <row r="2073" spans="1:10" x14ac:dyDescent="0.2">
      <c r="A2073" s="1">
        <v>2121</v>
      </c>
      <c r="B2073" s="1">
        <v>1</v>
      </c>
      <c r="C2073" s="1">
        <v>20</v>
      </c>
      <c r="D2073" s="1">
        <v>4</v>
      </c>
      <c r="E2073" s="1">
        <v>1</v>
      </c>
      <c r="F2073" s="1">
        <v>10</v>
      </c>
      <c r="G2073" s="1">
        <v>3</v>
      </c>
      <c r="H2073" s="1">
        <v>0</v>
      </c>
      <c r="I2073" s="1">
        <v>1</v>
      </c>
      <c r="J2073" s="1">
        <v>3</v>
      </c>
    </row>
    <row r="2074" spans="1:10" x14ac:dyDescent="0.2">
      <c r="A2074" s="1">
        <v>651</v>
      </c>
      <c r="B2074" s="1">
        <v>1</v>
      </c>
      <c r="C2074" s="1">
        <v>6</v>
      </c>
      <c r="D2074" s="1">
        <v>4</v>
      </c>
      <c r="E2074" s="1">
        <v>1</v>
      </c>
      <c r="F2074" s="1">
        <v>9</v>
      </c>
      <c r="G2074" s="1">
        <v>3</v>
      </c>
      <c r="H2074" s="1">
        <v>1</v>
      </c>
      <c r="I2074" s="1">
        <v>2</v>
      </c>
      <c r="J2074" s="1">
        <v>4</v>
      </c>
    </row>
    <row r="2075" spans="1:10" x14ac:dyDescent="0.2">
      <c r="A2075" s="1">
        <v>849</v>
      </c>
      <c r="B2075" s="1">
        <v>1</v>
      </c>
      <c r="C2075" s="1">
        <v>8</v>
      </c>
      <c r="D2075" s="1">
        <v>3</v>
      </c>
      <c r="E2075" s="1">
        <v>1</v>
      </c>
      <c r="F2075" s="1">
        <v>9</v>
      </c>
      <c r="G2075" s="1">
        <v>3</v>
      </c>
      <c r="H2075" s="1">
        <v>1</v>
      </c>
      <c r="I2075" s="1">
        <v>3</v>
      </c>
      <c r="J2075" s="1">
        <v>4</v>
      </c>
    </row>
    <row r="2076" spans="1:10" x14ac:dyDescent="0.2">
      <c r="A2076" s="1">
        <v>2099</v>
      </c>
      <c r="B2076" s="1">
        <v>1</v>
      </c>
      <c r="C2076" s="1">
        <v>8</v>
      </c>
      <c r="D2076" s="1">
        <v>1</v>
      </c>
      <c r="E2076" s="1">
        <v>1</v>
      </c>
      <c r="F2076" s="1">
        <v>9</v>
      </c>
      <c r="G2076" s="1">
        <v>3</v>
      </c>
      <c r="H2076" s="1">
        <v>1</v>
      </c>
      <c r="I2076" s="1">
        <v>1</v>
      </c>
      <c r="J2076" s="1">
        <v>4</v>
      </c>
    </row>
    <row r="2077" spans="1:10" x14ac:dyDescent="0.2">
      <c r="A2077" s="1">
        <v>214</v>
      </c>
      <c r="B2077" s="1">
        <v>1</v>
      </c>
      <c r="C2077" s="1">
        <v>9</v>
      </c>
      <c r="D2077" s="1">
        <v>1</v>
      </c>
      <c r="E2077" s="1">
        <v>1</v>
      </c>
      <c r="F2077" s="1">
        <v>9</v>
      </c>
      <c r="G2077" s="1">
        <v>3</v>
      </c>
      <c r="H2077" s="1">
        <v>1</v>
      </c>
      <c r="I2077" s="1">
        <v>1</v>
      </c>
      <c r="J2077" s="1">
        <v>4</v>
      </c>
    </row>
    <row r="2078" spans="1:10" x14ac:dyDescent="0.2">
      <c r="A2078" s="1">
        <v>905</v>
      </c>
      <c r="B2078" s="1">
        <v>1</v>
      </c>
      <c r="C2078" s="1">
        <v>14</v>
      </c>
      <c r="D2078" s="1">
        <v>2</v>
      </c>
      <c r="E2078" s="1">
        <v>1</v>
      </c>
      <c r="F2078" s="1">
        <v>9</v>
      </c>
      <c r="G2078" s="1">
        <v>3</v>
      </c>
      <c r="H2078" s="1">
        <v>0</v>
      </c>
      <c r="I2078" s="1">
        <v>1</v>
      </c>
      <c r="J2078" s="1">
        <v>4</v>
      </c>
    </row>
    <row r="2079" spans="1:10" x14ac:dyDescent="0.2">
      <c r="A2079" s="1">
        <v>1306</v>
      </c>
      <c r="B2079" s="1">
        <v>1</v>
      </c>
      <c r="C2079" s="1">
        <v>10</v>
      </c>
      <c r="D2079" s="1">
        <v>2</v>
      </c>
      <c r="E2079" s="1">
        <v>1</v>
      </c>
      <c r="F2079" s="1">
        <v>10</v>
      </c>
      <c r="G2079" s="1">
        <v>3</v>
      </c>
      <c r="H2079" s="1">
        <v>0</v>
      </c>
      <c r="I2079" s="1">
        <v>0</v>
      </c>
      <c r="J2079" s="1">
        <v>4</v>
      </c>
    </row>
    <row r="2080" spans="1:10" x14ac:dyDescent="0.2">
      <c r="A2080" s="1">
        <v>1091</v>
      </c>
      <c r="B2080" s="1">
        <v>1</v>
      </c>
      <c r="C2080" s="1">
        <v>11</v>
      </c>
      <c r="D2080" s="1">
        <v>5</v>
      </c>
      <c r="E2080" s="1">
        <v>1</v>
      </c>
      <c r="F2080" s="1">
        <v>9</v>
      </c>
      <c r="G2080" s="1">
        <v>3</v>
      </c>
      <c r="H2080" s="1">
        <v>0</v>
      </c>
      <c r="I2080" s="1">
        <v>3</v>
      </c>
      <c r="J2080" s="1">
        <v>5</v>
      </c>
    </row>
    <row r="2081" spans="1:10" x14ac:dyDescent="0.2">
      <c r="A2081" s="1">
        <v>492</v>
      </c>
      <c r="B2081" s="1">
        <v>1</v>
      </c>
      <c r="C2081" s="1">
        <v>6</v>
      </c>
      <c r="D2081" s="1">
        <v>4</v>
      </c>
      <c r="E2081" s="1">
        <v>1</v>
      </c>
      <c r="F2081" s="1">
        <v>10</v>
      </c>
      <c r="G2081" s="1">
        <v>3</v>
      </c>
      <c r="H2081" s="1">
        <v>1</v>
      </c>
      <c r="I2081" s="1">
        <v>2</v>
      </c>
      <c r="J2081" s="1">
        <v>5</v>
      </c>
    </row>
    <row r="2082" spans="1:10" x14ac:dyDescent="0.2">
      <c r="A2082" s="1">
        <v>1645</v>
      </c>
      <c r="B2082" s="1">
        <v>1</v>
      </c>
      <c r="C2082" s="1">
        <v>12</v>
      </c>
      <c r="D2082" s="1">
        <v>4</v>
      </c>
      <c r="E2082" s="1">
        <v>1</v>
      </c>
      <c r="F2082" s="1">
        <v>10</v>
      </c>
      <c r="G2082" s="1">
        <v>3</v>
      </c>
      <c r="H2082" s="1">
        <v>0</v>
      </c>
      <c r="I2082" s="1">
        <v>0</v>
      </c>
      <c r="J2082" s="1">
        <v>5</v>
      </c>
    </row>
    <row r="2083" spans="1:10" x14ac:dyDescent="0.2">
      <c r="A2083" s="1">
        <v>2464</v>
      </c>
      <c r="B2083" s="1">
        <v>1</v>
      </c>
      <c r="C2083" s="1">
        <v>8</v>
      </c>
      <c r="D2083" s="1">
        <v>2</v>
      </c>
      <c r="E2083" s="1">
        <v>1</v>
      </c>
      <c r="F2083" s="1">
        <v>10</v>
      </c>
      <c r="G2083" s="1">
        <v>4</v>
      </c>
      <c r="H2083" s="1">
        <v>0</v>
      </c>
      <c r="I2083" s="1">
        <v>1</v>
      </c>
      <c r="J2083" s="1">
        <v>2</v>
      </c>
    </row>
    <row r="2084" spans="1:10" x14ac:dyDescent="0.2">
      <c r="A2084" s="1">
        <v>2075</v>
      </c>
      <c r="B2084" s="1">
        <v>1</v>
      </c>
      <c r="C2084" s="1">
        <v>17</v>
      </c>
      <c r="D2084" s="1">
        <v>1</v>
      </c>
      <c r="E2084" s="1">
        <v>1</v>
      </c>
      <c r="F2084" s="1">
        <v>10</v>
      </c>
      <c r="G2084" s="1">
        <v>4</v>
      </c>
      <c r="H2084" s="1">
        <v>1</v>
      </c>
      <c r="I2084" s="1">
        <v>2</v>
      </c>
      <c r="J2084" s="1">
        <v>2</v>
      </c>
    </row>
    <row r="2085" spans="1:10" x14ac:dyDescent="0.2">
      <c r="A2085" s="1">
        <v>1816</v>
      </c>
      <c r="B2085" s="1">
        <v>1</v>
      </c>
      <c r="C2085" s="1">
        <v>16</v>
      </c>
      <c r="D2085" s="1">
        <v>2</v>
      </c>
      <c r="E2085" s="1">
        <v>1</v>
      </c>
      <c r="F2085" s="1">
        <v>10</v>
      </c>
      <c r="G2085" s="1">
        <v>4</v>
      </c>
      <c r="H2085" s="1">
        <v>1</v>
      </c>
      <c r="I2085" s="1">
        <v>0</v>
      </c>
      <c r="J2085" s="1">
        <v>3</v>
      </c>
    </row>
    <row r="2086" spans="1:10" x14ac:dyDescent="0.2">
      <c r="A2086" s="1">
        <v>673</v>
      </c>
      <c r="B2086" s="1">
        <v>1</v>
      </c>
      <c r="C2086" s="1">
        <v>20</v>
      </c>
      <c r="D2086" s="1">
        <v>1</v>
      </c>
      <c r="E2086" s="1">
        <v>1</v>
      </c>
      <c r="F2086" s="1">
        <v>10</v>
      </c>
      <c r="G2086" s="1">
        <v>4</v>
      </c>
      <c r="H2086" s="1">
        <v>0</v>
      </c>
      <c r="I2086" s="1">
        <v>2</v>
      </c>
      <c r="J2086" s="1">
        <v>3</v>
      </c>
    </row>
    <row r="2087" spans="1:10" x14ac:dyDescent="0.2">
      <c r="A2087" s="1">
        <v>375</v>
      </c>
      <c r="B2087" s="1">
        <v>1</v>
      </c>
      <c r="C2087" s="1">
        <v>14</v>
      </c>
      <c r="D2087" s="1">
        <v>3</v>
      </c>
      <c r="E2087" s="1">
        <v>1</v>
      </c>
      <c r="F2087" s="1">
        <v>8</v>
      </c>
      <c r="G2087" s="1">
        <v>4</v>
      </c>
      <c r="H2087" s="1">
        <v>0</v>
      </c>
      <c r="I2087" s="1">
        <v>3</v>
      </c>
      <c r="J2087" s="1">
        <v>4</v>
      </c>
    </row>
    <row r="2088" spans="1:10" x14ac:dyDescent="0.2">
      <c r="A2088" s="1">
        <v>140</v>
      </c>
      <c r="B2088" s="1">
        <v>1</v>
      </c>
      <c r="C2088" s="1">
        <v>11</v>
      </c>
      <c r="D2088" s="1">
        <v>4</v>
      </c>
      <c r="E2088" s="1">
        <v>1</v>
      </c>
      <c r="F2088" s="1">
        <v>10</v>
      </c>
      <c r="G2088" s="1">
        <v>4</v>
      </c>
      <c r="H2088" s="1">
        <v>0</v>
      </c>
      <c r="I2088" s="1">
        <v>2</v>
      </c>
      <c r="J2088" s="1">
        <v>4</v>
      </c>
    </row>
    <row r="2089" spans="1:10" x14ac:dyDescent="0.2">
      <c r="A2089" s="1">
        <v>2161</v>
      </c>
      <c r="B2089" s="1">
        <v>1</v>
      </c>
      <c r="C2089" s="1">
        <v>13</v>
      </c>
      <c r="D2089" s="1">
        <v>2</v>
      </c>
      <c r="E2089" s="1">
        <v>1</v>
      </c>
      <c r="F2089" s="1">
        <v>10</v>
      </c>
      <c r="G2089" s="1">
        <v>4</v>
      </c>
      <c r="H2089" s="1">
        <v>0</v>
      </c>
      <c r="I2089" s="1">
        <v>3</v>
      </c>
      <c r="J2089" s="1">
        <v>4</v>
      </c>
    </row>
    <row r="2090" spans="1:10" x14ac:dyDescent="0.2">
      <c r="A2090" s="1">
        <v>541</v>
      </c>
      <c r="B2090" s="1">
        <v>1</v>
      </c>
      <c r="C2090" s="1">
        <v>6</v>
      </c>
      <c r="D2090" s="1">
        <v>4</v>
      </c>
      <c r="E2090" s="1">
        <v>1</v>
      </c>
      <c r="F2090" s="1">
        <v>9</v>
      </c>
      <c r="G2090" s="1">
        <v>4</v>
      </c>
      <c r="H2090" s="1">
        <v>0</v>
      </c>
      <c r="I2090" s="1">
        <v>0</v>
      </c>
      <c r="J2090" s="1">
        <v>5</v>
      </c>
    </row>
    <row r="2091" spans="1:10" x14ac:dyDescent="0.2">
      <c r="A2091" s="1">
        <v>540</v>
      </c>
      <c r="B2091" s="1">
        <v>1</v>
      </c>
      <c r="C2091" s="1">
        <v>5</v>
      </c>
      <c r="D2091" s="1">
        <v>1</v>
      </c>
      <c r="E2091" s="1">
        <v>1</v>
      </c>
      <c r="F2091" s="1">
        <v>10</v>
      </c>
      <c r="G2091" s="1">
        <v>4</v>
      </c>
      <c r="H2091" s="1">
        <v>0</v>
      </c>
      <c r="I2091" s="1">
        <v>2</v>
      </c>
      <c r="J2091" s="1">
        <v>5</v>
      </c>
    </row>
    <row r="2092" spans="1:10" x14ac:dyDescent="0.2">
      <c r="A2092" s="1">
        <v>217</v>
      </c>
      <c r="B2092" s="1">
        <v>1</v>
      </c>
      <c r="C2092" s="1">
        <v>12</v>
      </c>
      <c r="D2092" s="1">
        <v>1</v>
      </c>
      <c r="E2092" s="1">
        <v>1</v>
      </c>
      <c r="F2092" s="1">
        <v>10</v>
      </c>
      <c r="G2092" s="1">
        <v>4</v>
      </c>
      <c r="H2092" s="1">
        <v>1</v>
      </c>
      <c r="I2092" s="1">
        <v>0</v>
      </c>
      <c r="J2092" s="1">
        <v>5</v>
      </c>
    </row>
    <row r="2093" spans="1:10" x14ac:dyDescent="0.2">
      <c r="A2093" s="1">
        <v>608</v>
      </c>
      <c r="B2093" s="1">
        <v>1</v>
      </c>
      <c r="C2093" s="1">
        <v>12</v>
      </c>
      <c r="D2093" s="1">
        <v>1</v>
      </c>
      <c r="E2093" s="1">
        <v>1</v>
      </c>
      <c r="F2093" s="1">
        <v>10</v>
      </c>
      <c r="G2093" s="1">
        <v>5</v>
      </c>
      <c r="H2093" s="1">
        <v>1</v>
      </c>
      <c r="I2093" s="1">
        <v>3</v>
      </c>
      <c r="J2093" s="1">
        <v>2</v>
      </c>
    </row>
    <row r="2094" spans="1:10" x14ac:dyDescent="0.2">
      <c r="A2094" s="1">
        <v>1168</v>
      </c>
      <c r="B2094" s="1">
        <v>1</v>
      </c>
      <c r="C2094" s="1">
        <v>13</v>
      </c>
      <c r="D2094" s="1">
        <v>5</v>
      </c>
      <c r="E2094" s="1">
        <v>1</v>
      </c>
      <c r="F2094" s="1">
        <v>10</v>
      </c>
      <c r="G2094" s="1">
        <v>5</v>
      </c>
      <c r="H2094" s="1">
        <v>1</v>
      </c>
      <c r="I2094" s="1">
        <v>1</v>
      </c>
      <c r="J2094" s="1">
        <v>2</v>
      </c>
    </row>
    <row r="2095" spans="1:10" x14ac:dyDescent="0.2">
      <c r="A2095" s="1">
        <v>2217</v>
      </c>
      <c r="B2095" s="1">
        <v>1</v>
      </c>
      <c r="C2095" s="1">
        <v>17</v>
      </c>
      <c r="D2095" s="1">
        <v>5</v>
      </c>
      <c r="E2095" s="1">
        <v>1</v>
      </c>
      <c r="F2095" s="1">
        <v>10</v>
      </c>
      <c r="G2095" s="1">
        <v>5</v>
      </c>
      <c r="H2095" s="1">
        <v>0</v>
      </c>
      <c r="I2095" s="1">
        <v>2</v>
      </c>
      <c r="J2095" s="1">
        <v>2</v>
      </c>
    </row>
    <row r="2096" spans="1:10" x14ac:dyDescent="0.2">
      <c r="A2096" s="1">
        <v>689</v>
      </c>
      <c r="B2096" s="1">
        <v>1</v>
      </c>
      <c r="C2096" s="1">
        <v>19</v>
      </c>
      <c r="D2096" s="1">
        <v>2</v>
      </c>
      <c r="E2096" s="1">
        <v>1</v>
      </c>
      <c r="F2096" s="1">
        <v>10</v>
      </c>
      <c r="G2096" s="1">
        <v>5</v>
      </c>
      <c r="H2096" s="1">
        <v>0</v>
      </c>
      <c r="I2096" s="1">
        <v>3</v>
      </c>
      <c r="J2096" s="1">
        <v>2</v>
      </c>
    </row>
    <row r="2097" spans="1:10" x14ac:dyDescent="0.2">
      <c r="A2097" s="1">
        <v>615</v>
      </c>
      <c r="B2097" s="1">
        <v>1</v>
      </c>
      <c r="C2097" s="1">
        <v>17</v>
      </c>
      <c r="D2097" s="1">
        <v>5</v>
      </c>
      <c r="E2097" s="1">
        <v>1</v>
      </c>
      <c r="F2097" s="1">
        <v>8</v>
      </c>
      <c r="G2097" s="1">
        <v>5</v>
      </c>
      <c r="H2097" s="1">
        <v>1</v>
      </c>
      <c r="I2097" s="1">
        <v>0</v>
      </c>
      <c r="J2097" s="1">
        <v>3</v>
      </c>
    </row>
    <row r="2098" spans="1:10" x14ac:dyDescent="0.2">
      <c r="A2098" s="1">
        <v>1786</v>
      </c>
      <c r="B2098" s="1">
        <v>1</v>
      </c>
      <c r="C2098" s="1">
        <v>20</v>
      </c>
      <c r="D2098" s="1">
        <v>4</v>
      </c>
      <c r="E2098" s="1">
        <v>1</v>
      </c>
      <c r="F2098" s="1">
        <v>8</v>
      </c>
      <c r="G2098" s="1">
        <v>5</v>
      </c>
      <c r="H2098" s="1">
        <v>1</v>
      </c>
      <c r="I2098" s="1">
        <v>0</v>
      </c>
      <c r="J2098" s="1">
        <v>3</v>
      </c>
    </row>
    <row r="2099" spans="1:10" x14ac:dyDescent="0.2">
      <c r="A2099" s="1">
        <v>1889</v>
      </c>
      <c r="B2099" s="1">
        <v>1</v>
      </c>
      <c r="C2099" s="1">
        <v>5</v>
      </c>
      <c r="D2099" s="1">
        <v>3</v>
      </c>
      <c r="E2099" s="1">
        <v>1</v>
      </c>
      <c r="F2099" s="1">
        <v>9</v>
      </c>
      <c r="G2099" s="1">
        <v>5</v>
      </c>
      <c r="H2099" s="1">
        <v>1</v>
      </c>
      <c r="I2099" s="1">
        <v>1</v>
      </c>
      <c r="J2099" s="1">
        <v>3</v>
      </c>
    </row>
    <row r="2100" spans="1:10" x14ac:dyDescent="0.2">
      <c r="A2100" s="1">
        <v>2400</v>
      </c>
      <c r="B2100" s="1">
        <v>1</v>
      </c>
      <c r="C2100" s="1">
        <v>20</v>
      </c>
      <c r="D2100" s="1">
        <v>3</v>
      </c>
      <c r="E2100" s="1">
        <v>1</v>
      </c>
      <c r="F2100" s="1">
        <v>9</v>
      </c>
      <c r="G2100" s="1">
        <v>5</v>
      </c>
      <c r="H2100" s="1">
        <v>1</v>
      </c>
      <c r="I2100" s="1">
        <v>2</v>
      </c>
      <c r="J2100" s="1">
        <v>3</v>
      </c>
    </row>
    <row r="2101" spans="1:10" x14ac:dyDescent="0.2">
      <c r="A2101" s="1">
        <v>772</v>
      </c>
      <c r="B2101" s="1">
        <v>1</v>
      </c>
      <c r="C2101" s="1">
        <v>6</v>
      </c>
      <c r="D2101" s="1">
        <v>1</v>
      </c>
      <c r="E2101" s="1">
        <v>1</v>
      </c>
      <c r="F2101" s="1">
        <v>10</v>
      </c>
      <c r="G2101" s="1">
        <v>5</v>
      </c>
      <c r="H2101" s="1">
        <v>0</v>
      </c>
      <c r="I2101" s="1">
        <v>1</v>
      </c>
      <c r="J2101" s="1">
        <v>3</v>
      </c>
    </row>
    <row r="2102" spans="1:10" x14ac:dyDescent="0.2">
      <c r="A2102" s="1">
        <v>1296</v>
      </c>
      <c r="B2102" s="1">
        <v>1</v>
      </c>
      <c r="C2102" s="1">
        <v>15</v>
      </c>
      <c r="D2102" s="1">
        <v>3</v>
      </c>
      <c r="E2102" s="1">
        <v>1</v>
      </c>
      <c r="F2102" s="1">
        <v>10</v>
      </c>
      <c r="G2102" s="1">
        <v>5</v>
      </c>
      <c r="H2102" s="1">
        <v>0</v>
      </c>
      <c r="I2102" s="1">
        <v>3</v>
      </c>
      <c r="J2102" s="1">
        <v>3</v>
      </c>
    </row>
    <row r="2103" spans="1:10" x14ac:dyDescent="0.2">
      <c r="A2103" s="1">
        <v>204</v>
      </c>
      <c r="B2103" s="1">
        <v>1</v>
      </c>
      <c r="C2103" s="1">
        <v>5</v>
      </c>
      <c r="D2103" s="1">
        <v>3</v>
      </c>
      <c r="E2103" s="1">
        <v>1</v>
      </c>
      <c r="F2103" s="1">
        <v>9</v>
      </c>
      <c r="G2103" s="1">
        <v>5</v>
      </c>
      <c r="H2103" s="1">
        <v>0</v>
      </c>
      <c r="I2103" s="1">
        <v>3</v>
      </c>
      <c r="J2103" s="1">
        <v>4</v>
      </c>
    </row>
    <row r="2104" spans="1:10" x14ac:dyDescent="0.2">
      <c r="A2104" s="1">
        <v>1242</v>
      </c>
      <c r="B2104" s="1">
        <v>1</v>
      </c>
      <c r="C2104" s="1">
        <v>16</v>
      </c>
      <c r="D2104" s="1">
        <v>1</v>
      </c>
      <c r="E2104" s="1">
        <v>1</v>
      </c>
      <c r="F2104" s="1">
        <v>9</v>
      </c>
      <c r="G2104" s="1">
        <v>5</v>
      </c>
      <c r="H2104" s="1">
        <v>1</v>
      </c>
      <c r="I2104" s="1">
        <v>3</v>
      </c>
      <c r="J2104" s="1">
        <v>4</v>
      </c>
    </row>
    <row r="2105" spans="1:10" x14ac:dyDescent="0.2">
      <c r="A2105" s="1">
        <v>820</v>
      </c>
      <c r="B2105" s="1">
        <v>1</v>
      </c>
      <c r="C2105" s="1">
        <v>6</v>
      </c>
      <c r="D2105" s="1">
        <v>4</v>
      </c>
      <c r="E2105" s="1">
        <v>1</v>
      </c>
      <c r="F2105" s="1">
        <v>10</v>
      </c>
      <c r="G2105" s="1">
        <v>5</v>
      </c>
      <c r="H2105" s="1">
        <v>0</v>
      </c>
      <c r="I2105" s="1">
        <v>2</v>
      </c>
      <c r="J2105" s="1">
        <v>4</v>
      </c>
    </row>
    <row r="2106" spans="1:10" x14ac:dyDescent="0.2">
      <c r="A2106" s="1">
        <v>1084</v>
      </c>
      <c r="B2106" s="1">
        <v>1</v>
      </c>
      <c r="C2106" s="1">
        <v>15</v>
      </c>
      <c r="D2106" s="1">
        <v>1</v>
      </c>
      <c r="E2106" s="1">
        <v>1</v>
      </c>
      <c r="F2106" s="1">
        <v>10</v>
      </c>
      <c r="G2106" s="1">
        <v>5</v>
      </c>
      <c r="H2106" s="1">
        <v>0</v>
      </c>
      <c r="I2106" s="1">
        <v>0</v>
      </c>
      <c r="J2106" s="1">
        <v>4</v>
      </c>
    </row>
    <row r="2107" spans="1:10" x14ac:dyDescent="0.2">
      <c r="A2107" s="1">
        <v>2414</v>
      </c>
      <c r="B2107" s="1">
        <v>1</v>
      </c>
      <c r="C2107" s="1">
        <v>11</v>
      </c>
      <c r="D2107" s="1">
        <v>2</v>
      </c>
      <c r="E2107" s="1">
        <v>1</v>
      </c>
      <c r="F2107" s="1">
        <v>7</v>
      </c>
      <c r="G2107" s="1">
        <v>5</v>
      </c>
      <c r="H2107" s="1">
        <v>0</v>
      </c>
      <c r="I2107" s="1">
        <v>1</v>
      </c>
      <c r="J2107" s="1">
        <v>5</v>
      </c>
    </row>
    <row r="2108" spans="1:10" x14ac:dyDescent="0.2">
      <c r="A2108" s="1">
        <v>2166</v>
      </c>
      <c r="B2108" s="1">
        <v>1</v>
      </c>
      <c r="C2108" s="1">
        <v>5</v>
      </c>
      <c r="D2108" s="1">
        <v>1</v>
      </c>
      <c r="E2108" s="1">
        <v>1</v>
      </c>
      <c r="F2108" s="1">
        <v>8</v>
      </c>
      <c r="G2108" s="1">
        <v>5</v>
      </c>
      <c r="H2108" s="1">
        <v>0</v>
      </c>
      <c r="I2108" s="1">
        <v>3</v>
      </c>
      <c r="J2108" s="1">
        <v>5</v>
      </c>
    </row>
    <row r="2109" spans="1:10" x14ac:dyDescent="0.2">
      <c r="A2109" s="1">
        <v>987</v>
      </c>
      <c r="B2109" s="1">
        <v>1</v>
      </c>
      <c r="C2109" s="1">
        <v>5</v>
      </c>
      <c r="D2109" s="1">
        <v>4</v>
      </c>
      <c r="E2109" s="1">
        <v>1</v>
      </c>
      <c r="F2109" s="1">
        <v>9</v>
      </c>
      <c r="G2109" s="1">
        <v>5</v>
      </c>
      <c r="H2109" s="1">
        <v>1</v>
      </c>
      <c r="I2109" s="1">
        <v>3</v>
      </c>
      <c r="J2109" s="1">
        <v>5</v>
      </c>
    </row>
    <row r="2110" spans="1:10" x14ac:dyDescent="0.2">
      <c r="A2110" s="1">
        <v>352</v>
      </c>
      <c r="B2110" s="1">
        <v>1</v>
      </c>
      <c r="C2110" s="1">
        <v>15</v>
      </c>
      <c r="D2110" s="1">
        <v>4</v>
      </c>
      <c r="E2110" s="1">
        <v>1</v>
      </c>
      <c r="F2110" s="1">
        <v>10</v>
      </c>
      <c r="G2110" s="1">
        <v>5</v>
      </c>
      <c r="H2110" s="1">
        <v>1</v>
      </c>
      <c r="I2110" s="1">
        <v>1</v>
      </c>
      <c r="J2110" s="1">
        <v>5</v>
      </c>
    </row>
    <row r="2111" spans="1:10" x14ac:dyDescent="0.2">
      <c r="A2111" s="1">
        <v>1314</v>
      </c>
      <c r="B2111" s="1">
        <v>1</v>
      </c>
      <c r="C2111" s="1">
        <v>16</v>
      </c>
      <c r="D2111" s="1">
        <v>3</v>
      </c>
      <c r="E2111" s="1">
        <v>1</v>
      </c>
      <c r="F2111" s="1">
        <v>10</v>
      </c>
      <c r="G2111" s="1">
        <v>5</v>
      </c>
      <c r="H2111" s="1">
        <v>0</v>
      </c>
      <c r="I2111" s="1">
        <v>0</v>
      </c>
      <c r="J2111" s="1">
        <v>5</v>
      </c>
    </row>
    <row r="2112" spans="1:10" x14ac:dyDescent="0.2">
      <c r="A2112" s="1">
        <v>1039</v>
      </c>
      <c r="B2112" s="1">
        <v>1</v>
      </c>
      <c r="C2112" s="1">
        <v>17</v>
      </c>
      <c r="D2112" s="1">
        <v>4</v>
      </c>
      <c r="E2112" s="1">
        <v>1</v>
      </c>
      <c r="F2112" s="1">
        <v>10</v>
      </c>
      <c r="G2112" s="1">
        <v>5</v>
      </c>
      <c r="H2112" s="1">
        <v>0</v>
      </c>
      <c r="I2112" s="1">
        <v>2</v>
      </c>
      <c r="J2112" s="1">
        <v>5</v>
      </c>
    </row>
    <row r="2113" spans="1:10" x14ac:dyDescent="0.2">
      <c r="A2113" s="1">
        <v>1053</v>
      </c>
      <c r="B2113" s="1">
        <v>1</v>
      </c>
      <c r="C2113" s="1">
        <v>18</v>
      </c>
      <c r="D2113" s="1">
        <v>1</v>
      </c>
      <c r="E2113" s="1">
        <v>1</v>
      </c>
      <c r="F2113" s="1">
        <v>10</v>
      </c>
      <c r="G2113" s="1">
        <v>5</v>
      </c>
      <c r="H2113" s="1">
        <v>1</v>
      </c>
      <c r="I2113" s="1">
        <v>3</v>
      </c>
      <c r="J2113" s="1">
        <v>5</v>
      </c>
    </row>
    <row r="2114" spans="1:10" x14ac:dyDescent="0.2">
      <c r="A2114" s="1">
        <v>1868</v>
      </c>
      <c r="B2114" s="1">
        <v>1</v>
      </c>
      <c r="C2114" s="1">
        <v>6</v>
      </c>
      <c r="D2114" s="1">
        <v>4</v>
      </c>
      <c r="E2114" s="1">
        <v>2</v>
      </c>
      <c r="F2114" s="1">
        <v>10</v>
      </c>
      <c r="G2114" s="1">
        <v>5</v>
      </c>
      <c r="H2114" s="1">
        <v>0</v>
      </c>
      <c r="I2114" s="1">
        <v>2</v>
      </c>
      <c r="J2114" s="1">
        <v>5</v>
      </c>
    </row>
    <row r="2115" spans="1:10" x14ac:dyDescent="0.2">
      <c r="A2115" s="1">
        <v>2089</v>
      </c>
      <c r="B2115" s="1">
        <v>1</v>
      </c>
      <c r="C2115" s="1">
        <v>8</v>
      </c>
      <c r="D2115" s="1">
        <v>3</v>
      </c>
      <c r="E2115" s="1">
        <v>2</v>
      </c>
      <c r="F2115" s="1">
        <v>10</v>
      </c>
      <c r="G2115" s="1">
        <v>5</v>
      </c>
      <c r="H2115" s="1">
        <v>1</v>
      </c>
      <c r="I2115" s="1">
        <v>2</v>
      </c>
      <c r="J2115" s="1">
        <v>5</v>
      </c>
    </row>
    <row r="2116" spans="1:10" x14ac:dyDescent="0.2">
      <c r="A2116" s="1">
        <v>2255</v>
      </c>
      <c r="B2116" s="1">
        <v>1</v>
      </c>
      <c r="C2116" s="1">
        <v>10</v>
      </c>
      <c r="D2116" s="1">
        <v>2</v>
      </c>
      <c r="E2116" s="1">
        <v>2</v>
      </c>
      <c r="F2116" s="1">
        <v>10</v>
      </c>
      <c r="G2116" s="1">
        <v>5</v>
      </c>
      <c r="H2116" s="1">
        <v>1</v>
      </c>
      <c r="I2116" s="1">
        <v>1</v>
      </c>
      <c r="J2116" s="1">
        <v>5</v>
      </c>
    </row>
    <row r="2117" spans="1:10" x14ac:dyDescent="0.2">
      <c r="A2117" s="1">
        <v>373</v>
      </c>
      <c r="B2117" s="1">
        <v>1</v>
      </c>
      <c r="C2117" s="1">
        <v>12</v>
      </c>
      <c r="D2117" s="1">
        <v>2</v>
      </c>
      <c r="E2117" s="1">
        <v>2</v>
      </c>
      <c r="F2117" s="1">
        <v>10</v>
      </c>
      <c r="G2117" s="1">
        <v>5</v>
      </c>
      <c r="H2117" s="1">
        <v>1</v>
      </c>
      <c r="I2117" s="1">
        <v>0</v>
      </c>
      <c r="J2117" s="1">
        <v>5</v>
      </c>
    </row>
    <row r="2118" spans="1:10" x14ac:dyDescent="0.2">
      <c r="A2118" s="1">
        <v>1596</v>
      </c>
      <c r="B2118" s="1">
        <v>1</v>
      </c>
      <c r="C2118" s="1">
        <v>8</v>
      </c>
      <c r="D2118" s="1">
        <v>3</v>
      </c>
      <c r="E2118" s="1">
        <v>1</v>
      </c>
      <c r="F2118" s="1">
        <v>9</v>
      </c>
      <c r="G2118" s="1">
        <v>6</v>
      </c>
      <c r="H2118" s="1">
        <v>0</v>
      </c>
      <c r="I2118" s="1">
        <v>3</v>
      </c>
      <c r="J2118" s="1">
        <v>2</v>
      </c>
    </row>
    <row r="2119" spans="1:10" x14ac:dyDescent="0.2">
      <c r="A2119" s="1">
        <v>1703</v>
      </c>
      <c r="B2119" s="1">
        <v>1</v>
      </c>
      <c r="C2119" s="1">
        <v>7</v>
      </c>
      <c r="D2119" s="1">
        <v>5</v>
      </c>
      <c r="E2119" s="1">
        <v>1</v>
      </c>
      <c r="F2119" s="1">
        <v>10</v>
      </c>
      <c r="G2119" s="1">
        <v>6</v>
      </c>
      <c r="H2119" s="1">
        <v>0</v>
      </c>
      <c r="I2119" s="1">
        <v>0</v>
      </c>
      <c r="J2119" s="1">
        <v>2</v>
      </c>
    </row>
    <row r="2120" spans="1:10" x14ac:dyDescent="0.2">
      <c r="A2120" s="1">
        <v>1910</v>
      </c>
      <c r="B2120" s="1">
        <v>1</v>
      </c>
      <c r="C2120" s="1">
        <v>14</v>
      </c>
      <c r="D2120" s="1">
        <v>3</v>
      </c>
      <c r="E2120" s="1">
        <v>1</v>
      </c>
      <c r="F2120" s="1">
        <v>10</v>
      </c>
      <c r="G2120" s="1">
        <v>6</v>
      </c>
      <c r="H2120" s="1">
        <v>1</v>
      </c>
      <c r="I2120" s="1">
        <v>2</v>
      </c>
      <c r="J2120" s="1">
        <v>2</v>
      </c>
    </row>
    <row r="2121" spans="1:10" x14ac:dyDescent="0.2">
      <c r="A2121" s="1">
        <v>1500</v>
      </c>
      <c r="B2121" s="1">
        <v>1</v>
      </c>
      <c r="C2121" s="1">
        <v>6</v>
      </c>
      <c r="D2121" s="1">
        <v>4</v>
      </c>
      <c r="E2121" s="1">
        <v>1</v>
      </c>
      <c r="F2121" s="1">
        <v>7</v>
      </c>
      <c r="G2121" s="1">
        <v>6</v>
      </c>
      <c r="H2121" s="1">
        <v>1</v>
      </c>
      <c r="I2121" s="1">
        <v>1</v>
      </c>
      <c r="J2121" s="1">
        <v>3</v>
      </c>
    </row>
    <row r="2122" spans="1:10" x14ac:dyDescent="0.2">
      <c r="A2122" s="1">
        <v>47</v>
      </c>
      <c r="B2122" s="1">
        <v>1</v>
      </c>
      <c r="C2122" s="1">
        <v>12</v>
      </c>
      <c r="D2122" s="1">
        <v>3</v>
      </c>
      <c r="E2122" s="1">
        <v>1</v>
      </c>
      <c r="F2122" s="1">
        <v>7</v>
      </c>
      <c r="G2122" s="1">
        <v>6</v>
      </c>
      <c r="H2122" s="1">
        <v>0</v>
      </c>
      <c r="I2122" s="1">
        <v>1</v>
      </c>
      <c r="J2122" s="1">
        <v>3</v>
      </c>
    </row>
    <row r="2123" spans="1:10" x14ac:dyDescent="0.2">
      <c r="A2123" s="1">
        <v>2196</v>
      </c>
      <c r="B2123" s="1">
        <v>1</v>
      </c>
      <c r="C2123" s="1">
        <v>12</v>
      </c>
      <c r="D2123" s="1">
        <v>2</v>
      </c>
      <c r="E2123" s="1">
        <v>1</v>
      </c>
      <c r="F2123" s="1">
        <v>7</v>
      </c>
      <c r="G2123" s="1">
        <v>6</v>
      </c>
      <c r="H2123" s="1">
        <v>0</v>
      </c>
      <c r="I2123" s="1">
        <v>1</v>
      </c>
      <c r="J2123" s="1">
        <v>3</v>
      </c>
    </row>
    <row r="2124" spans="1:10" x14ac:dyDescent="0.2">
      <c r="A2124" s="1">
        <v>1742</v>
      </c>
      <c r="B2124" s="1">
        <v>1</v>
      </c>
      <c r="C2124" s="1">
        <v>19</v>
      </c>
      <c r="D2124" s="1">
        <v>1</v>
      </c>
      <c r="E2124" s="1">
        <v>1</v>
      </c>
      <c r="F2124" s="1">
        <v>7</v>
      </c>
      <c r="G2124" s="1">
        <v>6</v>
      </c>
      <c r="H2124" s="1">
        <v>0</v>
      </c>
      <c r="I2124" s="1">
        <v>2</v>
      </c>
      <c r="J2124" s="1">
        <v>3</v>
      </c>
    </row>
    <row r="2125" spans="1:10" x14ac:dyDescent="0.2">
      <c r="A2125" s="1">
        <v>2327</v>
      </c>
      <c r="B2125" s="1">
        <v>1</v>
      </c>
      <c r="C2125" s="1">
        <v>6</v>
      </c>
      <c r="D2125" s="1">
        <v>2</v>
      </c>
      <c r="E2125" s="1">
        <v>1</v>
      </c>
      <c r="F2125" s="1">
        <v>8</v>
      </c>
      <c r="G2125" s="1">
        <v>6</v>
      </c>
      <c r="H2125" s="1">
        <v>0</v>
      </c>
      <c r="I2125" s="1">
        <v>2</v>
      </c>
      <c r="J2125" s="1">
        <v>3</v>
      </c>
    </row>
    <row r="2126" spans="1:10" x14ac:dyDescent="0.2">
      <c r="A2126" s="1">
        <v>1448</v>
      </c>
      <c r="B2126" s="1">
        <v>1</v>
      </c>
      <c r="C2126" s="1">
        <v>12</v>
      </c>
      <c r="D2126" s="1">
        <v>3</v>
      </c>
      <c r="E2126" s="1">
        <v>1</v>
      </c>
      <c r="F2126" s="1">
        <v>8</v>
      </c>
      <c r="G2126" s="1">
        <v>6</v>
      </c>
      <c r="H2126" s="1">
        <v>0</v>
      </c>
      <c r="I2126" s="1">
        <v>3</v>
      </c>
      <c r="J2126" s="1">
        <v>3</v>
      </c>
    </row>
    <row r="2127" spans="1:10" x14ac:dyDescent="0.2">
      <c r="A2127" s="1">
        <v>545</v>
      </c>
      <c r="B2127" s="1">
        <v>1</v>
      </c>
      <c r="C2127" s="1">
        <v>6</v>
      </c>
      <c r="D2127" s="1">
        <v>4</v>
      </c>
      <c r="E2127" s="1">
        <v>1</v>
      </c>
      <c r="F2127" s="1">
        <v>9</v>
      </c>
      <c r="G2127" s="1">
        <v>6</v>
      </c>
      <c r="H2127" s="1">
        <v>0</v>
      </c>
      <c r="I2127" s="1">
        <v>3</v>
      </c>
      <c r="J2127" s="1">
        <v>3</v>
      </c>
    </row>
    <row r="2128" spans="1:10" x14ac:dyDescent="0.2">
      <c r="A2128" s="1">
        <v>629</v>
      </c>
      <c r="B2128" s="1">
        <v>1</v>
      </c>
      <c r="C2128" s="1">
        <v>14</v>
      </c>
      <c r="D2128" s="1">
        <v>2</v>
      </c>
      <c r="E2128" s="1">
        <v>1</v>
      </c>
      <c r="F2128" s="1">
        <v>6</v>
      </c>
      <c r="G2128" s="1">
        <v>6</v>
      </c>
      <c r="H2128" s="1">
        <v>0</v>
      </c>
      <c r="I2128" s="1">
        <v>2</v>
      </c>
      <c r="J2128" s="1">
        <v>4</v>
      </c>
    </row>
    <row r="2129" spans="1:10" x14ac:dyDescent="0.2">
      <c r="A2129" s="1">
        <v>1185</v>
      </c>
      <c r="B2129" s="1">
        <v>1</v>
      </c>
      <c r="C2129" s="1">
        <v>18</v>
      </c>
      <c r="D2129" s="1">
        <v>4</v>
      </c>
      <c r="E2129" s="1">
        <v>1</v>
      </c>
      <c r="F2129" s="1">
        <v>6</v>
      </c>
      <c r="G2129" s="1">
        <v>6</v>
      </c>
      <c r="H2129" s="1">
        <v>0</v>
      </c>
      <c r="I2129" s="1">
        <v>1</v>
      </c>
      <c r="J2129" s="1">
        <v>4</v>
      </c>
    </row>
    <row r="2130" spans="1:10" x14ac:dyDescent="0.2">
      <c r="A2130" s="1">
        <v>856</v>
      </c>
      <c r="B2130" s="1">
        <v>1</v>
      </c>
      <c r="C2130" s="1">
        <v>10</v>
      </c>
      <c r="D2130" s="1">
        <v>2</v>
      </c>
      <c r="E2130" s="1">
        <v>1</v>
      </c>
      <c r="F2130" s="1">
        <v>8</v>
      </c>
      <c r="G2130" s="1">
        <v>6</v>
      </c>
      <c r="H2130" s="1">
        <v>1</v>
      </c>
      <c r="I2130" s="1">
        <v>0</v>
      </c>
      <c r="J2130" s="1">
        <v>4</v>
      </c>
    </row>
    <row r="2131" spans="1:10" x14ac:dyDescent="0.2">
      <c r="A2131" s="1">
        <v>374</v>
      </c>
      <c r="B2131" s="1">
        <v>1</v>
      </c>
      <c r="C2131" s="1">
        <v>15</v>
      </c>
      <c r="D2131" s="1">
        <v>1</v>
      </c>
      <c r="E2131" s="1">
        <v>1</v>
      </c>
      <c r="F2131" s="1">
        <v>8</v>
      </c>
      <c r="G2131" s="1">
        <v>6</v>
      </c>
      <c r="H2131" s="1">
        <v>0</v>
      </c>
      <c r="I2131" s="1">
        <v>0</v>
      </c>
      <c r="J2131" s="1">
        <v>4</v>
      </c>
    </row>
    <row r="2132" spans="1:10" x14ac:dyDescent="0.2">
      <c r="A2132" s="1">
        <v>125</v>
      </c>
      <c r="B2132" s="1">
        <v>1</v>
      </c>
      <c r="C2132" s="1">
        <v>19</v>
      </c>
      <c r="D2132" s="1">
        <v>3</v>
      </c>
      <c r="E2132" s="1">
        <v>1</v>
      </c>
      <c r="F2132" s="1">
        <v>8</v>
      </c>
      <c r="G2132" s="1">
        <v>6</v>
      </c>
      <c r="H2132" s="1">
        <v>1</v>
      </c>
      <c r="I2132" s="1">
        <v>2</v>
      </c>
      <c r="J2132" s="1">
        <v>4</v>
      </c>
    </row>
    <row r="2133" spans="1:10" x14ac:dyDescent="0.2">
      <c r="A2133" s="1">
        <v>1791</v>
      </c>
      <c r="B2133" s="1">
        <v>1</v>
      </c>
      <c r="C2133" s="1">
        <v>19</v>
      </c>
      <c r="D2133" s="1">
        <v>2</v>
      </c>
      <c r="E2133" s="1">
        <v>1</v>
      </c>
      <c r="F2133" s="1">
        <v>8</v>
      </c>
      <c r="G2133" s="1">
        <v>6</v>
      </c>
      <c r="H2133" s="1">
        <v>1</v>
      </c>
      <c r="I2133" s="1">
        <v>0</v>
      </c>
      <c r="J2133" s="1">
        <v>4</v>
      </c>
    </row>
    <row r="2134" spans="1:10" x14ac:dyDescent="0.2">
      <c r="A2134" s="1">
        <v>1345</v>
      </c>
      <c r="B2134" s="1">
        <v>1</v>
      </c>
      <c r="C2134" s="1">
        <v>18</v>
      </c>
      <c r="D2134" s="1">
        <v>1</v>
      </c>
      <c r="E2134" s="1">
        <v>1</v>
      </c>
      <c r="F2134" s="1">
        <v>9</v>
      </c>
      <c r="G2134" s="1">
        <v>6</v>
      </c>
      <c r="H2134" s="1">
        <v>0</v>
      </c>
      <c r="I2134" s="1">
        <v>1</v>
      </c>
      <c r="J2134" s="1">
        <v>4</v>
      </c>
    </row>
    <row r="2135" spans="1:10" x14ac:dyDescent="0.2">
      <c r="A2135" s="1">
        <v>1548</v>
      </c>
      <c r="B2135" s="1">
        <v>1</v>
      </c>
      <c r="C2135" s="1">
        <v>7</v>
      </c>
      <c r="D2135" s="1">
        <v>4</v>
      </c>
      <c r="E2135" s="1">
        <v>1</v>
      </c>
      <c r="F2135" s="1">
        <v>10</v>
      </c>
      <c r="G2135" s="1">
        <v>6</v>
      </c>
      <c r="H2135" s="1">
        <v>0</v>
      </c>
      <c r="I2135" s="1">
        <v>2</v>
      </c>
      <c r="J2135" s="1">
        <v>4</v>
      </c>
    </row>
    <row r="2136" spans="1:10" x14ac:dyDescent="0.2">
      <c r="A2136" s="1">
        <v>505</v>
      </c>
      <c r="B2136" s="1">
        <v>1</v>
      </c>
      <c r="C2136" s="1">
        <v>10</v>
      </c>
      <c r="D2136" s="1">
        <v>2</v>
      </c>
      <c r="E2136" s="1">
        <v>1</v>
      </c>
      <c r="F2136" s="1">
        <v>10</v>
      </c>
      <c r="G2136" s="1">
        <v>6</v>
      </c>
      <c r="H2136" s="1">
        <v>0</v>
      </c>
      <c r="I2136" s="1">
        <v>0</v>
      </c>
      <c r="J2136" s="1">
        <v>4</v>
      </c>
    </row>
    <row r="2137" spans="1:10" x14ac:dyDescent="0.2">
      <c r="A2137" s="1">
        <v>2267</v>
      </c>
      <c r="B2137" s="1">
        <v>1</v>
      </c>
      <c r="C2137" s="1">
        <v>14</v>
      </c>
      <c r="D2137" s="1">
        <v>3</v>
      </c>
      <c r="E2137" s="1">
        <v>1</v>
      </c>
      <c r="F2137" s="1">
        <v>10</v>
      </c>
      <c r="G2137" s="1">
        <v>6</v>
      </c>
      <c r="H2137" s="1">
        <v>0</v>
      </c>
      <c r="I2137" s="1">
        <v>1</v>
      </c>
      <c r="J2137" s="1">
        <v>4</v>
      </c>
    </row>
    <row r="2138" spans="1:10" x14ac:dyDescent="0.2">
      <c r="A2138" s="1">
        <v>837</v>
      </c>
      <c r="B2138" s="1">
        <v>1</v>
      </c>
      <c r="C2138" s="1">
        <v>17</v>
      </c>
      <c r="D2138" s="1">
        <v>2</v>
      </c>
      <c r="E2138" s="1">
        <v>2</v>
      </c>
      <c r="F2138" s="1">
        <v>10</v>
      </c>
      <c r="G2138" s="1">
        <v>6</v>
      </c>
      <c r="H2138" s="1">
        <v>0</v>
      </c>
      <c r="I2138" s="1">
        <v>3</v>
      </c>
      <c r="J2138" s="1">
        <v>4</v>
      </c>
    </row>
    <row r="2139" spans="1:10" x14ac:dyDescent="0.2">
      <c r="A2139" s="1">
        <v>1477</v>
      </c>
      <c r="B2139" s="1">
        <v>1</v>
      </c>
      <c r="C2139" s="1">
        <v>8</v>
      </c>
      <c r="D2139" s="1">
        <v>2</v>
      </c>
      <c r="E2139" s="1">
        <v>1</v>
      </c>
      <c r="F2139" s="1">
        <v>4</v>
      </c>
      <c r="G2139" s="1">
        <v>6</v>
      </c>
      <c r="H2139" s="1">
        <v>0</v>
      </c>
      <c r="I2139" s="1">
        <v>1</v>
      </c>
      <c r="J2139" s="1">
        <v>5</v>
      </c>
    </row>
    <row r="2140" spans="1:10" x14ac:dyDescent="0.2">
      <c r="A2140" s="1">
        <v>1627</v>
      </c>
      <c r="B2140" s="1">
        <v>1</v>
      </c>
      <c r="C2140" s="1">
        <v>12</v>
      </c>
      <c r="D2140" s="1">
        <v>5</v>
      </c>
      <c r="E2140" s="1">
        <v>1</v>
      </c>
      <c r="F2140" s="1">
        <v>4</v>
      </c>
      <c r="G2140" s="1">
        <v>6</v>
      </c>
      <c r="H2140" s="1">
        <v>1</v>
      </c>
      <c r="I2140" s="1">
        <v>1</v>
      </c>
      <c r="J2140" s="1">
        <v>5</v>
      </c>
    </row>
    <row r="2141" spans="1:10" x14ac:dyDescent="0.2">
      <c r="A2141" s="1">
        <v>145</v>
      </c>
      <c r="B2141" s="1">
        <v>1</v>
      </c>
      <c r="C2141" s="1">
        <v>16</v>
      </c>
      <c r="D2141" s="1">
        <v>4</v>
      </c>
      <c r="E2141" s="1">
        <v>1</v>
      </c>
      <c r="F2141" s="1">
        <v>5</v>
      </c>
      <c r="G2141" s="1">
        <v>6</v>
      </c>
      <c r="H2141" s="1">
        <v>0</v>
      </c>
      <c r="I2141" s="1">
        <v>1</v>
      </c>
      <c r="J2141" s="1">
        <v>5</v>
      </c>
    </row>
    <row r="2142" spans="1:10" x14ac:dyDescent="0.2">
      <c r="A2142" s="1">
        <v>686</v>
      </c>
      <c r="B2142" s="1">
        <v>1</v>
      </c>
      <c r="C2142" s="1">
        <v>19</v>
      </c>
      <c r="D2142" s="1">
        <v>1</v>
      </c>
      <c r="E2142" s="1">
        <v>1</v>
      </c>
      <c r="F2142" s="1">
        <v>5</v>
      </c>
      <c r="G2142" s="1">
        <v>6</v>
      </c>
      <c r="H2142" s="1">
        <v>0</v>
      </c>
      <c r="I2142" s="1">
        <v>2</v>
      </c>
      <c r="J2142" s="1">
        <v>5</v>
      </c>
    </row>
    <row r="2143" spans="1:10" x14ac:dyDescent="0.2">
      <c r="A2143" s="1">
        <v>1998</v>
      </c>
      <c r="B2143" s="1">
        <v>1</v>
      </c>
      <c r="C2143" s="1">
        <v>15</v>
      </c>
      <c r="D2143" s="1">
        <v>2</v>
      </c>
      <c r="E2143" s="1">
        <v>1</v>
      </c>
      <c r="F2143" s="1">
        <v>6</v>
      </c>
      <c r="G2143" s="1">
        <v>6</v>
      </c>
      <c r="H2143" s="1">
        <v>1</v>
      </c>
      <c r="I2143" s="1">
        <v>2</v>
      </c>
      <c r="J2143" s="1">
        <v>5</v>
      </c>
    </row>
    <row r="2144" spans="1:10" x14ac:dyDescent="0.2">
      <c r="A2144" s="1">
        <v>2339</v>
      </c>
      <c r="B2144" s="1">
        <v>1</v>
      </c>
      <c r="C2144" s="1">
        <v>9</v>
      </c>
      <c r="D2144" s="1">
        <v>3</v>
      </c>
      <c r="E2144" s="1">
        <v>1</v>
      </c>
      <c r="F2144" s="1">
        <v>7</v>
      </c>
      <c r="G2144" s="1">
        <v>6</v>
      </c>
      <c r="H2144" s="1">
        <v>0</v>
      </c>
      <c r="I2144" s="1">
        <v>2</v>
      </c>
      <c r="J2144" s="1">
        <v>5</v>
      </c>
    </row>
    <row r="2145" spans="1:10" x14ac:dyDescent="0.2">
      <c r="A2145" s="1">
        <v>1407</v>
      </c>
      <c r="B2145" s="1">
        <v>1</v>
      </c>
      <c r="C2145" s="1">
        <v>12</v>
      </c>
      <c r="D2145" s="1">
        <v>2</v>
      </c>
      <c r="E2145" s="1">
        <v>2</v>
      </c>
      <c r="F2145" s="1">
        <v>7</v>
      </c>
      <c r="G2145" s="1">
        <v>6</v>
      </c>
      <c r="H2145" s="1">
        <v>1</v>
      </c>
      <c r="I2145" s="1">
        <v>1</v>
      </c>
      <c r="J2145" s="1">
        <v>5</v>
      </c>
    </row>
    <row r="2146" spans="1:10" x14ac:dyDescent="0.2">
      <c r="A2146" s="1">
        <v>1360</v>
      </c>
      <c r="B2146" s="1">
        <v>1</v>
      </c>
      <c r="C2146" s="1">
        <v>20</v>
      </c>
      <c r="D2146" s="1">
        <v>1</v>
      </c>
      <c r="E2146" s="1">
        <v>1</v>
      </c>
      <c r="F2146" s="1">
        <v>8</v>
      </c>
      <c r="G2146" s="1">
        <v>6</v>
      </c>
      <c r="H2146" s="1">
        <v>0</v>
      </c>
      <c r="I2146" s="1">
        <v>1</v>
      </c>
      <c r="J2146" s="1">
        <v>5</v>
      </c>
    </row>
    <row r="2147" spans="1:10" x14ac:dyDescent="0.2">
      <c r="A2147" s="1">
        <v>1432</v>
      </c>
      <c r="B2147" s="1">
        <v>1</v>
      </c>
      <c r="C2147" s="1">
        <v>15</v>
      </c>
      <c r="D2147" s="1">
        <v>4</v>
      </c>
      <c r="E2147" s="1">
        <v>2</v>
      </c>
      <c r="F2147" s="1">
        <v>8</v>
      </c>
      <c r="G2147" s="1">
        <v>6</v>
      </c>
      <c r="H2147" s="1">
        <v>1</v>
      </c>
      <c r="I2147" s="1">
        <v>2</v>
      </c>
      <c r="J2147" s="1">
        <v>5</v>
      </c>
    </row>
    <row r="2148" spans="1:10" x14ac:dyDescent="0.2">
      <c r="A2148" s="1">
        <v>1582</v>
      </c>
      <c r="B2148" s="1">
        <v>1</v>
      </c>
      <c r="C2148" s="1">
        <v>5</v>
      </c>
      <c r="D2148" s="1">
        <v>3</v>
      </c>
      <c r="E2148" s="1">
        <v>1</v>
      </c>
      <c r="F2148" s="1">
        <v>9</v>
      </c>
      <c r="G2148" s="1">
        <v>6</v>
      </c>
      <c r="H2148" s="1">
        <v>1</v>
      </c>
      <c r="I2148" s="1">
        <v>2</v>
      </c>
      <c r="J2148" s="1">
        <v>5</v>
      </c>
    </row>
    <row r="2149" spans="1:10" x14ac:dyDescent="0.2">
      <c r="A2149" s="1">
        <v>2449</v>
      </c>
      <c r="B2149" s="1">
        <v>1</v>
      </c>
      <c r="C2149" s="1">
        <v>11</v>
      </c>
      <c r="D2149" s="1">
        <v>3</v>
      </c>
      <c r="E2149" s="1">
        <v>2</v>
      </c>
      <c r="F2149" s="1">
        <v>9</v>
      </c>
      <c r="G2149" s="1">
        <v>6</v>
      </c>
      <c r="H2149" s="1">
        <v>1</v>
      </c>
      <c r="I2149" s="1">
        <v>1</v>
      </c>
      <c r="J2149" s="1">
        <v>5</v>
      </c>
    </row>
    <row r="2150" spans="1:10" x14ac:dyDescent="0.2">
      <c r="A2150" s="1">
        <v>2194</v>
      </c>
      <c r="B2150" s="1">
        <v>1</v>
      </c>
      <c r="C2150" s="1">
        <v>8</v>
      </c>
      <c r="D2150" s="1">
        <v>1</v>
      </c>
      <c r="E2150" s="1">
        <v>1</v>
      </c>
      <c r="F2150" s="1">
        <v>10</v>
      </c>
      <c r="G2150" s="1">
        <v>6</v>
      </c>
      <c r="H2150" s="1">
        <v>1</v>
      </c>
      <c r="I2150" s="1">
        <v>2</v>
      </c>
      <c r="J2150" s="1">
        <v>5</v>
      </c>
    </row>
    <row r="2151" spans="1:10" x14ac:dyDescent="0.2">
      <c r="A2151" s="1">
        <v>1926</v>
      </c>
      <c r="B2151" s="1">
        <v>1</v>
      </c>
      <c r="C2151" s="1">
        <v>11</v>
      </c>
      <c r="D2151" s="1">
        <v>1</v>
      </c>
      <c r="E2151" s="1">
        <v>1</v>
      </c>
      <c r="F2151" s="1">
        <v>10</v>
      </c>
      <c r="G2151" s="1">
        <v>6</v>
      </c>
      <c r="H2151" s="1">
        <v>0</v>
      </c>
      <c r="I2151" s="1">
        <v>0</v>
      </c>
      <c r="J2151" s="1">
        <v>5</v>
      </c>
    </row>
    <row r="2152" spans="1:10" x14ac:dyDescent="0.2">
      <c r="A2152" s="1">
        <v>2093</v>
      </c>
      <c r="B2152" s="1">
        <v>1</v>
      </c>
      <c r="C2152" s="1">
        <v>14</v>
      </c>
      <c r="D2152" s="1">
        <v>1</v>
      </c>
      <c r="E2152" s="1">
        <v>1</v>
      </c>
      <c r="F2152" s="1">
        <v>10</v>
      </c>
      <c r="G2152" s="1">
        <v>6</v>
      </c>
      <c r="H2152" s="1">
        <v>1</v>
      </c>
      <c r="I2152" s="1">
        <v>1</v>
      </c>
      <c r="J2152" s="1">
        <v>5</v>
      </c>
    </row>
    <row r="2153" spans="1:10" x14ac:dyDescent="0.2">
      <c r="A2153" s="1">
        <v>1320</v>
      </c>
      <c r="B2153" s="1">
        <v>1</v>
      </c>
      <c r="C2153" s="1">
        <v>12</v>
      </c>
      <c r="D2153" s="1">
        <v>2</v>
      </c>
      <c r="E2153" s="1">
        <v>1</v>
      </c>
      <c r="F2153" s="1">
        <v>8</v>
      </c>
      <c r="G2153" s="1">
        <v>7</v>
      </c>
      <c r="H2153" s="1">
        <v>1</v>
      </c>
      <c r="I2153" s="1">
        <v>1</v>
      </c>
      <c r="J2153" s="1">
        <v>2</v>
      </c>
    </row>
    <row r="2154" spans="1:10" x14ac:dyDescent="0.2">
      <c r="A2154" s="1">
        <v>102</v>
      </c>
      <c r="B2154" s="1">
        <v>1</v>
      </c>
      <c r="C2154" s="1">
        <v>15</v>
      </c>
      <c r="D2154" s="1">
        <v>2</v>
      </c>
      <c r="E2154" s="1">
        <v>1</v>
      </c>
      <c r="F2154" s="1">
        <v>8</v>
      </c>
      <c r="G2154" s="1">
        <v>7</v>
      </c>
      <c r="H2154" s="1">
        <v>1</v>
      </c>
      <c r="I2154" s="1">
        <v>0</v>
      </c>
      <c r="J2154" s="1">
        <v>2</v>
      </c>
    </row>
    <row r="2155" spans="1:10" x14ac:dyDescent="0.2">
      <c r="A2155" s="1">
        <v>1844</v>
      </c>
      <c r="B2155" s="1">
        <v>1</v>
      </c>
      <c r="C2155" s="1">
        <v>15</v>
      </c>
      <c r="D2155" s="1">
        <v>1</v>
      </c>
      <c r="E2155" s="1">
        <v>1</v>
      </c>
      <c r="F2155" s="1">
        <v>8</v>
      </c>
      <c r="G2155" s="1">
        <v>7</v>
      </c>
      <c r="H2155" s="1">
        <v>1</v>
      </c>
      <c r="I2155" s="1">
        <v>0</v>
      </c>
      <c r="J2155" s="1">
        <v>2</v>
      </c>
    </row>
    <row r="2156" spans="1:10" x14ac:dyDescent="0.2">
      <c r="A2156" s="1">
        <v>337</v>
      </c>
      <c r="B2156" s="1">
        <v>1</v>
      </c>
      <c r="C2156" s="1">
        <v>14</v>
      </c>
      <c r="D2156" s="1">
        <v>2</v>
      </c>
      <c r="E2156" s="1">
        <v>1</v>
      </c>
      <c r="F2156" s="1">
        <v>9</v>
      </c>
      <c r="G2156" s="1">
        <v>7</v>
      </c>
      <c r="H2156" s="1">
        <v>1</v>
      </c>
      <c r="I2156" s="1">
        <v>2</v>
      </c>
      <c r="J2156" s="1">
        <v>2</v>
      </c>
    </row>
    <row r="2157" spans="1:10" x14ac:dyDescent="0.2">
      <c r="A2157" s="1">
        <v>694</v>
      </c>
      <c r="B2157" s="1">
        <v>1</v>
      </c>
      <c r="C2157" s="1">
        <v>5</v>
      </c>
      <c r="D2157" s="1">
        <v>3</v>
      </c>
      <c r="E2157" s="1">
        <v>1</v>
      </c>
      <c r="F2157" s="1">
        <v>10</v>
      </c>
      <c r="G2157" s="1">
        <v>7</v>
      </c>
      <c r="H2157" s="1">
        <v>0</v>
      </c>
      <c r="I2157" s="1">
        <v>0</v>
      </c>
      <c r="J2157" s="1">
        <v>2</v>
      </c>
    </row>
    <row r="2158" spans="1:10" x14ac:dyDescent="0.2">
      <c r="A2158" s="1">
        <v>801</v>
      </c>
      <c r="B2158" s="1">
        <v>1</v>
      </c>
      <c r="C2158" s="1">
        <v>10</v>
      </c>
      <c r="D2158" s="1">
        <v>1</v>
      </c>
      <c r="E2158" s="1">
        <v>1</v>
      </c>
      <c r="F2158" s="1">
        <v>10</v>
      </c>
      <c r="G2158" s="1">
        <v>7</v>
      </c>
      <c r="H2158" s="1">
        <v>1</v>
      </c>
      <c r="I2158" s="1">
        <v>3</v>
      </c>
      <c r="J2158" s="1">
        <v>2</v>
      </c>
    </row>
    <row r="2159" spans="1:10" x14ac:dyDescent="0.2">
      <c r="A2159" s="1">
        <v>1228</v>
      </c>
      <c r="B2159" s="1">
        <v>1</v>
      </c>
      <c r="C2159" s="1">
        <v>14</v>
      </c>
      <c r="D2159" s="1">
        <v>3</v>
      </c>
      <c r="E2159" s="1">
        <v>1</v>
      </c>
      <c r="F2159" s="1">
        <v>10</v>
      </c>
      <c r="G2159" s="1">
        <v>7</v>
      </c>
      <c r="H2159" s="1">
        <v>0</v>
      </c>
      <c r="I2159" s="1">
        <v>0</v>
      </c>
      <c r="J2159" s="1">
        <v>2</v>
      </c>
    </row>
    <row r="2160" spans="1:10" x14ac:dyDescent="0.2">
      <c r="A2160" s="1">
        <v>1725</v>
      </c>
      <c r="B2160" s="1">
        <v>1</v>
      </c>
      <c r="C2160" s="1">
        <v>11</v>
      </c>
      <c r="D2160" s="1">
        <v>1</v>
      </c>
      <c r="E2160" s="1">
        <v>1</v>
      </c>
      <c r="F2160" s="1">
        <v>6</v>
      </c>
      <c r="G2160" s="1">
        <v>7</v>
      </c>
      <c r="H2160" s="1">
        <v>1</v>
      </c>
      <c r="I2160" s="1">
        <v>0</v>
      </c>
      <c r="J2160" s="1">
        <v>3</v>
      </c>
    </row>
    <row r="2161" spans="1:10" x14ac:dyDescent="0.2">
      <c r="A2161" s="1">
        <v>272</v>
      </c>
      <c r="B2161" s="1">
        <v>1</v>
      </c>
      <c r="C2161" s="1">
        <v>13</v>
      </c>
      <c r="D2161" s="1">
        <v>5</v>
      </c>
      <c r="E2161" s="1">
        <v>1</v>
      </c>
      <c r="F2161" s="1">
        <v>7</v>
      </c>
      <c r="G2161" s="1">
        <v>7</v>
      </c>
      <c r="H2161" s="1">
        <v>0</v>
      </c>
      <c r="I2161" s="1">
        <v>3</v>
      </c>
      <c r="J2161" s="1">
        <v>3</v>
      </c>
    </row>
    <row r="2162" spans="1:10" x14ac:dyDescent="0.2">
      <c r="A2162" s="1">
        <v>841</v>
      </c>
      <c r="B2162" s="1">
        <v>1</v>
      </c>
      <c r="C2162" s="1">
        <v>13</v>
      </c>
      <c r="D2162" s="1">
        <v>4</v>
      </c>
      <c r="E2162" s="1">
        <v>1</v>
      </c>
      <c r="F2162" s="1">
        <v>7</v>
      </c>
      <c r="G2162" s="1">
        <v>7</v>
      </c>
      <c r="H2162" s="1">
        <v>1</v>
      </c>
      <c r="I2162" s="1">
        <v>1</v>
      </c>
      <c r="J2162" s="1">
        <v>3</v>
      </c>
    </row>
    <row r="2163" spans="1:10" x14ac:dyDescent="0.2">
      <c r="A2163" s="1">
        <v>1885</v>
      </c>
      <c r="B2163" s="1">
        <v>1</v>
      </c>
      <c r="C2163" s="1">
        <v>10</v>
      </c>
      <c r="D2163" s="1">
        <v>1</v>
      </c>
      <c r="E2163" s="1">
        <v>1</v>
      </c>
      <c r="F2163" s="1">
        <v>8</v>
      </c>
      <c r="G2163" s="1">
        <v>7</v>
      </c>
      <c r="H2163" s="1">
        <v>0</v>
      </c>
      <c r="I2163" s="1">
        <v>0</v>
      </c>
      <c r="J2163" s="1">
        <v>3</v>
      </c>
    </row>
    <row r="2164" spans="1:10" x14ac:dyDescent="0.2">
      <c r="A2164" s="1">
        <v>1640</v>
      </c>
      <c r="B2164" s="1">
        <v>1</v>
      </c>
      <c r="C2164" s="1">
        <v>18</v>
      </c>
      <c r="D2164" s="1">
        <v>4</v>
      </c>
      <c r="E2164" s="1">
        <v>1</v>
      </c>
      <c r="F2164" s="1">
        <v>9</v>
      </c>
      <c r="G2164" s="1">
        <v>7</v>
      </c>
      <c r="H2164" s="1">
        <v>1</v>
      </c>
      <c r="I2164" s="1">
        <v>0</v>
      </c>
      <c r="J2164" s="1">
        <v>3</v>
      </c>
    </row>
    <row r="2165" spans="1:10" x14ac:dyDescent="0.2">
      <c r="A2165" s="1">
        <v>542</v>
      </c>
      <c r="B2165" s="1">
        <v>1</v>
      </c>
      <c r="C2165" s="1">
        <v>17</v>
      </c>
      <c r="D2165" s="1">
        <v>5</v>
      </c>
      <c r="E2165" s="1">
        <v>1</v>
      </c>
      <c r="F2165" s="1">
        <v>10</v>
      </c>
      <c r="G2165" s="1">
        <v>7</v>
      </c>
      <c r="H2165" s="1">
        <v>1</v>
      </c>
      <c r="I2165" s="1">
        <v>2</v>
      </c>
      <c r="J2165" s="1">
        <v>3</v>
      </c>
    </row>
    <row r="2166" spans="1:10" x14ac:dyDescent="0.2">
      <c r="A2166" s="1">
        <v>1115</v>
      </c>
      <c r="B2166" s="1">
        <v>1</v>
      </c>
      <c r="C2166" s="1">
        <v>10</v>
      </c>
      <c r="D2166" s="1">
        <v>2</v>
      </c>
      <c r="E2166" s="1">
        <v>1</v>
      </c>
      <c r="F2166" s="1">
        <v>4</v>
      </c>
      <c r="G2166" s="1">
        <v>7</v>
      </c>
      <c r="H2166" s="1">
        <v>0</v>
      </c>
      <c r="I2166" s="1">
        <v>2</v>
      </c>
      <c r="J2166" s="1">
        <v>4</v>
      </c>
    </row>
    <row r="2167" spans="1:10" x14ac:dyDescent="0.2">
      <c r="A2167" s="1">
        <v>484</v>
      </c>
      <c r="B2167" s="1">
        <v>1</v>
      </c>
      <c r="C2167" s="1">
        <v>19</v>
      </c>
      <c r="D2167" s="1">
        <v>5</v>
      </c>
      <c r="E2167" s="1">
        <v>1</v>
      </c>
      <c r="F2167" s="1">
        <v>4</v>
      </c>
      <c r="G2167" s="1">
        <v>7</v>
      </c>
      <c r="H2167" s="1">
        <v>1</v>
      </c>
      <c r="I2167" s="1">
        <v>2</v>
      </c>
      <c r="J2167" s="1">
        <v>4</v>
      </c>
    </row>
    <row r="2168" spans="1:10" x14ac:dyDescent="0.2">
      <c r="A2168" s="1">
        <v>594</v>
      </c>
      <c r="B2168" s="1">
        <v>1</v>
      </c>
      <c r="C2168" s="1">
        <v>19</v>
      </c>
      <c r="D2168" s="1">
        <v>4</v>
      </c>
      <c r="E2168" s="1">
        <v>1</v>
      </c>
      <c r="F2168" s="1">
        <v>5</v>
      </c>
      <c r="G2168" s="1">
        <v>7</v>
      </c>
      <c r="H2168" s="1">
        <v>1</v>
      </c>
      <c r="I2168" s="1">
        <v>1</v>
      </c>
      <c r="J2168" s="1">
        <v>4</v>
      </c>
    </row>
    <row r="2169" spans="1:10" x14ac:dyDescent="0.2">
      <c r="A2169" s="1">
        <v>1744</v>
      </c>
      <c r="B2169" s="1">
        <v>1</v>
      </c>
      <c r="C2169" s="1">
        <v>19</v>
      </c>
      <c r="D2169" s="1">
        <v>1</v>
      </c>
      <c r="E2169" s="1">
        <v>1</v>
      </c>
      <c r="F2169" s="1">
        <v>5</v>
      </c>
      <c r="G2169" s="1">
        <v>7</v>
      </c>
      <c r="H2169" s="1">
        <v>1</v>
      </c>
      <c r="I2169" s="1">
        <v>2</v>
      </c>
      <c r="J2169" s="1">
        <v>4</v>
      </c>
    </row>
    <row r="2170" spans="1:10" x14ac:dyDescent="0.2">
      <c r="A2170" s="1">
        <v>1511</v>
      </c>
      <c r="B2170" s="1">
        <v>1</v>
      </c>
      <c r="C2170" s="1">
        <v>15</v>
      </c>
      <c r="D2170" s="1">
        <v>5</v>
      </c>
      <c r="E2170" s="1">
        <v>1</v>
      </c>
      <c r="F2170" s="1">
        <v>7</v>
      </c>
      <c r="G2170" s="1">
        <v>7</v>
      </c>
      <c r="H2170" s="1">
        <v>0</v>
      </c>
      <c r="I2170" s="1">
        <v>0</v>
      </c>
      <c r="J2170" s="1">
        <v>4</v>
      </c>
    </row>
    <row r="2171" spans="1:10" x14ac:dyDescent="0.2">
      <c r="A2171" s="1">
        <v>1680</v>
      </c>
      <c r="B2171" s="1">
        <v>1</v>
      </c>
      <c r="C2171" s="1">
        <v>5</v>
      </c>
      <c r="D2171" s="1">
        <v>5</v>
      </c>
      <c r="E2171" s="1">
        <v>1</v>
      </c>
      <c r="F2171" s="1">
        <v>8</v>
      </c>
      <c r="G2171" s="1">
        <v>7</v>
      </c>
      <c r="H2171" s="1">
        <v>1</v>
      </c>
      <c r="I2171" s="1">
        <v>2</v>
      </c>
      <c r="J2171" s="1">
        <v>4</v>
      </c>
    </row>
    <row r="2172" spans="1:10" x14ac:dyDescent="0.2">
      <c r="A2172" s="1">
        <v>767</v>
      </c>
      <c r="B2172" s="1">
        <v>1</v>
      </c>
      <c r="C2172" s="1">
        <v>17</v>
      </c>
      <c r="D2172" s="1">
        <v>2</v>
      </c>
      <c r="E2172" s="1">
        <v>1</v>
      </c>
      <c r="F2172" s="1">
        <v>8</v>
      </c>
      <c r="G2172" s="1">
        <v>7</v>
      </c>
      <c r="H2172" s="1">
        <v>1</v>
      </c>
      <c r="I2172" s="1">
        <v>0</v>
      </c>
      <c r="J2172" s="1">
        <v>4</v>
      </c>
    </row>
    <row r="2173" spans="1:10" x14ac:dyDescent="0.2">
      <c r="A2173" s="1">
        <v>974</v>
      </c>
      <c r="B2173" s="1">
        <v>1</v>
      </c>
      <c r="C2173" s="1">
        <v>17</v>
      </c>
      <c r="D2173" s="1">
        <v>1</v>
      </c>
      <c r="E2173" s="1">
        <v>1</v>
      </c>
      <c r="F2173" s="1">
        <v>8</v>
      </c>
      <c r="G2173" s="1">
        <v>7</v>
      </c>
      <c r="H2173" s="1">
        <v>0</v>
      </c>
      <c r="I2173" s="1">
        <v>1</v>
      </c>
      <c r="J2173" s="1">
        <v>4</v>
      </c>
    </row>
    <row r="2174" spans="1:10" x14ac:dyDescent="0.2">
      <c r="A2174" s="1">
        <v>1775</v>
      </c>
      <c r="B2174" s="1">
        <v>1</v>
      </c>
      <c r="C2174" s="1">
        <v>19</v>
      </c>
      <c r="D2174" s="1">
        <v>5</v>
      </c>
      <c r="E2174" s="1">
        <v>1</v>
      </c>
      <c r="F2174" s="1">
        <v>8</v>
      </c>
      <c r="G2174" s="1">
        <v>7</v>
      </c>
      <c r="H2174" s="1">
        <v>1</v>
      </c>
      <c r="I2174" s="1">
        <v>3</v>
      </c>
      <c r="J2174" s="1">
        <v>4</v>
      </c>
    </row>
    <row r="2175" spans="1:10" x14ac:dyDescent="0.2">
      <c r="A2175" s="1">
        <v>1513</v>
      </c>
      <c r="B2175" s="1">
        <v>1</v>
      </c>
      <c r="C2175" s="1">
        <v>15</v>
      </c>
      <c r="D2175" s="1">
        <v>5</v>
      </c>
      <c r="E2175" s="1">
        <v>2</v>
      </c>
      <c r="F2175" s="1">
        <v>8</v>
      </c>
      <c r="G2175" s="1">
        <v>7</v>
      </c>
      <c r="H2175" s="1">
        <v>0</v>
      </c>
      <c r="I2175" s="1">
        <v>1</v>
      </c>
      <c r="J2175" s="1">
        <v>4</v>
      </c>
    </row>
    <row r="2176" spans="1:10" x14ac:dyDescent="0.2">
      <c r="A2176" s="1">
        <v>2233</v>
      </c>
      <c r="B2176" s="1">
        <v>1</v>
      </c>
      <c r="C2176" s="1">
        <v>20</v>
      </c>
      <c r="D2176" s="1">
        <v>1</v>
      </c>
      <c r="E2176" s="1">
        <v>2</v>
      </c>
      <c r="F2176" s="1">
        <v>9</v>
      </c>
      <c r="G2176" s="1">
        <v>7</v>
      </c>
      <c r="H2176" s="1">
        <v>0</v>
      </c>
      <c r="I2176" s="1">
        <v>0</v>
      </c>
      <c r="J2176" s="1">
        <v>4</v>
      </c>
    </row>
    <row r="2177" spans="1:10" x14ac:dyDescent="0.2">
      <c r="A2177" s="1">
        <v>154</v>
      </c>
      <c r="B2177" s="1">
        <v>1</v>
      </c>
      <c r="C2177" s="1">
        <v>19</v>
      </c>
      <c r="D2177" s="1">
        <v>1</v>
      </c>
      <c r="E2177" s="1">
        <v>2</v>
      </c>
      <c r="F2177" s="1">
        <v>10</v>
      </c>
      <c r="G2177" s="1">
        <v>7</v>
      </c>
      <c r="H2177" s="1">
        <v>1</v>
      </c>
      <c r="I2177" s="1">
        <v>1</v>
      </c>
      <c r="J2177" s="1">
        <v>4</v>
      </c>
    </row>
    <row r="2178" spans="1:10" x14ac:dyDescent="0.2">
      <c r="A2178" s="1">
        <v>2391</v>
      </c>
      <c r="B2178" s="1">
        <v>1</v>
      </c>
      <c r="C2178" s="1">
        <v>6</v>
      </c>
      <c r="D2178" s="1">
        <v>3</v>
      </c>
      <c r="E2178" s="1">
        <v>1</v>
      </c>
      <c r="F2178" s="1">
        <v>2</v>
      </c>
      <c r="G2178" s="1">
        <v>7</v>
      </c>
      <c r="H2178" s="1">
        <v>0</v>
      </c>
      <c r="I2178" s="1">
        <v>3</v>
      </c>
      <c r="J2178" s="1">
        <v>5</v>
      </c>
    </row>
    <row r="2179" spans="1:10" x14ac:dyDescent="0.2">
      <c r="A2179" s="1">
        <v>2382</v>
      </c>
      <c r="B2179" s="1">
        <v>1</v>
      </c>
      <c r="C2179" s="1">
        <v>7</v>
      </c>
      <c r="D2179" s="1">
        <v>1</v>
      </c>
      <c r="E2179" s="1">
        <v>1</v>
      </c>
      <c r="F2179" s="1">
        <v>2</v>
      </c>
      <c r="G2179" s="1">
        <v>7</v>
      </c>
      <c r="H2179" s="1">
        <v>1</v>
      </c>
      <c r="I2179" s="1">
        <v>3</v>
      </c>
      <c r="J2179" s="1">
        <v>5</v>
      </c>
    </row>
    <row r="2180" spans="1:10" x14ac:dyDescent="0.2">
      <c r="A2180" s="1">
        <v>275</v>
      </c>
      <c r="B2180" s="1">
        <v>1</v>
      </c>
      <c r="C2180" s="1">
        <v>15</v>
      </c>
      <c r="D2180" s="1">
        <v>2</v>
      </c>
      <c r="E2180" s="1">
        <v>1</v>
      </c>
      <c r="F2180" s="1">
        <v>2</v>
      </c>
      <c r="G2180" s="1">
        <v>7</v>
      </c>
      <c r="H2180" s="1">
        <v>1</v>
      </c>
      <c r="I2180" s="1">
        <v>2</v>
      </c>
      <c r="J2180" s="1">
        <v>5</v>
      </c>
    </row>
    <row r="2181" spans="1:10" x14ac:dyDescent="0.2">
      <c r="A2181" s="1">
        <v>637</v>
      </c>
      <c r="B2181" s="1">
        <v>1</v>
      </c>
      <c r="C2181" s="1">
        <v>17</v>
      </c>
      <c r="D2181" s="1">
        <v>2</v>
      </c>
      <c r="E2181" s="1">
        <v>1</v>
      </c>
      <c r="F2181" s="1">
        <v>3</v>
      </c>
      <c r="G2181" s="1">
        <v>7</v>
      </c>
      <c r="H2181" s="1">
        <v>0</v>
      </c>
      <c r="I2181" s="1">
        <v>3</v>
      </c>
      <c r="J2181" s="1">
        <v>5</v>
      </c>
    </row>
    <row r="2182" spans="1:10" x14ac:dyDescent="0.2">
      <c r="A2182" s="1">
        <v>1857</v>
      </c>
      <c r="B2182" s="1">
        <v>1</v>
      </c>
      <c r="C2182" s="1">
        <v>20</v>
      </c>
      <c r="D2182" s="1">
        <v>1</v>
      </c>
      <c r="E2182" s="1">
        <v>1</v>
      </c>
      <c r="F2182" s="1">
        <v>3</v>
      </c>
      <c r="G2182" s="1">
        <v>7</v>
      </c>
      <c r="H2182" s="1">
        <v>1</v>
      </c>
      <c r="I2182" s="1">
        <v>0</v>
      </c>
      <c r="J2182" s="1">
        <v>5</v>
      </c>
    </row>
    <row r="2183" spans="1:10" x14ac:dyDescent="0.2">
      <c r="A2183" s="1">
        <v>606</v>
      </c>
      <c r="B2183" s="1">
        <v>1</v>
      </c>
      <c r="C2183" s="1">
        <v>7</v>
      </c>
      <c r="D2183" s="1">
        <v>3</v>
      </c>
      <c r="E2183" s="1">
        <v>1</v>
      </c>
      <c r="F2183" s="1">
        <v>4</v>
      </c>
      <c r="G2183" s="1">
        <v>7</v>
      </c>
      <c r="H2183" s="1">
        <v>1</v>
      </c>
      <c r="I2183" s="1">
        <v>1</v>
      </c>
      <c r="J2183" s="1">
        <v>5</v>
      </c>
    </row>
    <row r="2184" spans="1:10" x14ac:dyDescent="0.2">
      <c r="A2184" s="1">
        <v>1018</v>
      </c>
      <c r="B2184" s="1">
        <v>1</v>
      </c>
      <c r="C2184" s="1">
        <v>11</v>
      </c>
      <c r="D2184" s="1">
        <v>4</v>
      </c>
      <c r="E2184" s="1">
        <v>1</v>
      </c>
      <c r="F2184" s="1">
        <v>4</v>
      </c>
      <c r="G2184" s="1">
        <v>7</v>
      </c>
      <c r="H2184" s="1">
        <v>0</v>
      </c>
      <c r="I2184" s="1">
        <v>0</v>
      </c>
      <c r="J2184" s="1">
        <v>5</v>
      </c>
    </row>
    <row r="2185" spans="1:10" x14ac:dyDescent="0.2">
      <c r="A2185" s="1">
        <v>1269</v>
      </c>
      <c r="B2185" s="1">
        <v>1</v>
      </c>
      <c r="C2185" s="1">
        <v>13</v>
      </c>
      <c r="D2185" s="1">
        <v>2</v>
      </c>
      <c r="E2185" s="1">
        <v>1</v>
      </c>
      <c r="F2185" s="1">
        <v>4</v>
      </c>
      <c r="G2185" s="1">
        <v>7</v>
      </c>
      <c r="H2185" s="1">
        <v>1</v>
      </c>
      <c r="I2185" s="1">
        <v>2</v>
      </c>
      <c r="J2185" s="1">
        <v>5</v>
      </c>
    </row>
    <row r="2186" spans="1:10" x14ac:dyDescent="0.2">
      <c r="A2186" s="1">
        <v>1449</v>
      </c>
      <c r="B2186" s="1">
        <v>1</v>
      </c>
      <c r="C2186" s="1">
        <v>5</v>
      </c>
      <c r="D2186" s="1">
        <v>3</v>
      </c>
      <c r="E2186" s="1">
        <v>2</v>
      </c>
      <c r="F2186" s="1">
        <v>4</v>
      </c>
      <c r="G2186" s="1">
        <v>7</v>
      </c>
      <c r="H2186" s="1">
        <v>0</v>
      </c>
      <c r="I2186" s="1">
        <v>0</v>
      </c>
      <c r="J2186" s="1">
        <v>5</v>
      </c>
    </row>
    <row r="2187" spans="1:10" x14ac:dyDescent="0.2">
      <c r="A2187" s="1">
        <v>1256</v>
      </c>
      <c r="B2187" s="1">
        <v>1</v>
      </c>
      <c r="C2187" s="1">
        <v>8</v>
      </c>
      <c r="D2187" s="1">
        <v>2</v>
      </c>
      <c r="E2187" s="1">
        <v>1</v>
      </c>
      <c r="F2187" s="1">
        <v>5</v>
      </c>
      <c r="G2187" s="1">
        <v>7</v>
      </c>
      <c r="H2187" s="1">
        <v>1</v>
      </c>
      <c r="I2187" s="1">
        <v>2</v>
      </c>
      <c r="J2187" s="1">
        <v>5</v>
      </c>
    </row>
    <row r="2188" spans="1:10" x14ac:dyDescent="0.2">
      <c r="A2188" s="1">
        <v>2232</v>
      </c>
      <c r="B2188" s="1">
        <v>1</v>
      </c>
      <c r="C2188" s="1">
        <v>14</v>
      </c>
      <c r="D2188" s="1">
        <v>5</v>
      </c>
      <c r="E2188" s="1">
        <v>1</v>
      </c>
      <c r="F2188" s="1">
        <v>5</v>
      </c>
      <c r="G2188" s="1">
        <v>7</v>
      </c>
      <c r="H2188" s="1">
        <v>0</v>
      </c>
      <c r="I2188" s="1">
        <v>2</v>
      </c>
      <c r="J2188" s="1">
        <v>5</v>
      </c>
    </row>
    <row r="2189" spans="1:10" x14ac:dyDescent="0.2">
      <c r="A2189" s="1">
        <v>294</v>
      </c>
      <c r="B2189" s="1">
        <v>1</v>
      </c>
      <c r="C2189" s="1">
        <v>15</v>
      </c>
      <c r="D2189" s="1">
        <v>2</v>
      </c>
      <c r="E2189" s="1">
        <v>2</v>
      </c>
      <c r="F2189" s="1">
        <v>5</v>
      </c>
      <c r="G2189" s="1">
        <v>7</v>
      </c>
      <c r="H2189" s="1">
        <v>1</v>
      </c>
      <c r="I2189" s="1">
        <v>0</v>
      </c>
      <c r="J2189" s="1">
        <v>5</v>
      </c>
    </row>
    <row r="2190" spans="1:10" x14ac:dyDescent="0.2">
      <c r="A2190" s="1">
        <v>2222</v>
      </c>
      <c r="B2190" s="1">
        <v>1</v>
      </c>
      <c r="C2190" s="1">
        <v>7</v>
      </c>
      <c r="D2190" s="1">
        <v>4</v>
      </c>
      <c r="E2190" s="1">
        <v>1</v>
      </c>
      <c r="F2190" s="1">
        <v>6</v>
      </c>
      <c r="G2190" s="1">
        <v>7</v>
      </c>
      <c r="H2190" s="1">
        <v>0</v>
      </c>
      <c r="I2190" s="1">
        <v>1</v>
      </c>
      <c r="J2190" s="1">
        <v>5</v>
      </c>
    </row>
    <row r="2191" spans="1:10" x14ac:dyDescent="0.2">
      <c r="A2191" s="1">
        <v>2337</v>
      </c>
      <c r="B2191" s="1">
        <v>1</v>
      </c>
      <c r="C2191" s="1">
        <v>8</v>
      </c>
      <c r="D2191" s="1">
        <v>4</v>
      </c>
      <c r="E2191" s="1">
        <v>2</v>
      </c>
      <c r="F2191" s="1">
        <v>6</v>
      </c>
      <c r="G2191" s="1">
        <v>7</v>
      </c>
      <c r="H2191" s="1">
        <v>0</v>
      </c>
      <c r="I2191" s="1">
        <v>1</v>
      </c>
      <c r="J2191" s="1">
        <v>5</v>
      </c>
    </row>
    <row r="2192" spans="1:10" x14ac:dyDescent="0.2">
      <c r="A2192" s="1">
        <v>520</v>
      </c>
      <c r="B2192" s="1">
        <v>1</v>
      </c>
      <c r="C2192" s="1">
        <v>20</v>
      </c>
      <c r="D2192" s="1">
        <v>2</v>
      </c>
      <c r="E2192" s="1">
        <v>2</v>
      </c>
      <c r="F2192" s="1">
        <v>6</v>
      </c>
      <c r="G2192" s="1">
        <v>7</v>
      </c>
      <c r="H2192" s="1">
        <v>0</v>
      </c>
      <c r="I2192" s="1">
        <v>1</v>
      </c>
      <c r="J2192" s="1">
        <v>5</v>
      </c>
    </row>
    <row r="2193" spans="1:10" x14ac:dyDescent="0.2">
      <c r="A2193" s="1">
        <v>1849</v>
      </c>
      <c r="B2193" s="1">
        <v>1</v>
      </c>
      <c r="C2193" s="1">
        <v>20</v>
      </c>
      <c r="D2193" s="1">
        <v>5</v>
      </c>
      <c r="E2193" s="1">
        <v>2</v>
      </c>
      <c r="F2193" s="1">
        <v>6</v>
      </c>
      <c r="G2193" s="1">
        <v>7</v>
      </c>
      <c r="H2193" s="1">
        <v>0</v>
      </c>
      <c r="I2193" s="1">
        <v>3</v>
      </c>
      <c r="J2193" s="1">
        <v>5</v>
      </c>
    </row>
    <row r="2194" spans="1:10" x14ac:dyDescent="0.2">
      <c r="A2194" s="1">
        <v>1609</v>
      </c>
      <c r="B2194" s="1">
        <v>1</v>
      </c>
      <c r="C2194" s="1">
        <v>12</v>
      </c>
      <c r="D2194" s="1">
        <v>5</v>
      </c>
      <c r="E2194" s="1">
        <v>1</v>
      </c>
      <c r="F2194" s="1">
        <v>7</v>
      </c>
      <c r="G2194" s="1">
        <v>7</v>
      </c>
      <c r="H2194" s="1">
        <v>0</v>
      </c>
      <c r="I2194" s="1">
        <v>0</v>
      </c>
      <c r="J2194" s="1">
        <v>5</v>
      </c>
    </row>
    <row r="2195" spans="1:10" x14ac:dyDescent="0.2">
      <c r="A2195" s="1">
        <v>1644</v>
      </c>
      <c r="B2195" s="1">
        <v>1</v>
      </c>
      <c r="C2195" s="1">
        <v>14</v>
      </c>
      <c r="D2195" s="1">
        <v>2</v>
      </c>
      <c r="E2195" s="1">
        <v>1</v>
      </c>
      <c r="F2195" s="1">
        <v>7</v>
      </c>
      <c r="G2195" s="1">
        <v>7</v>
      </c>
      <c r="H2195" s="1">
        <v>1</v>
      </c>
      <c r="I2195" s="1">
        <v>2</v>
      </c>
      <c r="J2195" s="1">
        <v>5</v>
      </c>
    </row>
    <row r="2196" spans="1:10" x14ac:dyDescent="0.2">
      <c r="A2196" s="1">
        <v>1658</v>
      </c>
      <c r="B2196" s="1">
        <v>1</v>
      </c>
      <c r="C2196" s="1">
        <v>7</v>
      </c>
      <c r="D2196" s="1">
        <v>4</v>
      </c>
      <c r="E2196" s="1">
        <v>1</v>
      </c>
      <c r="F2196" s="1">
        <v>8</v>
      </c>
      <c r="G2196" s="1">
        <v>7</v>
      </c>
      <c r="H2196" s="1">
        <v>1</v>
      </c>
      <c r="I2196" s="1">
        <v>1</v>
      </c>
      <c r="J2196" s="1">
        <v>5</v>
      </c>
    </row>
    <row r="2197" spans="1:10" x14ac:dyDescent="0.2">
      <c r="A2197" s="1">
        <v>967</v>
      </c>
      <c r="B2197" s="1">
        <v>1</v>
      </c>
      <c r="C2197" s="1">
        <v>11</v>
      </c>
      <c r="D2197" s="1">
        <v>2</v>
      </c>
      <c r="E2197" s="1">
        <v>1</v>
      </c>
      <c r="F2197" s="1">
        <v>8</v>
      </c>
      <c r="G2197" s="1">
        <v>7</v>
      </c>
      <c r="H2197" s="1">
        <v>0</v>
      </c>
      <c r="I2197" s="1">
        <v>2</v>
      </c>
      <c r="J2197" s="1">
        <v>5</v>
      </c>
    </row>
    <row r="2198" spans="1:10" x14ac:dyDescent="0.2">
      <c r="A2198" s="1">
        <v>996</v>
      </c>
      <c r="B2198" s="1">
        <v>1</v>
      </c>
      <c r="C2198" s="1">
        <v>8</v>
      </c>
      <c r="D2198" s="1">
        <v>4</v>
      </c>
      <c r="E2198" s="1">
        <v>2</v>
      </c>
      <c r="F2198" s="1">
        <v>8</v>
      </c>
      <c r="G2198" s="1">
        <v>7</v>
      </c>
      <c r="H2198" s="1">
        <v>0</v>
      </c>
      <c r="I2198" s="1">
        <v>0</v>
      </c>
      <c r="J2198" s="1">
        <v>5</v>
      </c>
    </row>
    <row r="2199" spans="1:10" x14ac:dyDescent="0.2">
      <c r="A2199" s="1">
        <v>312</v>
      </c>
      <c r="B2199" s="1">
        <v>1</v>
      </c>
      <c r="C2199" s="1">
        <v>5</v>
      </c>
      <c r="D2199" s="1">
        <v>2</v>
      </c>
      <c r="E2199" s="1">
        <v>1</v>
      </c>
      <c r="F2199" s="1">
        <v>9</v>
      </c>
      <c r="G2199" s="1">
        <v>7</v>
      </c>
      <c r="H2199" s="1">
        <v>0</v>
      </c>
      <c r="I2199" s="1">
        <v>3</v>
      </c>
      <c r="J2199" s="1">
        <v>5</v>
      </c>
    </row>
    <row r="2200" spans="1:10" x14ac:dyDescent="0.2">
      <c r="A2200" s="1">
        <v>1875</v>
      </c>
      <c r="B2200" s="1">
        <v>1</v>
      </c>
      <c r="C2200" s="1">
        <v>11</v>
      </c>
      <c r="D2200" s="1">
        <v>5</v>
      </c>
      <c r="E2200" s="1">
        <v>1</v>
      </c>
      <c r="F2200" s="1">
        <v>9</v>
      </c>
      <c r="G2200" s="1">
        <v>7</v>
      </c>
      <c r="H2200" s="1">
        <v>1</v>
      </c>
      <c r="I2200" s="1">
        <v>0</v>
      </c>
      <c r="J2200" s="1">
        <v>5</v>
      </c>
    </row>
    <row r="2201" spans="1:10" x14ac:dyDescent="0.2">
      <c r="A2201" s="1">
        <v>1921</v>
      </c>
      <c r="B2201" s="1">
        <v>1</v>
      </c>
      <c r="C2201" s="1">
        <v>11</v>
      </c>
      <c r="D2201" s="1">
        <v>2</v>
      </c>
      <c r="E2201" s="1">
        <v>2</v>
      </c>
      <c r="F2201" s="1">
        <v>9</v>
      </c>
      <c r="G2201" s="1">
        <v>7</v>
      </c>
      <c r="H2201" s="1">
        <v>0</v>
      </c>
      <c r="I2201" s="1">
        <v>3</v>
      </c>
      <c r="J2201" s="1">
        <v>5</v>
      </c>
    </row>
    <row r="2202" spans="1:10" x14ac:dyDescent="0.2">
      <c r="A2202" s="1">
        <v>1047</v>
      </c>
      <c r="B2202" s="1">
        <v>1</v>
      </c>
      <c r="C2202" s="1">
        <v>8</v>
      </c>
      <c r="D2202" s="1">
        <v>3</v>
      </c>
      <c r="E2202" s="1">
        <v>1</v>
      </c>
      <c r="F2202" s="1">
        <v>10</v>
      </c>
      <c r="G2202" s="1">
        <v>7</v>
      </c>
      <c r="H2202" s="1">
        <v>0</v>
      </c>
      <c r="I2202" s="1">
        <v>2</v>
      </c>
      <c r="J2202" s="1">
        <v>5</v>
      </c>
    </row>
    <row r="2203" spans="1:10" x14ac:dyDescent="0.2">
      <c r="A2203" s="1">
        <v>2200</v>
      </c>
      <c r="B2203" s="1">
        <v>1</v>
      </c>
      <c r="C2203" s="1">
        <v>16</v>
      </c>
      <c r="D2203" s="1">
        <v>5</v>
      </c>
      <c r="E2203" s="1">
        <v>1</v>
      </c>
      <c r="F2203" s="1">
        <v>10</v>
      </c>
      <c r="G2203" s="1">
        <v>7</v>
      </c>
      <c r="H2203" s="1">
        <v>1</v>
      </c>
      <c r="I2203" s="1">
        <v>2</v>
      </c>
      <c r="J2203" s="1">
        <v>5</v>
      </c>
    </row>
    <row r="2204" spans="1:10" x14ac:dyDescent="0.2">
      <c r="A2204" s="1">
        <v>586</v>
      </c>
      <c r="B2204" s="1">
        <v>1</v>
      </c>
      <c r="C2204" s="1">
        <v>17</v>
      </c>
      <c r="D2204" s="1">
        <v>5</v>
      </c>
      <c r="E2204" s="1">
        <v>1</v>
      </c>
      <c r="F2204" s="1">
        <v>10</v>
      </c>
      <c r="G2204" s="1">
        <v>7</v>
      </c>
      <c r="H2204" s="1">
        <v>1</v>
      </c>
      <c r="I2204" s="1">
        <v>0</v>
      </c>
      <c r="J2204" s="1">
        <v>5</v>
      </c>
    </row>
    <row r="2205" spans="1:10" x14ac:dyDescent="0.2">
      <c r="A2205" s="1">
        <v>1006</v>
      </c>
      <c r="B2205" s="1">
        <v>1</v>
      </c>
      <c r="C2205" s="1">
        <v>17</v>
      </c>
      <c r="D2205" s="1">
        <v>1</v>
      </c>
      <c r="E2205" s="1">
        <v>1</v>
      </c>
      <c r="F2205" s="1">
        <v>10</v>
      </c>
      <c r="G2205" s="1">
        <v>7</v>
      </c>
      <c r="H2205" s="1">
        <v>0</v>
      </c>
      <c r="I2205" s="1">
        <v>3</v>
      </c>
      <c r="J2205" s="1">
        <v>5</v>
      </c>
    </row>
    <row r="2206" spans="1:10" x14ac:dyDescent="0.2">
      <c r="A2206" s="1">
        <v>2368</v>
      </c>
      <c r="B2206" s="1">
        <v>1</v>
      </c>
      <c r="C2206" s="1">
        <v>20</v>
      </c>
      <c r="D2206" s="1">
        <v>4</v>
      </c>
      <c r="E2206" s="1">
        <v>1</v>
      </c>
      <c r="F2206" s="1">
        <v>8</v>
      </c>
      <c r="G2206" s="1">
        <v>8</v>
      </c>
      <c r="H2206" s="1">
        <v>0</v>
      </c>
      <c r="I2206" s="1">
        <v>2</v>
      </c>
      <c r="J2206" s="1">
        <v>2</v>
      </c>
    </row>
    <row r="2207" spans="1:10" x14ac:dyDescent="0.2">
      <c r="A2207" s="1">
        <v>746</v>
      </c>
      <c r="B2207" s="1">
        <v>1</v>
      </c>
      <c r="C2207" s="1">
        <v>7</v>
      </c>
      <c r="D2207" s="1">
        <v>4</v>
      </c>
      <c r="E2207" s="1">
        <v>1</v>
      </c>
      <c r="F2207" s="1">
        <v>9</v>
      </c>
      <c r="G2207" s="1">
        <v>8</v>
      </c>
      <c r="H2207" s="1">
        <v>0</v>
      </c>
      <c r="I2207" s="1">
        <v>0</v>
      </c>
      <c r="J2207" s="1">
        <v>2</v>
      </c>
    </row>
    <row r="2208" spans="1:10" x14ac:dyDescent="0.2">
      <c r="A2208" s="1">
        <v>209</v>
      </c>
      <c r="B2208" s="1">
        <v>1</v>
      </c>
      <c r="C2208" s="1">
        <v>14</v>
      </c>
      <c r="D2208" s="1">
        <v>2</v>
      </c>
      <c r="E2208" s="1">
        <v>1</v>
      </c>
      <c r="F2208" s="1">
        <v>9</v>
      </c>
      <c r="G2208" s="1">
        <v>8</v>
      </c>
      <c r="H2208" s="1">
        <v>0</v>
      </c>
      <c r="I2208" s="1">
        <v>2</v>
      </c>
      <c r="J2208" s="1">
        <v>2</v>
      </c>
    </row>
    <row r="2209" spans="1:10" x14ac:dyDescent="0.2">
      <c r="A2209" s="1">
        <v>2353</v>
      </c>
      <c r="B2209" s="1">
        <v>1</v>
      </c>
      <c r="C2209" s="1">
        <v>7</v>
      </c>
      <c r="D2209" s="1">
        <v>2</v>
      </c>
      <c r="E2209" s="1">
        <v>1</v>
      </c>
      <c r="F2209" s="1">
        <v>10</v>
      </c>
      <c r="G2209" s="1">
        <v>8</v>
      </c>
      <c r="H2209" s="1">
        <v>0</v>
      </c>
      <c r="I2209" s="1">
        <v>2</v>
      </c>
      <c r="J2209" s="1">
        <v>2</v>
      </c>
    </row>
    <row r="2210" spans="1:10" x14ac:dyDescent="0.2">
      <c r="A2210" s="1">
        <v>1562</v>
      </c>
      <c r="B2210" s="1">
        <v>1</v>
      </c>
      <c r="C2210" s="1">
        <v>17</v>
      </c>
      <c r="D2210" s="1">
        <v>2</v>
      </c>
      <c r="E2210" s="1">
        <v>1</v>
      </c>
      <c r="F2210" s="1">
        <v>10</v>
      </c>
      <c r="G2210" s="1">
        <v>8</v>
      </c>
      <c r="H2210" s="1">
        <v>0</v>
      </c>
      <c r="I2210" s="1">
        <v>0</v>
      </c>
      <c r="J2210" s="1">
        <v>2</v>
      </c>
    </row>
    <row r="2211" spans="1:10" x14ac:dyDescent="0.2">
      <c r="A2211" s="1">
        <v>1709</v>
      </c>
      <c r="B2211" s="1">
        <v>1</v>
      </c>
      <c r="C2211" s="1">
        <v>5</v>
      </c>
      <c r="D2211" s="1">
        <v>3</v>
      </c>
      <c r="E2211" s="1">
        <v>1</v>
      </c>
      <c r="F2211" s="1">
        <v>5</v>
      </c>
      <c r="G2211" s="1">
        <v>8</v>
      </c>
      <c r="H2211" s="1">
        <v>0</v>
      </c>
      <c r="I2211" s="1">
        <v>1</v>
      </c>
      <c r="J2211" s="1">
        <v>3</v>
      </c>
    </row>
    <row r="2212" spans="1:10" x14ac:dyDescent="0.2">
      <c r="A2212" s="1">
        <v>2500</v>
      </c>
      <c r="B2212" s="1">
        <v>1</v>
      </c>
      <c r="C2212" s="1">
        <v>6</v>
      </c>
      <c r="D2212" s="1">
        <v>1</v>
      </c>
      <c r="E2212" s="1">
        <v>1</v>
      </c>
      <c r="F2212" s="1">
        <v>5</v>
      </c>
      <c r="G2212" s="1">
        <v>8</v>
      </c>
      <c r="H2212" s="1">
        <v>1</v>
      </c>
      <c r="I2212" s="1">
        <v>2</v>
      </c>
      <c r="J2212" s="1">
        <v>3</v>
      </c>
    </row>
    <row r="2213" spans="1:10" x14ac:dyDescent="0.2">
      <c r="A2213" s="1">
        <v>1273</v>
      </c>
      <c r="B2213" s="1">
        <v>1</v>
      </c>
      <c r="C2213" s="1">
        <v>13</v>
      </c>
      <c r="D2213" s="1">
        <v>2</v>
      </c>
      <c r="E2213" s="1">
        <v>1</v>
      </c>
      <c r="F2213" s="1">
        <v>5</v>
      </c>
      <c r="G2213" s="1">
        <v>8</v>
      </c>
      <c r="H2213" s="1">
        <v>1</v>
      </c>
      <c r="I2213" s="1">
        <v>3</v>
      </c>
      <c r="J2213" s="1">
        <v>3</v>
      </c>
    </row>
    <row r="2214" spans="1:10" x14ac:dyDescent="0.2">
      <c r="A2214" s="1">
        <v>543</v>
      </c>
      <c r="B2214" s="1">
        <v>1</v>
      </c>
      <c r="C2214" s="1">
        <v>15</v>
      </c>
      <c r="D2214" s="1">
        <v>2</v>
      </c>
      <c r="E2214" s="1">
        <v>1</v>
      </c>
      <c r="F2214" s="1">
        <v>8</v>
      </c>
      <c r="G2214" s="1">
        <v>8</v>
      </c>
      <c r="H2214" s="1">
        <v>1</v>
      </c>
      <c r="I2214" s="1">
        <v>1</v>
      </c>
      <c r="J2214" s="1">
        <v>3</v>
      </c>
    </row>
    <row r="2215" spans="1:10" x14ac:dyDescent="0.2">
      <c r="A2215" s="1">
        <v>48</v>
      </c>
      <c r="B2215" s="1">
        <v>1</v>
      </c>
      <c r="C2215" s="1">
        <v>12</v>
      </c>
      <c r="D2215" s="1">
        <v>1</v>
      </c>
      <c r="E2215" s="1">
        <v>1</v>
      </c>
      <c r="F2215" s="1">
        <v>9</v>
      </c>
      <c r="G2215" s="1">
        <v>8</v>
      </c>
      <c r="H2215" s="1">
        <v>1</v>
      </c>
      <c r="I2215" s="1">
        <v>2</v>
      </c>
      <c r="J2215" s="1">
        <v>3</v>
      </c>
    </row>
    <row r="2216" spans="1:10" x14ac:dyDescent="0.2">
      <c r="A2216" s="1">
        <v>1574</v>
      </c>
      <c r="B2216" s="1">
        <v>1</v>
      </c>
      <c r="C2216" s="1">
        <v>19</v>
      </c>
      <c r="D2216" s="1">
        <v>2</v>
      </c>
      <c r="E2216" s="1">
        <v>1</v>
      </c>
      <c r="F2216" s="1">
        <v>9</v>
      </c>
      <c r="G2216" s="1">
        <v>8</v>
      </c>
      <c r="H2216" s="1">
        <v>0</v>
      </c>
      <c r="I2216" s="1">
        <v>3</v>
      </c>
      <c r="J2216" s="1">
        <v>3</v>
      </c>
    </row>
    <row r="2217" spans="1:10" x14ac:dyDescent="0.2">
      <c r="A2217" s="1">
        <v>34</v>
      </c>
      <c r="B2217" s="1">
        <v>1</v>
      </c>
      <c r="C2217" s="1">
        <v>8</v>
      </c>
      <c r="D2217" s="1">
        <v>4</v>
      </c>
      <c r="E2217" s="1">
        <v>2</v>
      </c>
      <c r="F2217" s="1">
        <v>10</v>
      </c>
      <c r="G2217" s="1">
        <v>8</v>
      </c>
      <c r="H2217" s="1">
        <v>0</v>
      </c>
      <c r="I2217" s="1">
        <v>2</v>
      </c>
      <c r="J2217" s="1">
        <v>3</v>
      </c>
    </row>
    <row r="2218" spans="1:10" x14ac:dyDescent="0.2">
      <c r="A2218" s="1">
        <v>1106</v>
      </c>
      <c r="B2218" s="1">
        <v>1</v>
      </c>
      <c r="C2218" s="1">
        <v>18</v>
      </c>
      <c r="D2218" s="1">
        <v>2</v>
      </c>
      <c r="E2218" s="1">
        <v>2</v>
      </c>
      <c r="F2218" s="1">
        <v>10</v>
      </c>
      <c r="G2218" s="1">
        <v>8</v>
      </c>
      <c r="H2218" s="1">
        <v>0</v>
      </c>
      <c r="I2218" s="1">
        <v>2</v>
      </c>
      <c r="J2218" s="1">
        <v>3</v>
      </c>
    </row>
    <row r="2219" spans="1:10" x14ac:dyDescent="0.2">
      <c r="A2219" s="1">
        <v>42</v>
      </c>
      <c r="B2219" s="1">
        <v>1</v>
      </c>
      <c r="C2219" s="1">
        <v>8</v>
      </c>
      <c r="D2219" s="1">
        <v>5</v>
      </c>
      <c r="E2219" s="1">
        <v>1</v>
      </c>
      <c r="F2219" s="1">
        <v>3</v>
      </c>
      <c r="G2219" s="1">
        <v>8</v>
      </c>
      <c r="H2219" s="1">
        <v>0</v>
      </c>
      <c r="I2219" s="1">
        <v>2</v>
      </c>
      <c r="J2219" s="1">
        <v>4</v>
      </c>
    </row>
    <row r="2220" spans="1:10" x14ac:dyDescent="0.2">
      <c r="A2220" s="1">
        <v>118</v>
      </c>
      <c r="B2220" s="1">
        <v>1</v>
      </c>
      <c r="C2220" s="1">
        <v>18</v>
      </c>
      <c r="D2220" s="1">
        <v>5</v>
      </c>
      <c r="E2220" s="1">
        <v>1</v>
      </c>
      <c r="F2220" s="1">
        <v>3</v>
      </c>
      <c r="G2220" s="1">
        <v>8</v>
      </c>
      <c r="H2220" s="1">
        <v>1</v>
      </c>
      <c r="I2220" s="1">
        <v>2</v>
      </c>
      <c r="J2220" s="1">
        <v>4</v>
      </c>
    </row>
    <row r="2221" spans="1:10" x14ac:dyDescent="0.2">
      <c r="A2221" s="1">
        <v>625</v>
      </c>
      <c r="B2221" s="1">
        <v>1</v>
      </c>
      <c r="C2221" s="1">
        <v>10</v>
      </c>
      <c r="D2221" s="1">
        <v>5</v>
      </c>
      <c r="E2221" s="1">
        <v>1</v>
      </c>
      <c r="F2221" s="1">
        <v>4</v>
      </c>
      <c r="G2221" s="1">
        <v>8</v>
      </c>
      <c r="H2221" s="1">
        <v>1</v>
      </c>
      <c r="I2221" s="1">
        <v>2</v>
      </c>
      <c r="J2221" s="1">
        <v>4</v>
      </c>
    </row>
    <row r="2222" spans="1:10" x14ac:dyDescent="0.2">
      <c r="A2222" s="1">
        <v>1804</v>
      </c>
      <c r="B2222" s="1">
        <v>1</v>
      </c>
      <c r="C2222" s="1">
        <v>16</v>
      </c>
      <c r="D2222" s="1">
        <v>4</v>
      </c>
      <c r="E2222" s="1">
        <v>1</v>
      </c>
      <c r="F2222" s="1">
        <v>4</v>
      </c>
      <c r="G2222" s="1">
        <v>8</v>
      </c>
      <c r="H2222" s="1">
        <v>0</v>
      </c>
      <c r="I2222" s="1">
        <v>1</v>
      </c>
      <c r="J2222" s="1">
        <v>4</v>
      </c>
    </row>
    <row r="2223" spans="1:10" x14ac:dyDescent="0.2">
      <c r="A2223" s="1">
        <v>1274</v>
      </c>
      <c r="B2223" s="1">
        <v>1</v>
      </c>
      <c r="C2223" s="1">
        <v>9</v>
      </c>
      <c r="D2223" s="1">
        <v>4</v>
      </c>
      <c r="E2223" s="1">
        <v>1</v>
      </c>
      <c r="F2223" s="1">
        <v>6</v>
      </c>
      <c r="G2223" s="1">
        <v>8</v>
      </c>
      <c r="H2223" s="1">
        <v>0</v>
      </c>
      <c r="I2223" s="1">
        <v>2</v>
      </c>
      <c r="J2223" s="1">
        <v>4</v>
      </c>
    </row>
    <row r="2224" spans="1:10" x14ac:dyDescent="0.2">
      <c r="A2224" s="1">
        <v>1528</v>
      </c>
      <c r="B2224" s="1">
        <v>1</v>
      </c>
      <c r="C2224" s="1">
        <v>12</v>
      </c>
      <c r="D2224" s="1">
        <v>3</v>
      </c>
      <c r="E2224" s="1">
        <v>1</v>
      </c>
      <c r="F2224" s="1">
        <v>6</v>
      </c>
      <c r="G2224" s="1">
        <v>8</v>
      </c>
      <c r="H2224" s="1">
        <v>1</v>
      </c>
      <c r="I2224" s="1">
        <v>3</v>
      </c>
      <c r="J2224" s="1">
        <v>4</v>
      </c>
    </row>
    <row r="2225" spans="1:10" x14ac:dyDescent="0.2">
      <c r="A2225" s="1">
        <v>688</v>
      </c>
      <c r="B2225" s="1">
        <v>1</v>
      </c>
      <c r="C2225" s="1">
        <v>13</v>
      </c>
      <c r="D2225" s="1">
        <v>4</v>
      </c>
      <c r="E2225" s="1">
        <v>1</v>
      </c>
      <c r="F2225" s="1">
        <v>6</v>
      </c>
      <c r="G2225" s="1">
        <v>8</v>
      </c>
      <c r="H2225" s="1">
        <v>1</v>
      </c>
      <c r="I2225" s="1">
        <v>0</v>
      </c>
      <c r="J2225" s="1">
        <v>4</v>
      </c>
    </row>
    <row r="2226" spans="1:10" x14ac:dyDescent="0.2">
      <c r="A2226" s="1">
        <v>1010</v>
      </c>
      <c r="B2226" s="1">
        <v>1</v>
      </c>
      <c r="C2226" s="1">
        <v>11</v>
      </c>
      <c r="D2226" s="1">
        <v>2</v>
      </c>
      <c r="E2226" s="1">
        <v>2</v>
      </c>
      <c r="F2226" s="1">
        <v>6</v>
      </c>
      <c r="G2226" s="1">
        <v>8</v>
      </c>
      <c r="H2226" s="1">
        <v>0</v>
      </c>
      <c r="I2226" s="1">
        <v>3</v>
      </c>
      <c r="J2226" s="1">
        <v>4</v>
      </c>
    </row>
    <row r="2227" spans="1:10" x14ac:dyDescent="0.2">
      <c r="A2227" s="1">
        <v>1984</v>
      </c>
      <c r="B2227" s="1">
        <v>1</v>
      </c>
      <c r="C2227" s="1">
        <v>17</v>
      </c>
      <c r="D2227" s="1">
        <v>1</v>
      </c>
      <c r="E2227" s="1">
        <v>2</v>
      </c>
      <c r="F2227" s="1">
        <v>6</v>
      </c>
      <c r="G2227" s="1">
        <v>8</v>
      </c>
      <c r="H2227" s="1">
        <v>1</v>
      </c>
      <c r="I2227" s="1">
        <v>2</v>
      </c>
      <c r="J2227" s="1">
        <v>4</v>
      </c>
    </row>
    <row r="2228" spans="1:10" x14ac:dyDescent="0.2">
      <c r="A2228" s="1">
        <v>192</v>
      </c>
      <c r="B2228" s="1">
        <v>1</v>
      </c>
      <c r="C2228" s="1">
        <v>10</v>
      </c>
      <c r="D2228" s="1">
        <v>3</v>
      </c>
      <c r="E2228" s="1">
        <v>1</v>
      </c>
      <c r="F2228" s="1">
        <v>7</v>
      </c>
      <c r="G2228" s="1">
        <v>8</v>
      </c>
      <c r="H2228" s="1">
        <v>1</v>
      </c>
      <c r="I2228" s="1">
        <v>2</v>
      </c>
      <c r="J2228" s="1">
        <v>4</v>
      </c>
    </row>
    <row r="2229" spans="1:10" x14ac:dyDescent="0.2">
      <c r="A2229" s="1">
        <v>2379</v>
      </c>
      <c r="B2229" s="1">
        <v>1</v>
      </c>
      <c r="C2229" s="1">
        <v>10</v>
      </c>
      <c r="D2229" s="1">
        <v>4</v>
      </c>
      <c r="E2229" s="1">
        <v>1</v>
      </c>
      <c r="F2229" s="1">
        <v>7</v>
      </c>
      <c r="G2229" s="1">
        <v>8</v>
      </c>
      <c r="H2229" s="1">
        <v>0</v>
      </c>
      <c r="I2229" s="1">
        <v>0</v>
      </c>
      <c r="J2229" s="1">
        <v>4</v>
      </c>
    </row>
    <row r="2230" spans="1:10" x14ac:dyDescent="0.2">
      <c r="A2230" s="1">
        <v>848</v>
      </c>
      <c r="B2230" s="1">
        <v>1</v>
      </c>
      <c r="C2230" s="1">
        <v>15</v>
      </c>
      <c r="D2230" s="1">
        <v>2</v>
      </c>
      <c r="E2230" s="1">
        <v>1</v>
      </c>
      <c r="F2230" s="1">
        <v>7</v>
      </c>
      <c r="G2230" s="1">
        <v>8</v>
      </c>
      <c r="H2230" s="1">
        <v>1</v>
      </c>
      <c r="I2230" s="1">
        <v>0</v>
      </c>
      <c r="J2230" s="1">
        <v>4</v>
      </c>
    </row>
    <row r="2231" spans="1:10" x14ac:dyDescent="0.2">
      <c r="A2231" s="1">
        <v>2454</v>
      </c>
      <c r="B2231" s="1">
        <v>1</v>
      </c>
      <c r="C2231" s="1">
        <v>8</v>
      </c>
      <c r="D2231" s="1">
        <v>4</v>
      </c>
      <c r="E2231" s="1">
        <v>2</v>
      </c>
      <c r="F2231" s="1">
        <v>7</v>
      </c>
      <c r="G2231" s="1">
        <v>8</v>
      </c>
      <c r="H2231" s="1">
        <v>1</v>
      </c>
      <c r="I2231" s="1">
        <v>0</v>
      </c>
      <c r="J2231" s="1">
        <v>4</v>
      </c>
    </row>
    <row r="2232" spans="1:10" x14ac:dyDescent="0.2">
      <c r="A2232" s="1">
        <v>1684</v>
      </c>
      <c r="B2232" s="1">
        <v>1</v>
      </c>
      <c r="C2232" s="1">
        <v>16</v>
      </c>
      <c r="D2232" s="1">
        <v>1</v>
      </c>
      <c r="E2232" s="1">
        <v>2</v>
      </c>
      <c r="F2232" s="1">
        <v>7</v>
      </c>
      <c r="G2232" s="1">
        <v>8</v>
      </c>
      <c r="H2232" s="1">
        <v>0</v>
      </c>
      <c r="I2232" s="1">
        <v>3</v>
      </c>
      <c r="J2232" s="1">
        <v>4</v>
      </c>
    </row>
    <row r="2233" spans="1:10" x14ac:dyDescent="0.2">
      <c r="A2233" s="1">
        <v>1544</v>
      </c>
      <c r="B2233" s="1">
        <v>1</v>
      </c>
      <c r="C2233" s="1">
        <v>10</v>
      </c>
      <c r="D2233" s="1">
        <v>2</v>
      </c>
      <c r="E2233" s="1">
        <v>1</v>
      </c>
      <c r="F2233" s="1">
        <v>8</v>
      </c>
      <c r="G2233" s="1">
        <v>8</v>
      </c>
      <c r="H2233" s="1">
        <v>1</v>
      </c>
      <c r="I2233" s="1">
        <v>2</v>
      </c>
      <c r="J2233" s="1">
        <v>4</v>
      </c>
    </row>
    <row r="2234" spans="1:10" x14ac:dyDescent="0.2">
      <c r="A2234" s="1">
        <v>1386</v>
      </c>
      <c r="B2234" s="1">
        <v>1</v>
      </c>
      <c r="C2234" s="1">
        <v>9</v>
      </c>
      <c r="D2234" s="1">
        <v>2</v>
      </c>
      <c r="E2234" s="1">
        <v>2</v>
      </c>
      <c r="F2234" s="1">
        <v>8</v>
      </c>
      <c r="G2234" s="1">
        <v>8</v>
      </c>
      <c r="H2234" s="1">
        <v>1</v>
      </c>
      <c r="I2234" s="1">
        <v>1</v>
      </c>
      <c r="J2234" s="1">
        <v>4</v>
      </c>
    </row>
    <row r="2235" spans="1:10" x14ac:dyDescent="0.2">
      <c r="A2235" s="1">
        <v>1674</v>
      </c>
      <c r="B2235" s="1">
        <v>1</v>
      </c>
      <c r="C2235" s="1">
        <v>9</v>
      </c>
      <c r="D2235" s="1">
        <v>5</v>
      </c>
      <c r="E2235" s="1">
        <v>2</v>
      </c>
      <c r="F2235" s="1">
        <v>8</v>
      </c>
      <c r="G2235" s="1">
        <v>8</v>
      </c>
      <c r="H2235" s="1">
        <v>1</v>
      </c>
      <c r="I2235" s="1">
        <v>1</v>
      </c>
      <c r="J2235" s="1">
        <v>4</v>
      </c>
    </row>
    <row r="2236" spans="1:10" x14ac:dyDescent="0.2">
      <c r="A2236" s="1">
        <v>1808</v>
      </c>
      <c r="B2236" s="1">
        <v>1</v>
      </c>
      <c r="C2236" s="1">
        <v>9</v>
      </c>
      <c r="D2236" s="1">
        <v>4</v>
      </c>
      <c r="E2236" s="1">
        <v>2</v>
      </c>
      <c r="F2236" s="1">
        <v>8</v>
      </c>
      <c r="G2236" s="1">
        <v>8</v>
      </c>
      <c r="H2236" s="1">
        <v>0</v>
      </c>
      <c r="I2236" s="1">
        <v>0</v>
      </c>
      <c r="J2236" s="1">
        <v>4</v>
      </c>
    </row>
    <row r="2237" spans="1:10" x14ac:dyDescent="0.2">
      <c r="A2237" s="1">
        <v>1357</v>
      </c>
      <c r="B2237" s="1">
        <v>1</v>
      </c>
      <c r="C2237" s="1">
        <v>15</v>
      </c>
      <c r="D2237" s="1">
        <v>4</v>
      </c>
      <c r="E2237" s="1">
        <v>2</v>
      </c>
      <c r="F2237" s="1">
        <v>8</v>
      </c>
      <c r="G2237" s="1">
        <v>8</v>
      </c>
      <c r="H2237" s="1">
        <v>0</v>
      </c>
      <c r="I2237" s="1">
        <v>1</v>
      </c>
      <c r="J2237" s="1">
        <v>4</v>
      </c>
    </row>
    <row r="2238" spans="1:10" x14ac:dyDescent="0.2">
      <c r="A2238" s="1">
        <v>1504</v>
      </c>
      <c r="B2238" s="1">
        <v>1</v>
      </c>
      <c r="C2238" s="1">
        <v>5</v>
      </c>
      <c r="D2238" s="1">
        <v>5</v>
      </c>
      <c r="E2238" s="1">
        <v>1</v>
      </c>
      <c r="F2238" s="1">
        <v>9</v>
      </c>
      <c r="G2238" s="1">
        <v>8</v>
      </c>
      <c r="H2238" s="1">
        <v>0</v>
      </c>
      <c r="I2238" s="1">
        <v>2</v>
      </c>
      <c r="J2238" s="1">
        <v>4</v>
      </c>
    </row>
    <row r="2239" spans="1:10" x14ac:dyDescent="0.2">
      <c r="A2239" s="1">
        <v>676</v>
      </c>
      <c r="B2239" s="1">
        <v>1</v>
      </c>
      <c r="C2239" s="1">
        <v>10</v>
      </c>
      <c r="D2239" s="1">
        <v>2</v>
      </c>
      <c r="E2239" s="1">
        <v>1</v>
      </c>
      <c r="F2239" s="1">
        <v>9</v>
      </c>
      <c r="G2239" s="1">
        <v>8</v>
      </c>
      <c r="H2239" s="1">
        <v>1</v>
      </c>
      <c r="I2239" s="1">
        <v>3</v>
      </c>
      <c r="J2239" s="1">
        <v>4</v>
      </c>
    </row>
    <row r="2240" spans="1:10" x14ac:dyDescent="0.2">
      <c r="A2240" s="1">
        <v>2392</v>
      </c>
      <c r="B2240" s="1">
        <v>1</v>
      </c>
      <c r="C2240" s="1">
        <v>11</v>
      </c>
      <c r="D2240" s="1">
        <v>1</v>
      </c>
      <c r="E2240" s="1">
        <v>1</v>
      </c>
      <c r="F2240" s="1">
        <v>9</v>
      </c>
      <c r="G2240" s="1">
        <v>8</v>
      </c>
      <c r="H2240" s="1">
        <v>1</v>
      </c>
      <c r="I2240" s="1">
        <v>2</v>
      </c>
      <c r="J2240" s="1">
        <v>4</v>
      </c>
    </row>
    <row r="2241" spans="1:10" x14ac:dyDescent="0.2">
      <c r="A2241" s="1">
        <v>279</v>
      </c>
      <c r="B2241" s="1">
        <v>1</v>
      </c>
      <c r="C2241" s="1">
        <v>12</v>
      </c>
      <c r="D2241" s="1">
        <v>1</v>
      </c>
      <c r="E2241" s="1">
        <v>2</v>
      </c>
      <c r="F2241" s="1">
        <v>9</v>
      </c>
      <c r="G2241" s="1">
        <v>8</v>
      </c>
      <c r="H2241" s="1">
        <v>1</v>
      </c>
      <c r="I2241" s="1">
        <v>2</v>
      </c>
      <c r="J2241" s="1">
        <v>4</v>
      </c>
    </row>
    <row r="2242" spans="1:10" x14ac:dyDescent="0.2">
      <c r="A2242" s="1">
        <v>2247</v>
      </c>
      <c r="B2242" s="1">
        <v>1</v>
      </c>
      <c r="C2242" s="1">
        <v>8</v>
      </c>
      <c r="D2242" s="1">
        <v>2</v>
      </c>
      <c r="E2242" s="1">
        <v>1</v>
      </c>
      <c r="F2242" s="1">
        <v>10</v>
      </c>
      <c r="G2242" s="1">
        <v>8</v>
      </c>
      <c r="H2242" s="1">
        <v>0</v>
      </c>
      <c r="I2242" s="1">
        <v>3</v>
      </c>
      <c r="J2242" s="1">
        <v>4</v>
      </c>
    </row>
    <row r="2243" spans="1:10" x14ac:dyDescent="0.2">
      <c r="A2243" s="1">
        <v>1859</v>
      </c>
      <c r="B2243" s="1">
        <v>1</v>
      </c>
      <c r="C2243" s="1">
        <v>11</v>
      </c>
      <c r="D2243" s="1">
        <v>4</v>
      </c>
      <c r="E2243" s="1">
        <v>1</v>
      </c>
      <c r="F2243" s="1">
        <v>10</v>
      </c>
      <c r="G2243" s="1">
        <v>8</v>
      </c>
      <c r="H2243" s="1">
        <v>0</v>
      </c>
      <c r="I2243" s="1">
        <v>1</v>
      </c>
      <c r="J2243" s="1">
        <v>4</v>
      </c>
    </row>
    <row r="2244" spans="1:10" x14ac:dyDescent="0.2">
      <c r="A2244" s="1">
        <v>1298</v>
      </c>
      <c r="B2244" s="1">
        <v>1</v>
      </c>
      <c r="C2244" s="1">
        <v>14</v>
      </c>
      <c r="D2244" s="1">
        <v>5</v>
      </c>
      <c r="E2244" s="1">
        <v>1</v>
      </c>
      <c r="F2244" s="1">
        <v>10</v>
      </c>
      <c r="G2244" s="1">
        <v>8</v>
      </c>
      <c r="H2244" s="1">
        <v>1</v>
      </c>
      <c r="I2244" s="1">
        <v>0</v>
      </c>
      <c r="J2244" s="1">
        <v>4</v>
      </c>
    </row>
    <row r="2245" spans="1:10" x14ac:dyDescent="0.2">
      <c r="A2245" s="1">
        <v>2397</v>
      </c>
      <c r="B2245" s="1">
        <v>1</v>
      </c>
      <c r="C2245" s="1">
        <v>18</v>
      </c>
      <c r="D2245" s="1">
        <v>2</v>
      </c>
      <c r="E2245" s="1">
        <v>1</v>
      </c>
      <c r="F2245" s="1">
        <v>10</v>
      </c>
      <c r="G2245" s="1">
        <v>8</v>
      </c>
      <c r="H2245" s="1">
        <v>0</v>
      </c>
      <c r="I2245" s="1">
        <v>3</v>
      </c>
      <c r="J2245" s="1">
        <v>4</v>
      </c>
    </row>
    <row r="2246" spans="1:10" x14ac:dyDescent="0.2">
      <c r="A2246" s="1">
        <v>106</v>
      </c>
      <c r="B2246" s="1">
        <v>1</v>
      </c>
      <c r="C2246" s="1">
        <v>9</v>
      </c>
      <c r="D2246" s="1">
        <v>3</v>
      </c>
      <c r="E2246" s="1">
        <v>2</v>
      </c>
      <c r="F2246" s="1">
        <v>10</v>
      </c>
      <c r="G2246" s="1">
        <v>8</v>
      </c>
      <c r="H2246" s="1">
        <v>0</v>
      </c>
      <c r="I2246" s="1">
        <v>2</v>
      </c>
      <c r="J2246" s="1">
        <v>4</v>
      </c>
    </row>
    <row r="2247" spans="1:10" x14ac:dyDescent="0.2">
      <c r="A2247" s="1">
        <v>360</v>
      </c>
      <c r="B2247" s="1">
        <v>1</v>
      </c>
      <c r="C2247" s="1">
        <v>10</v>
      </c>
      <c r="D2247" s="1">
        <v>4</v>
      </c>
      <c r="E2247" s="1">
        <v>1</v>
      </c>
      <c r="F2247" s="1">
        <v>2</v>
      </c>
      <c r="G2247" s="1">
        <v>8</v>
      </c>
      <c r="H2247" s="1">
        <v>1</v>
      </c>
      <c r="I2247" s="1">
        <v>1</v>
      </c>
      <c r="J2247" s="1">
        <v>5</v>
      </c>
    </row>
    <row r="2248" spans="1:10" x14ac:dyDescent="0.2">
      <c r="A2248" s="1">
        <v>1322</v>
      </c>
      <c r="B2248" s="1">
        <v>1</v>
      </c>
      <c r="C2248" s="1">
        <v>20</v>
      </c>
      <c r="D2248" s="1">
        <v>4</v>
      </c>
      <c r="E2248" s="1">
        <v>1</v>
      </c>
      <c r="F2248" s="1">
        <v>2</v>
      </c>
      <c r="G2248" s="1">
        <v>8</v>
      </c>
      <c r="H2248" s="1">
        <v>1</v>
      </c>
      <c r="I2248" s="1">
        <v>3</v>
      </c>
      <c r="J2248" s="1">
        <v>5</v>
      </c>
    </row>
    <row r="2249" spans="1:10" x14ac:dyDescent="0.2">
      <c r="A2249" s="1">
        <v>957</v>
      </c>
      <c r="B2249" s="1">
        <v>1</v>
      </c>
      <c r="C2249" s="1">
        <v>7</v>
      </c>
      <c r="D2249" s="1">
        <v>3</v>
      </c>
      <c r="E2249" s="1">
        <v>2</v>
      </c>
      <c r="F2249" s="1">
        <v>2</v>
      </c>
      <c r="G2249" s="1">
        <v>8</v>
      </c>
      <c r="H2249" s="1">
        <v>1</v>
      </c>
      <c r="I2249" s="1">
        <v>1</v>
      </c>
      <c r="J2249" s="1">
        <v>5</v>
      </c>
    </row>
    <row r="2250" spans="1:10" x14ac:dyDescent="0.2">
      <c r="A2250" s="1">
        <v>251</v>
      </c>
      <c r="B2250" s="1">
        <v>1</v>
      </c>
      <c r="C2250" s="1">
        <v>10</v>
      </c>
      <c r="D2250" s="1">
        <v>1</v>
      </c>
      <c r="E2250" s="1">
        <v>2</v>
      </c>
      <c r="F2250" s="1">
        <v>2</v>
      </c>
      <c r="G2250" s="1">
        <v>8</v>
      </c>
      <c r="H2250" s="1">
        <v>0</v>
      </c>
      <c r="I2250" s="1">
        <v>2</v>
      </c>
      <c r="J2250" s="1">
        <v>5</v>
      </c>
    </row>
    <row r="2251" spans="1:10" x14ac:dyDescent="0.2">
      <c r="A2251" s="1">
        <v>945</v>
      </c>
      <c r="B2251" s="1">
        <v>1</v>
      </c>
      <c r="C2251" s="1">
        <v>15</v>
      </c>
      <c r="D2251" s="1">
        <v>3</v>
      </c>
      <c r="E2251" s="1">
        <v>2</v>
      </c>
      <c r="F2251" s="1">
        <v>2</v>
      </c>
      <c r="G2251" s="1">
        <v>8</v>
      </c>
      <c r="H2251" s="1">
        <v>0</v>
      </c>
      <c r="I2251" s="1">
        <v>1</v>
      </c>
      <c r="J2251" s="1">
        <v>5</v>
      </c>
    </row>
    <row r="2252" spans="1:10" x14ac:dyDescent="0.2">
      <c r="A2252" s="1">
        <v>552</v>
      </c>
      <c r="B2252" s="1">
        <v>1</v>
      </c>
      <c r="C2252" s="1">
        <v>15</v>
      </c>
      <c r="D2252" s="1">
        <v>5</v>
      </c>
      <c r="E2252" s="1">
        <v>1</v>
      </c>
      <c r="F2252" s="1">
        <v>3</v>
      </c>
      <c r="G2252" s="1">
        <v>8</v>
      </c>
      <c r="H2252" s="1">
        <v>0</v>
      </c>
      <c r="I2252" s="1">
        <v>2</v>
      </c>
      <c r="J2252" s="1">
        <v>5</v>
      </c>
    </row>
    <row r="2253" spans="1:10" x14ac:dyDescent="0.2">
      <c r="A2253" s="1">
        <v>1952</v>
      </c>
      <c r="B2253" s="1">
        <v>1</v>
      </c>
      <c r="C2253" s="1">
        <v>20</v>
      </c>
      <c r="D2253" s="1">
        <v>3</v>
      </c>
      <c r="E2253" s="1">
        <v>1</v>
      </c>
      <c r="F2253" s="1">
        <v>3</v>
      </c>
      <c r="G2253" s="1">
        <v>8</v>
      </c>
      <c r="H2253" s="1">
        <v>1</v>
      </c>
      <c r="I2253" s="1">
        <v>2</v>
      </c>
      <c r="J2253" s="1">
        <v>5</v>
      </c>
    </row>
    <row r="2254" spans="1:10" x14ac:dyDescent="0.2">
      <c r="A2254" s="1">
        <v>473</v>
      </c>
      <c r="B2254" s="1">
        <v>1</v>
      </c>
      <c r="C2254" s="1">
        <v>13</v>
      </c>
      <c r="D2254" s="1">
        <v>1</v>
      </c>
      <c r="E2254" s="1">
        <v>2</v>
      </c>
      <c r="F2254" s="1">
        <v>3</v>
      </c>
      <c r="G2254" s="1">
        <v>8</v>
      </c>
      <c r="H2254" s="1">
        <v>0</v>
      </c>
      <c r="I2254" s="1">
        <v>0</v>
      </c>
      <c r="J2254" s="1">
        <v>5</v>
      </c>
    </row>
    <row r="2255" spans="1:10" x14ac:dyDescent="0.2">
      <c r="A2255" s="1">
        <v>1161</v>
      </c>
      <c r="B2255" s="1">
        <v>1</v>
      </c>
      <c r="C2255" s="1">
        <v>5</v>
      </c>
      <c r="D2255" s="1">
        <v>1</v>
      </c>
      <c r="E2255" s="1">
        <v>1</v>
      </c>
      <c r="F2255" s="1">
        <v>4</v>
      </c>
      <c r="G2255" s="1">
        <v>8</v>
      </c>
      <c r="H2255" s="1">
        <v>0</v>
      </c>
      <c r="I2255" s="1">
        <v>2</v>
      </c>
      <c r="J2255" s="1">
        <v>5</v>
      </c>
    </row>
    <row r="2256" spans="1:10" x14ac:dyDescent="0.2">
      <c r="A2256" s="1">
        <v>576</v>
      </c>
      <c r="B2256" s="1">
        <v>1</v>
      </c>
      <c r="C2256" s="1">
        <v>15</v>
      </c>
      <c r="D2256" s="1">
        <v>4</v>
      </c>
      <c r="E2256" s="1">
        <v>1</v>
      </c>
      <c r="F2256" s="1">
        <v>5</v>
      </c>
      <c r="G2256" s="1">
        <v>8</v>
      </c>
      <c r="H2256" s="1">
        <v>0</v>
      </c>
      <c r="I2256" s="1">
        <v>0</v>
      </c>
      <c r="J2256" s="1">
        <v>5</v>
      </c>
    </row>
    <row r="2257" spans="1:10" x14ac:dyDescent="0.2">
      <c r="A2257" s="1">
        <v>728</v>
      </c>
      <c r="B2257" s="1">
        <v>1</v>
      </c>
      <c r="C2257" s="1">
        <v>17</v>
      </c>
      <c r="D2257" s="1">
        <v>4</v>
      </c>
      <c r="E2257" s="1">
        <v>1</v>
      </c>
      <c r="F2257" s="1">
        <v>5</v>
      </c>
      <c r="G2257" s="1">
        <v>8</v>
      </c>
      <c r="H2257" s="1">
        <v>1</v>
      </c>
      <c r="I2257" s="1">
        <v>3</v>
      </c>
      <c r="J2257" s="1">
        <v>5</v>
      </c>
    </row>
    <row r="2258" spans="1:10" x14ac:dyDescent="0.2">
      <c r="A2258" s="1">
        <v>2146</v>
      </c>
      <c r="B2258" s="1">
        <v>1</v>
      </c>
      <c r="C2258" s="1">
        <v>17</v>
      </c>
      <c r="D2258" s="1">
        <v>5</v>
      </c>
      <c r="E2258" s="1">
        <v>1</v>
      </c>
      <c r="F2258" s="1">
        <v>5</v>
      </c>
      <c r="G2258" s="1">
        <v>8</v>
      </c>
      <c r="H2258" s="1">
        <v>0</v>
      </c>
      <c r="I2258" s="1">
        <v>2</v>
      </c>
      <c r="J2258" s="1">
        <v>5</v>
      </c>
    </row>
    <row r="2259" spans="1:10" x14ac:dyDescent="0.2">
      <c r="A2259" s="1">
        <v>1062</v>
      </c>
      <c r="B2259" s="1">
        <v>1</v>
      </c>
      <c r="C2259" s="1">
        <v>6</v>
      </c>
      <c r="D2259" s="1">
        <v>2</v>
      </c>
      <c r="E2259" s="1">
        <v>2</v>
      </c>
      <c r="F2259" s="1">
        <v>5</v>
      </c>
      <c r="G2259" s="1">
        <v>8</v>
      </c>
      <c r="H2259" s="1">
        <v>1</v>
      </c>
      <c r="I2259" s="1">
        <v>1</v>
      </c>
      <c r="J2259" s="1">
        <v>5</v>
      </c>
    </row>
    <row r="2260" spans="1:10" x14ac:dyDescent="0.2">
      <c r="A2260" s="1">
        <v>84</v>
      </c>
      <c r="B2260" s="1">
        <v>1</v>
      </c>
      <c r="C2260" s="1">
        <v>11</v>
      </c>
      <c r="D2260" s="1">
        <v>2</v>
      </c>
      <c r="E2260" s="1">
        <v>1</v>
      </c>
      <c r="F2260" s="1">
        <v>6</v>
      </c>
      <c r="G2260" s="1">
        <v>8</v>
      </c>
      <c r="H2260" s="1">
        <v>1</v>
      </c>
      <c r="I2260" s="1">
        <v>3</v>
      </c>
      <c r="J2260" s="1">
        <v>5</v>
      </c>
    </row>
    <row r="2261" spans="1:10" x14ac:dyDescent="0.2">
      <c r="A2261" s="1">
        <v>264</v>
      </c>
      <c r="B2261" s="1">
        <v>1</v>
      </c>
      <c r="C2261" s="1">
        <v>15</v>
      </c>
      <c r="D2261" s="1">
        <v>5</v>
      </c>
      <c r="E2261" s="1">
        <v>1</v>
      </c>
      <c r="F2261" s="1">
        <v>6</v>
      </c>
      <c r="G2261" s="1">
        <v>8</v>
      </c>
      <c r="H2261" s="1">
        <v>0</v>
      </c>
      <c r="I2261" s="1">
        <v>3</v>
      </c>
      <c r="J2261" s="1">
        <v>5</v>
      </c>
    </row>
    <row r="2262" spans="1:10" x14ac:dyDescent="0.2">
      <c r="A2262" s="1">
        <v>2483</v>
      </c>
      <c r="B2262" s="1">
        <v>1</v>
      </c>
      <c r="C2262" s="1">
        <v>7</v>
      </c>
      <c r="D2262" s="1">
        <v>1</v>
      </c>
      <c r="E2262" s="1">
        <v>1</v>
      </c>
      <c r="F2262" s="1">
        <v>7</v>
      </c>
      <c r="G2262" s="1">
        <v>8</v>
      </c>
      <c r="H2262" s="1">
        <v>1</v>
      </c>
      <c r="I2262" s="1">
        <v>1</v>
      </c>
      <c r="J2262" s="1">
        <v>5</v>
      </c>
    </row>
    <row r="2263" spans="1:10" x14ac:dyDescent="0.2">
      <c r="A2263" s="1">
        <v>494</v>
      </c>
      <c r="B2263" s="1">
        <v>1</v>
      </c>
      <c r="C2263" s="1">
        <v>8</v>
      </c>
      <c r="D2263" s="1">
        <v>3</v>
      </c>
      <c r="E2263" s="1">
        <v>1</v>
      </c>
      <c r="F2263" s="1">
        <v>7</v>
      </c>
      <c r="G2263" s="1">
        <v>8</v>
      </c>
      <c r="H2263" s="1">
        <v>1</v>
      </c>
      <c r="I2263" s="1">
        <v>3</v>
      </c>
      <c r="J2263" s="1">
        <v>5</v>
      </c>
    </row>
    <row r="2264" spans="1:10" x14ac:dyDescent="0.2">
      <c r="A2264" s="1">
        <v>596</v>
      </c>
      <c r="B2264" s="1">
        <v>1</v>
      </c>
      <c r="C2264" s="1">
        <v>5</v>
      </c>
      <c r="D2264" s="1">
        <v>3</v>
      </c>
      <c r="E2264" s="1">
        <v>2</v>
      </c>
      <c r="F2264" s="1">
        <v>7</v>
      </c>
      <c r="G2264" s="1">
        <v>8</v>
      </c>
      <c r="H2264" s="1">
        <v>0</v>
      </c>
      <c r="I2264" s="1">
        <v>0</v>
      </c>
      <c r="J2264" s="1">
        <v>5</v>
      </c>
    </row>
    <row r="2265" spans="1:10" x14ac:dyDescent="0.2">
      <c r="A2265" s="1">
        <v>2291</v>
      </c>
      <c r="B2265" s="1">
        <v>1</v>
      </c>
      <c r="C2265" s="1">
        <v>10</v>
      </c>
      <c r="D2265" s="1">
        <v>1</v>
      </c>
      <c r="E2265" s="1">
        <v>2</v>
      </c>
      <c r="F2265" s="1">
        <v>7</v>
      </c>
      <c r="G2265" s="1">
        <v>8</v>
      </c>
      <c r="H2265" s="1">
        <v>0</v>
      </c>
      <c r="I2265" s="1">
        <v>2</v>
      </c>
      <c r="J2265" s="1">
        <v>5</v>
      </c>
    </row>
    <row r="2266" spans="1:10" x14ac:dyDescent="0.2">
      <c r="A2266" s="1">
        <v>572</v>
      </c>
      <c r="B2266" s="1">
        <v>1</v>
      </c>
      <c r="C2266" s="1">
        <v>11</v>
      </c>
      <c r="D2266" s="1">
        <v>3</v>
      </c>
      <c r="E2266" s="1">
        <v>2</v>
      </c>
      <c r="F2266" s="1">
        <v>7</v>
      </c>
      <c r="G2266" s="1">
        <v>8</v>
      </c>
      <c r="H2266" s="1">
        <v>0</v>
      </c>
      <c r="I2266" s="1">
        <v>2</v>
      </c>
      <c r="J2266" s="1">
        <v>5</v>
      </c>
    </row>
    <row r="2267" spans="1:10" x14ac:dyDescent="0.2">
      <c r="A2267" s="1">
        <v>1569</v>
      </c>
      <c r="B2267" s="1">
        <v>1</v>
      </c>
      <c r="C2267" s="1">
        <v>6</v>
      </c>
      <c r="D2267" s="1">
        <v>4</v>
      </c>
      <c r="E2267" s="1">
        <v>1</v>
      </c>
      <c r="F2267" s="1">
        <v>8</v>
      </c>
      <c r="G2267" s="1">
        <v>8</v>
      </c>
      <c r="H2267" s="1">
        <v>1</v>
      </c>
      <c r="I2267" s="1">
        <v>1</v>
      </c>
      <c r="J2267" s="1">
        <v>5</v>
      </c>
    </row>
    <row r="2268" spans="1:10" x14ac:dyDescent="0.2">
      <c r="A2268" s="1">
        <v>1334</v>
      </c>
      <c r="B2268" s="1">
        <v>1</v>
      </c>
      <c r="C2268" s="1">
        <v>9</v>
      </c>
      <c r="D2268" s="1">
        <v>1</v>
      </c>
      <c r="E2268" s="1">
        <v>1</v>
      </c>
      <c r="F2268" s="1">
        <v>8</v>
      </c>
      <c r="G2268" s="1">
        <v>8</v>
      </c>
      <c r="H2268" s="1">
        <v>1</v>
      </c>
      <c r="I2268" s="1">
        <v>0</v>
      </c>
      <c r="J2268" s="1">
        <v>5</v>
      </c>
    </row>
    <row r="2269" spans="1:10" x14ac:dyDescent="0.2">
      <c r="A2269" s="1">
        <v>1266</v>
      </c>
      <c r="B2269" s="1">
        <v>1</v>
      </c>
      <c r="C2269" s="1">
        <v>18</v>
      </c>
      <c r="D2269" s="1">
        <v>1</v>
      </c>
      <c r="E2269" s="1">
        <v>1</v>
      </c>
      <c r="F2269" s="1">
        <v>8</v>
      </c>
      <c r="G2269" s="1">
        <v>8</v>
      </c>
      <c r="H2269" s="1">
        <v>0</v>
      </c>
      <c r="I2269" s="1">
        <v>3</v>
      </c>
      <c r="J2269" s="1">
        <v>5</v>
      </c>
    </row>
    <row r="2270" spans="1:10" x14ac:dyDescent="0.2">
      <c r="A2270" s="1">
        <v>1813</v>
      </c>
      <c r="B2270" s="1">
        <v>1</v>
      </c>
      <c r="C2270" s="1">
        <v>20</v>
      </c>
      <c r="D2270" s="1">
        <v>4</v>
      </c>
      <c r="E2270" s="1">
        <v>1</v>
      </c>
      <c r="F2270" s="1">
        <v>8</v>
      </c>
      <c r="G2270" s="1">
        <v>8</v>
      </c>
      <c r="H2270" s="1">
        <v>0</v>
      </c>
      <c r="I2270" s="1">
        <v>1</v>
      </c>
      <c r="J2270" s="1">
        <v>5</v>
      </c>
    </row>
    <row r="2271" spans="1:10" x14ac:dyDescent="0.2">
      <c r="A2271" s="1">
        <v>315</v>
      </c>
      <c r="B2271" s="1">
        <v>1</v>
      </c>
      <c r="C2271" s="1">
        <v>6</v>
      </c>
      <c r="D2271" s="1">
        <v>2</v>
      </c>
      <c r="E2271" s="1">
        <v>1</v>
      </c>
      <c r="F2271" s="1">
        <v>9</v>
      </c>
      <c r="G2271" s="1">
        <v>8</v>
      </c>
      <c r="H2271" s="1">
        <v>1</v>
      </c>
      <c r="I2271" s="1">
        <v>1</v>
      </c>
      <c r="J2271" s="1">
        <v>5</v>
      </c>
    </row>
    <row r="2272" spans="1:10" x14ac:dyDescent="0.2">
      <c r="A2272" s="1">
        <v>409</v>
      </c>
      <c r="B2272" s="1">
        <v>1</v>
      </c>
      <c r="C2272" s="1">
        <v>12</v>
      </c>
      <c r="D2272" s="1">
        <v>4</v>
      </c>
      <c r="E2272" s="1">
        <v>1</v>
      </c>
      <c r="F2272" s="1">
        <v>9</v>
      </c>
      <c r="G2272" s="1">
        <v>8</v>
      </c>
      <c r="H2272" s="1">
        <v>0</v>
      </c>
      <c r="I2272" s="1">
        <v>1</v>
      </c>
      <c r="J2272" s="1">
        <v>5</v>
      </c>
    </row>
    <row r="2273" spans="1:10" x14ac:dyDescent="0.2">
      <c r="A2273" s="1">
        <v>1402</v>
      </c>
      <c r="B2273" s="1">
        <v>1</v>
      </c>
      <c r="C2273" s="1">
        <v>5</v>
      </c>
      <c r="D2273" s="1">
        <v>4</v>
      </c>
      <c r="E2273" s="1">
        <v>2</v>
      </c>
      <c r="F2273" s="1">
        <v>9</v>
      </c>
      <c r="G2273" s="1">
        <v>8</v>
      </c>
      <c r="H2273" s="1">
        <v>0</v>
      </c>
      <c r="I2273" s="1">
        <v>1</v>
      </c>
      <c r="J2273" s="1">
        <v>5</v>
      </c>
    </row>
    <row r="2274" spans="1:10" x14ac:dyDescent="0.2">
      <c r="A2274" s="1">
        <v>138</v>
      </c>
      <c r="B2274" s="1">
        <v>1</v>
      </c>
      <c r="C2274" s="1">
        <v>6</v>
      </c>
      <c r="D2274" s="1">
        <v>2</v>
      </c>
      <c r="E2274" s="1">
        <v>2</v>
      </c>
      <c r="F2274" s="1">
        <v>9</v>
      </c>
      <c r="G2274" s="1">
        <v>8</v>
      </c>
      <c r="H2274" s="1">
        <v>0</v>
      </c>
      <c r="I2274" s="1">
        <v>2</v>
      </c>
      <c r="J2274" s="1">
        <v>5</v>
      </c>
    </row>
    <row r="2275" spans="1:10" x14ac:dyDescent="0.2">
      <c r="A2275" s="1">
        <v>2380</v>
      </c>
      <c r="B2275" s="1">
        <v>1</v>
      </c>
      <c r="C2275" s="1">
        <v>7</v>
      </c>
      <c r="D2275" s="1">
        <v>5</v>
      </c>
      <c r="E2275" s="1">
        <v>2</v>
      </c>
      <c r="F2275" s="1">
        <v>9</v>
      </c>
      <c r="G2275" s="1">
        <v>8</v>
      </c>
      <c r="H2275" s="1">
        <v>0</v>
      </c>
      <c r="I2275" s="1">
        <v>0</v>
      </c>
      <c r="J2275" s="1">
        <v>5</v>
      </c>
    </row>
    <row r="2276" spans="1:10" x14ac:dyDescent="0.2">
      <c r="A2276" s="1">
        <v>2107</v>
      </c>
      <c r="B2276" s="1">
        <v>1</v>
      </c>
      <c r="C2276" s="1">
        <v>14</v>
      </c>
      <c r="D2276" s="1">
        <v>1</v>
      </c>
      <c r="E2276" s="1">
        <v>2</v>
      </c>
      <c r="F2276" s="1">
        <v>9</v>
      </c>
      <c r="G2276" s="1">
        <v>8</v>
      </c>
      <c r="H2276" s="1">
        <v>0</v>
      </c>
      <c r="I2276" s="1">
        <v>3</v>
      </c>
      <c r="J2276" s="1">
        <v>5</v>
      </c>
    </row>
    <row r="2277" spans="1:10" x14ac:dyDescent="0.2">
      <c r="A2277" s="1">
        <v>65</v>
      </c>
      <c r="B2277" s="1">
        <v>1</v>
      </c>
      <c r="C2277" s="1">
        <v>5</v>
      </c>
      <c r="D2277" s="1">
        <v>1</v>
      </c>
      <c r="E2277" s="1">
        <v>1</v>
      </c>
      <c r="F2277" s="1">
        <v>10</v>
      </c>
      <c r="G2277" s="1">
        <v>8</v>
      </c>
      <c r="H2277" s="1">
        <v>1</v>
      </c>
      <c r="I2277" s="1">
        <v>3</v>
      </c>
      <c r="J2277" s="1">
        <v>5</v>
      </c>
    </row>
    <row r="2278" spans="1:10" x14ac:dyDescent="0.2">
      <c r="A2278" s="1">
        <v>1202</v>
      </c>
      <c r="B2278" s="1">
        <v>1</v>
      </c>
      <c r="C2278" s="1">
        <v>7</v>
      </c>
      <c r="D2278" s="1">
        <v>4</v>
      </c>
      <c r="E2278" s="1">
        <v>1</v>
      </c>
      <c r="F2278" s="1">
        <v>10</v>
      </c>
      <c r="G2278" s="1">
        <v>8</v>
      </c>
      <c r="H2278" s="1">
        <v>0</v>
      </c>
      <c r="I2278" s="1">
        <v>3</v>
      </c>
      <c r="J2278" s="1">
        <v>5</v>
      </c>
    </row>
    <row r="2279" spans="1:10" x14ac:dyDescent="0.2">
      <c r="A2279" s="1">
        <v>1001</v>
      </c>
      <c r="B2279" s="1">
        <v>1</v>
      </c>
      <c r="C2279" s="1">
        <v>8</v>
      </c>
      <c r="D2279" s="1">
        <v>3</v>
      </c>
      <c r="E2279" s="1">
        <v>2</v>
      </c>
      <c r="F2279" s="1">
        <v>10</v>
      </c>
      <c r="G2279" s="1">
        <v>8</v>
      </c>
      <c r="H2279" s="1">
        <v>0</v>
      </c>
      <c r="I2279" s="1">
        <v>2</v>
      </c>
      <c r="J2279" s="1">
        <v>5</v>
      </c>
    </row>
    <row r="2280" spans="1:10" x14ac:dyDescent="0.2">
      <c r="A2280" s="1">
        <v>1586</v>
      </c>
      <c r="B2280" s="1">
        <v>1</v>
      </c>
      <c r="C2280" s="1">
        <v>13</v>
      </c>
      <c r="D2280" s="1">
        <v>3</v>
      </c>
      <c r="E2280" s="1">
        <v>2</v>
      </c>
      <c r="F2280" s="1">
        <v>10</v>
      </c>
      <c r="G2280" s="1">
        <v>8</v>
      </c>
      <c r="H2280" s="1">
        <v>1</v>
      </c>
      <c r="I2280" s="1">
        <v>0</v>
      </c>
      <c r="J2280" s="1">
        <v>5</v>
      </c>
    </row>
    <row r="2281" spans="1:10" x14ac:dyDescent="0.2">
      <c r="A2281" s="1">
        <v>1639</v>
      </c>
      <c r="B2281" s="1">
        <v>1</v>
      </c>
      <c r="C2281" s="1">
        <v>15</v>
      </c>
      <c r="D2281" s="1">
        <v>5</v>
      </c>
      <c r="E2281" s="1">
        <v>1</v>
      </c>
      <c r="F2281" s="1">
        <v>7</v>
      </c>
      <c r="G2281" s="1">
        <v>9</v>
      </c>
      <c r="H2281" s="1">
        <v>1</v>
      </c>
      <c r="I2281" s="1">
        <v>1</v>
      </c>
      <c r="J2281" s="1">
        <v>2</v>
      </c>
    </row>
    <row r="2282" spans="1:10" x14ac:dyDescent="0.2">
      <c r="A2282" s="1">
        <v>685</v>
      </c>
      <c r="B2282" s="1">
        <v>1</v>
      </c>
      <c r="C2282" s="1">
        <v>17</v>
      </c>
      <c r="D2282" s="1">
        <v>5</v>
      </c>
      <c r="E2282" s="1">
        <v>1</v>
      </c>
      <c r="F2282" s="1">
        <v>7</v>
      </c>
      <c r="G2282" s="1">
        <v>9</v>
      </c>
      <c r="H2282" s="1">
        <v>0</v>
      </c>
      <c r="I2282" s="1">
        <v>3</v>
      </c>
      <c r="J2282" s="1">
        <v>2</v>
      </c>
    </row>
    <row r="2283" spans="1:10" x14ac:dyDescent="0.2">
      <c r="A2283" s="1">
        <v>1026</v>
      </c>
      <c r="B2283" s="1">
        <v>1</v>
      </c>
      <c r="C2283" s="1">
        <v>17</v>
      </c>
      <c r="D2283" s="1">
        <v>2</v>
      </c>
      <c r="E2283" s="1">
        <v>1</v>
      </c>
      <c r="F2283" s="1">
        <v>7</v>
      </c>
      <c r="G2283" s="1">
        <v>9</v>
      </c>
      <c r="H2283" s="1">
        <v>1</v>
      </c>
      <c r="I2283" s="1">
        <v>0</v>
      </c>
      <c r="J2283" s="1">
        <v>2</v>
      </c>
    </row>
    <row r="2284" spans="1:10" x14ac:dyDescent="0.2">
      <c r="A2284" s="1">
        <v>1186</v>
      </c>
      <c r="B2284" s="1">
        <v>1</v>
      </c>
      <c r="C2284" s="1">
        <v>10</v>
      </c>
      <c r="D2284" s="1">
        <v>5</v>
      </c>
      <c r="E2284" s="1">
        <v>1</v>
      </c>
      <c r="F2284" s="1">
        <v>8</v>
      </c>
      <c r="G2284" s="1">
        <v>9</v>
      </c>
      <c r="H2284" s="1">
        <v>0</v>
      </c>
      <c r="I2284" s="1">
        <v>1</v>
      </c>
      <c r="J2284" s="1">
        <v>2</v>
      </c>
    </row>
    <row r="2285" spans="1:10" x14ac:dyDescent="0.2">
      <c r="A2285" s="1">
        <v>1327</v>
      </c>
      <c r="B2285" s="1">
        <v>1</v>
      </c>
      <c r="C2285" s="1">
        <v>6</v>
      </c>
      <c r="D2285" s="1">
        <v>2</v>
      </c>
      <c r="E2285" s="1">
        <v>1</v>
      </c>
      <c r="F2285" s="1">
        <v>9</v>
      </c>
      <c r="G2285" s="1">
        <v>9</v>
      </c>
      <c r="H2285" s="1">
        <v>0</v>
      </c>
      <c r="I2285" s="1">
        <v>1</v>
      </c>
      <c r="J2285" s="1">
        <v>2</v>
      </c>
    </row>
    <row r="2286" spans="1:10" x14ac:dyDescent="0.2">
      <c r="A2286" s="1">
        <v>2276</v>
      </c>
      <c r="B2286" s="1">
        <v>1</v>
      </c>
      <c r="C2286" s="1">
        <v>14</v>
      </c>
      <c r="D2286" s="1">
        <v>2</v>
      </c>
      <c r="E2286" s="1">
        <v>1</v>
      </c>
      <c r="F2286" s="1">
        <v>9</v>
      </c>
      <c r="G2286" s="1">
        <v>9</v>
      </c>
      <c r="H2286" s="1">
        <v>1</v>
      </c>
      <c r="I2286" s="1">
        <v>3</v>
      </c>
      <c r="J2286" s="1">
        <v>2</v>
      </c>
    </row>
    <row r="2287" spans="1:10" x14ac:dyDescent="0.2">
      <c r="A2287" s="1">
        <v>1894</v>
      </c>
      <c r="B2287" s="1">
        <v>1</v>
      </c>
      <c r="C2287" s="1">
        <v>20</v>
      </c>
      <c r="D2287" s="1">
        <v>4</v>
      </c>
      <c r="E2287" s="1">
        <v>1</v>
      </c>
      <c r="F2287" s="1">
        <v>9</v>
      </c>
      <c r="G2287" s="1">
        <v>9</v>
      </c>
      <c r="H2287" s="1">
        <v>1</v>
      </c>
      <c r="I2287" s="1">
        <v>0</v>
      </c>
      <c r="J2287" s="1">
        <v>2</v>
      </c>
    </row>
    <row r="2288" spans="1:10" x14ac:dyDescent="0.2">
      <c r="A2288" s="1">
        <v>2012</v>
      </c>
      <c r="B2288" s="1">
        <v>1</v>
      </c>
      <c r="C2288" s="1">
        <v>13</v>
      </c>
      <c r="D2288" s="1">
        <v>3</v>
      </c>
      <c r="E2288" s="1">
        <v>1</v>
      </c>
      <c r="F2288" s="1">
        <v>10</v>
      </c>
      <c r="G2288" s="1">
        <v>9</v>
      </c>
      <c r="H2288" s="1">
        <v>0</v>
      </c>
      <c r="I2288" s="1">
        <v>1</v>
      </c>
      <c r="J2288" s="1">
        <v>2</v>
      </c>
    </row>
    <row r="2289" spans="1:10" x14ac:dyDescent="0.2">
      <c r="A2289" s="1">
        <v>644</v>
      </c>
      <c r="B2289" s="1">
        <v>1</v>
      </c>
      <c r="C2289" s="1">
        <v>14</v>
      </c>
      <c r="D2289" s="1">
        <v>1</v>
      </c>
      <c r="E2289" s="1">
        <v>1</v>
      </c>
      <c r="F2289" s="1">
        <v>10</v>
      </c>
      <c r="G2289" s="1">
        <v>9</v>
      </c>
      <c r="H2289" s="1">
        <v>0</v>
      </c>
      <c r="I2289" s="1">
        <v>2</v>
      </c>
      <c r="J2289" s="1">
        <v>2</v>
      </c>
    </row>
    <row r="2290" spans="1:10" x14ac:dyDescent="0.2">
      <c r="A2290" s="1">
        <v>128</v>
      </c>
      <c r="B2290" s="1">
        <v>1</v>
      </c>
      <c r="C2290" s="1">
        <v>17</v>
      </c>
      <c r="D2290" s="1">
        <v>1</v>
      </c>
      <c r="E2290" s="1">
        <v>1</v>
      </c>
      <c r="F2290" s="1">
        <v>10</v>
      </c>
      <c r="G2290" s="1">
        <v>9</v>
      </c>
      <c r="H2290" s="1">
        <v>0</v>
      </c>
      <c r="I2290" s="1">
        <v>0</v>
      </c>
      <c r="J2290" s="1">
        <v>2</v>
      </c>
    </row>
    <row r="2291" spans="1:10" x14ac:dyDescent="0.2">
      <c r="A2291" s="1">
        <v>2485</v>
      </c>
      <c r="B2291" s="1">
        <v>1</v>
      </c>
      <c r="C2291" s="1">
        <v>12</v>
      </c>
      <c r="D2291" s="1">
        <v>2</v>
      </c>
      <c r="E2291" s="1">
        <v>1</v>
      </c>
      <c r="F2291" s="1">
        <v>4</v>
      </c>
      <c r="G2291" s="1">
        <v>9</v>
      </c>
      <c r="H2291" s="1">
        <v>1</v>
      </c>
      <c r="I2291" s="1">
        <v>3</v>
      </c>
      <c r="J2291" s="1">
        <v>3</v>
      </c>
    </row>
    <row r="2292" spans="1:10" x14ac:dyDescent="0.2">
      <c r="A2292" s="1">
        <v>1935</v>
      </c>
      <c r="B2292" s="1">
        <v>1</v>
      </c>
      <c r="C2292" s="1">
        <v>16</v>
      </c>
      <c r="D2292" s="1">
        <v>3</v>
      </c>
      <c r="E2292" s="1">
        <v>1</v>
      </c>
      <c r="F2292" s="1">
        <v>4</v>
      </c>
      <c r="G2292" s="1">
        <v>9</v>
      </c>
      <c r="H2292" s="1">
        <v>0</v>
      </c>
      <c r="I2292" s="1">
        <v>3</v>
      </c>
      <c r="J2292" s="1">
        <v>3</v>
      </c>
    </row>
    <row r="2293" spans="1:10" x14ac:dyDescent="0.2">
      <c r="A2293" s="1">
        <v>178</v>
      </c>
      <c r="B2293" s="1">
        <v>1</v>
      </c>
      <c r="C2293" s="1">
        <v>11</v>
      </c>
      <c r="D2293" s="1">
        <v>4</v>
      </c>
      <c r="E2293" s="1">
        <v>1</v>
      </c>
      <c r="F2293" s="1">
        <v>5</v>
      </c>
      <c r="G2293" s="1">
        <v>9</v>
      </c>
      <c r="H2293" s="1">
        <v>0</v>
      </c>
      <c r="I2293" s="1">
        <v>2</v>
      </c>
      <c r="J2293" s="1">
        <v>3</v>
      </c>
    </row>
    <row r="2294" spans="1:10" x14ac:dyDescent="0.2">
      <c r="A2294" s="1">
        <v>1462</v>
      </c>
      <c r="B2294" s="1">
        <v>1</v>
      </c>
      <c r="C2294" s="1">
        <v>18</v>
      </c>
      <c r="D2294" s="1">
        <v>5</v>
      </c>
      <c r="E2294" s="1">
        <v>1</v>
      </c>
      <c r="F2294" s="1">
        <v>5</v>
      </c>
      <c r="G2294" s="1">
        <v>9</v>
      </c>
      <c r="H2294" s="1">
        <v>1</v>
      </c>
      <c r="I2294" s="1">
        <v>2</v>
      </c>
      <c r="J2294" s="1">
        <v>3</v>
      </c>
    </row>
    <row r="2295" spans="1:10" x14ac:dyDescent="0.2">
      <c r="A2295" s="1">
        <v>1299</v>
      </c>
      <c r="B2295" s="1">
        <v>1</v>
      </c>
      <c r="C2295" s="1">
        <v>13</v>
      </c>
      <c r="D2295" s="1">
        <v>1</v>
      </c>
      <c r="E2295" s="1">
        <v>1</v>
      </c>
      <c r="F2295" s="1">
        <v>6</v>
      </c>
      <c r="G2295" s="1">
        <v>9</v>
      </c>
      <c r="H2295" s="1">
        <v>0</v>
      </c>
      <c r="I2295" s="1">
        <v>3</v>
      </c>
      <c r="J2295" s="1">
        <v>3</v>
      </c>
    </row>
    <row r="2296" spans="1:10" x14ac:dyDescent="0.2">
      <c r="A2296" s="1">
        <v>58</v>
      </c>
      <c r="B2296" s="1">
        <v>1</v>
      </c>
      <c r="C2296" s="1">
        <v>8</v>
      </c>
      <c r="D2296" s="1">
        <v>5</v>
      </c>
      <c r="E2296" s="1">
        <v>1</v>
      </c>
      <c r="F2296" s="1">
        <v>7</v>
      </c>
      <c r="G2296" s="1">
        <v>9</v>
      </c>
      <c r="H2296" s="1">
        <v>1</v>
      </c>
      <c r="I2296" s="1">
        <v>0</v>
      </c>
      <c r="J2296" s="1">
        <v>3</v>
      </c>
    </row>
    <row r="2297" spans="1:10" x14ac:dyDescent="0.2">
      <c r="A2297" s="1">
        <v>423</v>
      </c>
      <c r="B2297" s="1">
        <v>1</v>
      </c>
      <c r="C2297" s="1">
        <v>6</v>
      </c>
      <c r="D2297" s="1">
        <v>1</v>
      </c>
      <c r="E2297" s="1">
        <v>2</v>
      </c>
      <c r="F2297" s="1">
        <v>8</v>
      </c>
      <c r="G2297" s="1">
        <v>9</v>
      </c>
      <c r="H2297" s="1">
        <v>0</v>
      </c>
      <c r="I2297" s="1">
        <v>0</v>
      </c>
      <c r="J2297" s="1">
        <v>3</v>
      </c>
    </row>
    <row r="2298" spans="1:10" x14ac:dyDescent="0.2">
      <c r="A2298" s="1">
        <v>1796</v>
      </c>
      <c r="B2298" s="1">
        <v>1</v>
      </c>
      <c r="C2298" s="1">
        <v>8</v>
      </c>
      <c r="D2298" s="1">
        <v>1</v>
      </c>
      <c r="E2298" s="1">
        <v>2</v>
      </c>
      <c r="F2298" s="1">
        <v>8</v>
      </c>
      <c r="G2298" s="1">
        <v>9</v>
      </c>
      <c r="H2298" s="1">
        <v>1</v>
      </c>
      <c r="I2298" s="1">
        <v>2</v>
      </c>
      <c r="J2298" s="1">
        <v>3</v>
      </c>
    </row>
    <row r="2299" spans="1:10" x14ac:dyDescent="0.2">
      <c r="A2299" s="1">
        <v>105</v>
      </c>
      <c r="B2299" s="1">
        <v>1</v>
      </c>
      <c r="C2299" s="1">
        <v>19</v>
      </c>
      <c r="D2299" s="1">
        <v>5</v>
      </c>
      <c r="E2299" s="1">
        <v>2</v>
      </c>
      <c r="F2299" s="1">
        <v>8</v>
      </c>
      <c r="G2299" s="1">
        <v>9</v>
      </c>
      <c r="H2299" s="1">
        <v>1</v>
      </c>
      <c r="I2299" s="1">
        <v>3</v>
      </c>
      <c r="J2299" s="1">
        <v>3</v>
      </c>
    </row>
    <row r="2300" spans="1:10" x14ac:dyDescent="0.2">
      <c r="A2300" s="1">
        <v>2312</v>
      </c>
      <c r="B2300" s="1">
        <v>1</v>
      </c>
      <c r="C2300" s="1">
        <v>6</v>
      </c>
      <c r="D2300" s="1">
        <v>2</v>
      </c>
      <c r="E2300" s="1">
        <v>1</v>
      </c>
      <c r="F2300" s="1">
        <v>9</v>
      </c>
      <c r="G2300" s="1">
        <v>9</v>
      </c>
      <c r="H2300" s="1">
        <v>1</v>
      </c>
      <c r="I2300" s="1">
        <v>3</v>
      </c>
      <c r="J2300" s="1">
        <v>3</v>
      </c>
    </row>
    <row r="2301" spans="1:10" x14ac:dyDescent="0.2">
      <c r="A2301" s="1">
        <v>2080</v>
      </c>
      <c r="B2301" s="1">
        <v>1</v>
      </c>
      <c r="C2301" s="1">
        <v>7</v>
      </c>
      <c r="D2301" s="1">
        <v>4</v>
      </c>
      <c r="E2301" s="1">
        <v>2</v>
      </c>
      <c r="F2301" s="1">
        <v>10</v>
      </c>
      <c r="G2301" s="1">
        <v>9</v>
      </c>
      <c r="H2301" s="1">
        <v>1</v>
      </c>
      <c r="I2301" s="1">
        <v>2</v>
      </c>
      <c r="J2301" s="1">
        <v>3</v>
      </c>
    </row>
    <row r="2302" spans="1:10" x14ac:dyDescent="0.2">
      <c r="A2302" s="1">
        <v>1661</v>
      </c>
      <c r="B2302" s="1">
        <v>1</v>
      </c>
      <c r="C2302" s="1">
        <v>18</v>
      </c>
      <c r="D2302" s="1">
        <v>4</v>
      </c>
      <c r="E2302" s="1">
        <v>2</v>
      </c>
      <c r="F2302" s="1">
        <v>10</v>
      </c>
      <c r="G2302" s="1">
        <v>9</v>
      </c>
      <c r="H2302" s="1">
        <v>0</v>
      </c>
      <c r="I2302" s="1">
        <v>1</v>
      </c>
      <c r="J2302" s="1">
        <v>3</v>
      </c>
    </row>
    <row r="2303" spans="1:10" x14ac:dyDescent="0.2">
      <c r="A2303" s="1">
        <v>2152</v>
      </c>
      <c r="B2303" s="1">
        <v>1</v>
      </c>
      <c r="C2303" s="1">
        <v>19</v>
      </c>
      <c r="D2303" s="1">
        <v>5</v>
      </c>
      <c r="E2303" s="1">
        <v>2</v>
      </c>
      <c r="F2303" s="1">
        <v>10</v>
      </c>
      <c r="G2303" s="1">
        <v>9</v>
      </c>
      <c r="H2303" s="1">
        <v>0</v>
      </c>
      <c r="I2303" s="1">
        <v>1</v>
      </c>
      <c r="J2303" s="1">
        <v>3</v>
      </c>
    </row>
    <row r="2304" spans="1:10" x14ac:dyDescent="0.2">
      <c r="A2304" s="1">
        <v>861</v>
      </c>
      <c r="B2304" s="1">
        <v>1</v>
      </c>
      <c r="C2304" s="1">
        <v>18</v>
      </c>
      <c r="D2304" s="1">
        <v>1</v>
      </c>
      <c r="E2304" s="1">
        <v>1</v>
      </c>
      <c r="F2304" s="1">
        <v>2</v>
      </c>
      <c r="G2304" s="1">
        <v>9</v>
      </c>
      <c r="H2304" s="1">
        <v>0</v>
      </c>
      <c r="I2304" s="1">
        <v>2</v>
      </c>
      <c r="J2304" s="1">
        <v>4</v>
      </c>
    </row>
    <row r="2305" spans="1:10" x14ac:dyDescent="0.2">
      <c r="A2305" s="1">
        <v>1148</v>
      </c>
      <c r="B2305" s="1">
        <v>1</v>
      </c>
      <c r="C2305" s="1">
        <v>17</v>
      </c>
      <c r="D2305" s="1">
        <v>1</v>
      </c>
      <c r="E2305" s="1">
        <v>1</v>
      </c>
      <c r="F2305" s="1">
        <v>3</v>
      </c>
      <c r="G2305" s="1">
        <v>9</v>
      </c>
      <c r="H2305" s="1">
        <v>1</v>
      </c>
      <c r="I2305" s="1">
        <v>2</v>
      </c>
      <c r="J2305" s="1">
        <v>4</v>
      </c>
    </row>
    <row r="2306" spans="1:10" x14ac:dyDescent="0.2">
      <c r="A2306" s="1">
        <v>1057</v>
      </c>
      <c r="B2306" s="1">
        <v>1</v>
      </c>
      <c r="C2306" s="1">
        <v>7</v>
      </c>
      <c r="D2306" s="1">
        <v>5</v>
      </c>
      <c r="E2306" s="1">
        <v>2</v>
      </c>
      <c r="F2306" s="1">
        <v>3</v>
      </c>
      <c r="G2306" s="1">
        <v>9</v>
      </c>
      <c r="H2306" s="1">
        <v>0</v>
      </c>
      <c r="I2306" s="1">
        <v>1</v>
      </c>
      <c r="J2306" s="1">
        <v>4</v>
      </c>
    </row>
    <row r="2307" spans="1:10" x14ac:dyDescent="0.2">
      <c r="A2307" s="1">
        <v>1958</v>
      </c>
      <c r="B2307" s="1">
        <v>1</v>
      </c>
      <c r="C2307" s="1">
        <v>8</v>
      </c>
      <c r="D2307" s="1">
        <v>1</v>
      </c>
      <c r="E2307" s="1">
        <v>2</v>
      </c>
      <c r="F2307" s="1">
        <v>3</v>
      </c>
      <c r="G2307" s="1">
        <v>9</v>
      </c>
      <c r="H2307" s="1">
        <v>1</v>
      </c>
      <c r="I2307" s="1">
        <v>3</v>
      </c>
      <c r="J2307" s="1">
        <v>4</v>
      </c>
    </row>
    <row r="2308" spans="1:10" x14ac:dyDescent="0.2">
      <c r="A2308" s="1">
        <v>2355</v>
      </c>
      <c r="B2308" s="1">
        <v>1</v>
      </c>
      <c r="C2308" s="1">
        <v>8</v>
      </c>
      <c r="D2308" s="1">
        <v>1</v>
      </c>
      <c r="E2308" s="1">
        <v>1</v>
      </c>
      <c r="F2308" s="1">
        <v>4</v>
      </c>
      <c r="G2308" s="1">
        <v>9</v>
      </c>
      <c r="H2308" s="1">
        <v>1</v>
      </c>
      <c r="I2308" s="1">
        <v>0</v>
      </c>
      <c r="J2308" s="1">
        <v>4</v>
      </c>
    </row>
    <row r="2309" spans="1:10" x14ac:dyDescent="0.2">
      <c r="A2309" s="1">
        <v>479</v>
      </c>
      <c r="B2309" s="1">
        <v>1</v>
      </c>
      <c r="C2309" s="1">
        <v>10</v>
      </c>
      <c r="D2309" s="1">
        <v>5</v>
      </c>
      <c r="E2309" s="1">
        <v>1</v>
      </c>
      <c r="F2309" s="1">
        <v>4</v>
      </c>
      <c r="G2309" s="1">
        <v>9</v>
      </c>
      <c r="H2309" s="1">
        <v>1</v>
      </c>
      <c r="I2309" s="1">
        <v>0</v>
      </c>
      <c r="J2309" s="1">
        <v>4</v>
      </c>
    </row>
    <row r="2310" spans="1:10" x14ac:dyDescent="0.2">
      <c r="A2310" s="1">
        <v>2094</v>
      </c>
      <c r="B2310" s="1">
        <v>1</v>
      </c>
      <c r="C2310" s="1">
        <v>11</v>
      </c>
      <c r="D2310" s="1">
        <v>1</v>
      </c>
      <c r="E2310" s="1">
        <v>2</v>
      </c>
      <c r="F2310" s="1">
        <v>4</v>
      </c>
      <c r="G2310" s="1">
        <v>9</v>
      </c>
      <c r="H2310" s="1">
        <v>1</v>
      </c>
      <c r="I2310" s="1">
        <v>0</v>
      </c>
      <c r="J2310" s="1">
        <v>4</v>
      </c>
    </row>
    <row r="2311" spans="1:10" x14ac:dyDescent="0.2">
      <c r="A2311" s="1">
        <v>1486</v>
      </c>
      <c r="B2311" s="1">
        <v>1</v>
      </c>
      <c r="C2311" s="1">
        <v>18</v>
      </c>
      <c r="D2311" s="1">
        <v>3</v>
      </c>
      <c r="E2311" s="1">
        <v>2</v>
      </c>
      <c r="F2311" s="1">
        <v>4</v>
      </c>
      <c r="G2311" s="1">
        <v>9</v>
      </c>
      <c r="H2311" s="1">
        <v>1</v>
      </c>
      <c r="I2311" s="1">
        <v>2</v>
      </c>
      <c r="J2311" s="1">
        <v>4</v>
      </c>
    </row>
    <row r="2312" spans="1:10" x14ac:dyDescent="0.2">
      <c r="A2312" s="1">
        <v>2199</v>
      </c>
      <c r="B2312" s="1">
        <v>1</v>
      </c>
      <c r="C2312" s="1">
        <v>20</v>
      </c>
      <c r="D2312" s="1">
        <v>2</v>
      </c>
      <c r="E2312" s="1">
        <v>2</v>
      </c>
      <c r="F2312" s="1">
        <v>4</v>
      </c>
      <c r="G2312" s="1">
        <v>9</v>
      </c>
      <c r="H2312" s="1">
        <v>1</v>
      </c>
      <c r="I2312" s="1">
        <v>1</v>
      </c>
      <c r="J2312" s="1">
        <v>4</v>
      </c>
    </row>
    <row r="2313" spans="1:10" x14ac:dyDescent="0.2">
      <c r="A2313" s="1">
        <v>1429</v>
      </c>
      <c r="B2313" s="1">
        <v>1</v>
      </c>
      <c r="C2313" s="1">
        <v>7</v>
      </c>
      <c r="D2313" s="1">
        <v>3</v>
      </c>
      <c r="E2313" s="1">
        <v>1</v>
      </c>
      <c r="F2313" s="1">
        <v>5</v>
      </c>
      <c r="G2313" s="1">
        <v>9</v>
      </c>
      <c r="H2313" s="1">
        <v>0</v>
      </c>
      <c r="I2313" s="1">
        <v>3</v>
      </c>
      <c r="J2313" s="1">
        <v>4</v>
      </c>
    </row>
    <row r="2314" spans="1:10" x14ac:dyDescent="0.2">
      <c r="A2314" s="1">
        <v>1342</v>
      </c>
      <c r="B2314" s="1">
        <v>1</v>
      </c>
      <c r="C2314" s="1">
        <v>8</v>
      </c>
      <c r="D2314" s="1">
        <v>2</v>
      </c>
      <c r="E2314" s="1">
        <v>1</v>
      </c>
      <c r="F2314" s="1">
        <v>5</v>
      </c>
      <c r="G2314" s="1">
        <v>9</v>
      </c>
      <c r="H2314" s="1">
        <v>0</v>
      </c>
      <c r="I2314" s="1">
        <v>0</v>
      </c>
      <c r="J2314" s="1">
        <v>4</v>
      </c>
    </row>
    <row r="2315" spans="1:10" x14ac:dyDescent="0.2">
      <c r="A2315" s="1">
        <v>339</v>
      </c>
      <c r="B2315" s="1">
        <v>1</v>
      </c>
      <c r="C2315" s="1">
        <v>15</v>
      </c>
      <c r="D2315" s="1">
        <v>4</v>
      </c>
      <c r="E2315" s="1">
        <v>1</v>
      </c>
      <c r="F2315" s="1">
        <v>5</v>
      </c>
      <c r="G2315" s="1">
        <v>9</v>
      </c>
      <c r="H2315" s="1">
        <v>1</v>
      </c>
      <c r="I2315" s="1">
        <v>2</v>
      </c>
      <c r="J2315" s="1">
        <v>4</v>
      </c>
    </row>
    <row r="2316" spans="1:10" x14ac:dyDescent="0.2">
      <c r="A2316" s="1">
        <v>19</v>
      </c>
      <c r="B2316" s="1">
        <v>1</v>
      </c>
      <c r="C2316" s="1">
        <v>6</v>
      </c>
      <c r="D2316" s="1">
        <v>4</v>
      </c>
      <c r="E2316" s="1">
        <v>2</v>
      </c>
      <c r="F2316" s="1">
        <v>5</v>
      </c>
      <c r="G2316" s="1">
        <v>9</v>
      </c>
      <c r="H2316" s="1">
        <v>1</v>
      </c>
      <c r="I2316" s="1">
        <v>0</v>
      </c>
      <c r="J2316" s="1">
        <v>4</v>
      </c>
    </row>
    <row r="2317" spans="1:10" x14ac:dyDescent="0.2">
      <c r="A2317" s="1">
        <v>1020</v>
      </c>
      <c r="B2317" s="1">
        <v>1</v>
      </c>
      <c r="C2317" s="1">
        <v>7</v>
      </c>
      <c r="D2317" s="1">
        <v>3</v>
      </c>
      <c r="E2317" s="1">
        <v>1</v>
      </c>
      <c r="F2317" s="1">
        <v>6</v>
      </c>
      <c r="G2317" s="1">
        <v>9</v>
      </c>
      <c r="H2317" s="1">
        <v>0</v>
      </c>
      <c r="I2317" s="1">
        <v>1</v>
      </c>
      <c r="J2317" s="1">
        <v>4</v>
      </c>
    </row>
    <row r="2318" spans="1:10" x14ac:dyDescent="0.2">
      <c r="A2318" s="1">
        <v>1401</v>
      </c>
      <c r="B2318" s="1">
        <v>1</v>
      </c>
      <c r="C2318" s="1">
        <v>13</v>
      </c>
      <c r="D2318" s="1">
        <v>4</v>
      </c>
      <c r="E2318" s="1">
        <v>1</v>
      </c>
      <c r="F2318" s="1">
        <v>6</v>
      </c>
      <c r="G2318" s="1">
        <v>9</v>
      </c>
      <c r="H2318" s="1">
        <v>1</v>
      </c>
      <c r="I2318" s="1">
        <v>2</v>
      </c>
      <c r="J2318" s="1">
        <v>4</v>
      </c>
    </row>
    <row r="2319" spans="1:10" x14ac:dyDescent="0.2">
      <c r="A2319" s="1">
        <v>1323</v>
      </c>
      <c r="B2319" s="1">
        <v>1</v>
      </c>
      <c r="C2319" s="1">
        <v>16</v>
      </c>
      <c r="D2319" s="1">
        <v>3</v>
      </c>
      <c r="E2319" s="1">
        <v>1</v>
      </c>
      <c r="F2319" s="1">
        <v>6</v>
      </c>
      <c r="G2319" s="1">
        <v>9</v>
      </c>
      <c r="H2319" s="1">
        <v>1</v>
      </c>
      <c r="I2319" s="1">
        <v>2</v>
      </c>
      <c r="J2319" s="1">
        <v>4</v>
      </c>
    </row>
    <row r="2320" spans="1:10" x14ac:dyDescent="0.2">
      <c r="A2320" s="1">
        <v>174</v>
      </c>
      <c r="B2320" s="1">
        <v>1</v>
      </c>
      <c r="C2320" s="1">
        <v>19</v>
      </c>
      <c r="D2320" s="1">
        <v>4</v>
      </c>
      <c r="E2320" s="1">
        <v>1</v>
      </c>
      <c r="F2320" s="1">
        <v>6</v>
      </c>
      <c r="G2320" s="1">
        <v>9</v>
      </c>
      <c r="H2320" s="1">
        <v>0</v>
      </c>
      <c r="I2320" s="1">
        <v>1</v>
      </c>
      <c r="J2320" s="1">
        <v>4</v>
      </c>
    </row>
    <row r="2321" spans="1:10" x14ac:dyDescent="0.2">
      <c r="A2321" s="1">
        <v>985</v>
      </c>
      <c r="B2321" s="1">
        <v>1</v>
      </c>
      <c r="C2321" s="1">
        <v>7</v>
      </c>
      <c r="D2321" s="1">
        <v>2</v>
      </c>
      <c r="E2321" s="1">
        <v>2</v>
      </c>
      <c r="F2321" s="1">
        <v>6</v>
      </c>
      <c r="G2321" s="1">
        <v>9</v>
      </c>
      <c r="H2321" s="1">
        <v>1</v>
      </c>
      <c r="I2321" s="1">
        <v>0</v>
      </c>
      <c r="J2321" s="1">
        <v>4</v>
      </c>
    </row>
    <row r="2322" spans="1:10" x14ac:dyDescent="0.2">
      <c r="A2322" s="1">
        <v>472</v>
      </c>
      <c r="B2322" s="1">
        <v>1</v>
      </c>
      <c r="C2322" s="1">
        <v>8</v>
      </c>
      <c r="D2322" s="1">
        <v>3</v>
      </c>
      <c r="E2322" s="1">
        <v>2</v>
      </c>
      <c r="F2322" s="1">
        <v>6</v>
      </c>
      <c r="G2322" s="1">
        <v>9</v>
      </c>
      <c r="H2322" s="1">
        <v>1</v>
      </c>
      <c r="I2322" s="1">
        <v>0</v>
      </c>
      <c r="J2322" s="1">
        <v>4</v>
      </c>
    </row>
    <row r="2323" spans="1:10" x14ac:dyDescent="0.2">
      <c r="A2323" s="1">
        <v>1846</v>
      </c>
      <c r="B2323" s="1">
        <v>1</v>
      </c>
      <c r="C2323" s="1">
        <v>14</v>
      </c>
      <c r="D2323" s="1">
        <v>2</v>
      </c>
      <c r="E2323" s="1">
        <v>2</v>
      </c>
      <c r="F2323" s="1">
        <v>6</v>
      </c>
      <c r="G2323" s="1">
        <v>9</v>
      </c>
      <c r="H2323" s="1">
        <v>1</v>
      </c>
      <c r="I2323" s="1">
        <v>0</v>
      </c>
      <c r="J2323" s="1">
        <v>4</v>
      </c>
    </row>
    <row r="2324" spans="1:10" x14ac:dyDescent="0.2">
      <c r="A2324" s="1">
        <v>2292</v>
      </c>
      <c r="B2324" s="1">
        <v>1</v>
      </c>
      <c r="C2324" s="1">
        <v>15</v>
      </c>
      <c r="D2324" s="1">
        <v>5</v>
      </c>
      <c r="E2324" s="1">
        <v>2</v>
      </c>
      <c r="F2324" s="1">
        <v>6</v>
      </c>
      <c r="G2324" s="1">
        <v>9</v>
      </c>
      <c r="H2324" s="1">
        <v>1</v>
      </c>
      <c r="I2324" s="1">
        <v>2</v>
      </c>
      <c r="J2324" s="1">
        <v>4</v>
      </c>
    </row>
    <row r="2325" spans="1:10" x14ac:dyDescent="0.2">
      <c r="A2325" s="1">
        <v>1704</v>
      </c>
      <c r="B2325" s="1">
        <v>1</v>
      </c>
      <c r="C2325" s="1">
        <v>11</v>
      </c>
      <c r="D2325" s="1">
        <v>2</v>
      </c>
      <c r="E2325" s="1">
        <v>1</v>
      </c>
      <c r="F2325" s="1">
        <v>7</v>
      </c>
      <c r="G2325" s="1">
        <v>9</v>
      </c>
      <c r="H2325" s="1">
        <v>1</v>
      </c>
      <c r="I2325" s="1">
        <v>0</v>
      </c>
      <c r="J2325" s="1">
        <v>4</v>
      </c>
    </row>
    <row r="2326" spans="1:10" x14ac:dyDescent="0.2">
      <c r="A2326" s="1">
        <v>2383</v>
      </c>
      <c r="B2326" s="1">
        <v>1</v>
      </c>
      <c r="C2326" s="1">
        <v>20</v>
      </c>
      <c r="D2326" s="1">
        <v>1</v>
      </c>
      <c r="E2326" s="1">
        <v>1</v>
      </c>
      <c r="F2326" s="1">
        <v>7</v>
      </c>
      <c r="G2326" s="1">
        <v>9</v>
      </c>
      <c r="H2326" s="1">
        <v>0</v>
      </c>
      <c r="I2326" s="1">
        <v>3</v>
      </c>
      <c r="J2326" s="1">
        <v>4</v>
      </c>
    </row>
    <row r="2327" spans="1:10" x14ac:dyDescent="0.2">
      <c r="A2327" s="1">
        <v>53</v>
      </c>
      <c r="B2327" s="1">
        <v>1</v>
      </c>
      <c r="C2327" s="1">
        <v>9</v>
      </c>
      <c r="D2327" s="1">
        <v>2</v>
      </c>
      <c r="E2327" s="1">
        <v>2</v>
      </c>
      <c r="F2327" s="1">
        <v>7</v>
      </c>
      <c r="G2327" s="1">
        <v>9</v>
      </c>
      <c r="H2327" s="1">
        <v>1</v>
      </c>
      <c r="I2327" s="1">
        <v>0</v>
      </c>
      <c r="J2327" s="1">
        <v>4</v>
      </c>
    </row>
    <row r="2328" spans="1:10" x14ac:dyDescent="0.2">
      <c r="A2328" s="1">
        <v>1715</v>
      </c>
      <c r="B2328" s="1">
        <v>1</v>
      </c>
      <c r="C2328" s="1">
        <v>9</v>
      </c>
      <c r="D2328" s="1">
        <v>1</v>
      </c>
      <c r="E2328" s="1">
        <v>2</v>
      </c>
      <c r="F2328" s="1">
        <v>7</v>
      </c>
      <c r="G2328" s="1">
        <v>9</v>
      </c>
      <c r="H2328" s="1">
        <v>0</v>
      </c>
      <c r="I2328" s="1">
        <v>0</v>
      </c>
      <c r="J2328" s="1">
        <v>4</v>
      </c>
    </row>
    <row r="2329" spans="1:10" x14ac:dyDescent="0.2">
      <c r="A2329" s="1">
        <v>1475</v>
      </c>
      <c r="B2329" s="1">
        <v>1</v>
      </c>
      <c r="C2329" s="1">
        <v>18</v>
      </c>
      <c r="D2329" s="1">
        <v>4</v>
      </c>
      <c r="E2329" s="1">
        <v>2</v>
      </c>
      <c r="F2329" s="1">
        <v>7</v>
      </c>
      <c r="G2329" s="1">
        <v>9</v>
      </c>
      <c r="H2329" s="1">
        <v>1</v>
      </c>
      <c r="I2329" s="1">
        <v>3</v>
      </c>
      <c r="J2329" s="1">
        <v>4</v>
      </c>
    </row>
    <row r="2330" spans="1:10" x14ac:dyDescent="0.2">
      <c r="A2330" s="1">
        <v>1656</v>
      </c>
      <c r="B2330" s="1">
        <v>1</v>
      </c>
      <c r="C2330" s="1">
        <v>9</v>
      </c>
      <c r="D2330" s="1">
        <v>1</v>
      </c>
      <c r="E2330" s="1">
        <v>1</v>
      </c>
      <c r="F2330" s="1">
        <v>8</v>
      </c>
      <c r="G2330" s="1">
        <v>9</v>
      </c>
      <c r="H2330" s="1">
        <v>0</v>
      </c>
      <c r="I2330" s="1">
        <v>1</v>
      </c>
      <c r="J2330" s="1">
        <v>4</v>
      </c>
    </row>
    <row r="2331" spans="1:10" x14ac:dyDescent="0.2">
      <c r="A2331" s="1">
        <v>2486</v>
      </c>
      <c r="B2331" s="1">
        <v>1</v>
      </c>
      <c r="C2331" s="1">
        <v>12</v>
      </c>
      <c r="D2331" s="1">
        <v>3</v>
      </c>
      <c r="E2331" s="1">
        <v>1</v>
      </c>
      <c r="F2331" s="1">
        <v>8</v>
      </c>
      <c r="G2331" s="1">
        <v>9</v>
      </c>
      <c r="H2331" s="1">
        <v>1</v>
      </c>
      <c r="I2331" s="1">
        <v>2</v>
      </c>
      <c r="J2331" s="1">
        <v>4</v>
      </c>
    </row>
    <row r="2332" spans="1:10" x14ac:dyDescent="0.2">
      <c r="A2332" s="1">
        <v>335</v>
      </c>
      <c r="B2332" s="1">
        <v>1</v>
      </c>
      <c r="C2332" s="1">
        <v>19</v>
      </c>
      <c r="D2332" s="1">
        <v>5</v>
      </c>
      <c r="E2332" s="1">
        <v>1</v>
      </c>
      <c r="F2332" s="1">
        <v>8</v>
      </c>
      <c r="G2332" s="1">
        <v>9</v>
      </c>
      <c r="H2332" s="1">
        <v>1</v>
      </c>
      <c r="I2332" s="1">
        <v>0</v>
      </c>
      <c r="J2332" s="1">
        <v>4</v>
      </c>
    </row>
    <row r="2333" spans="1:10" x14ac:dyDescent="0.2">
      <c r="A2333" s="1">
        <v>2002</v>
      </c>
      <c r="B2333" s="1">
        <v>1</v>
      </c>
      <c r="C2333" s="1">
        <v>5</v>
      </c>
      <c r="D2333" s="1">
        <v>1</v>
      </c>
      <c r="E2333" s="1">
        <v>1</v>
      </c>
      <c r="F2333" s="1">
        <v>9</v>
      </c>
      <c r="G2333" s="1">
        <v>9</v>
      </c>
      <c r="H2333" s="1">
        <v>0</v>
      </c>
      <c r="I2333" s="1">
        <v>0</v>
      </c>
      <c r="J2333" s="1">
        <v>4</v>
      </c>
    </row>
    <row r="2334" spans="1:10" x14ac:dyDescent="0.2">
      <c r="A2334" s="1">
        <v>633</v>
      </c>
      <c r="B2334" s="1">
        <v>1</v>
      </c>
      <c r="C2334" s="1">
        <v>6</v>
      </c>
      <c r="D2334" s="1">
        <v>2</v>
      </c>
      <c r="E2334" s="1">
        <v>1</v>
      </c>
      <c r="F2334" s="1">
        <v>9</v>
      </c>
      <c r="G2334" s="1">
        <v>9</v>
      </c>
      <c r="H2334" s="1">
        <v>0</v>
      </c>
      <c r="I2334" s="1">
        <v>1</v>
      </c>
      <c r="J2334" s="1">
        <v>4</v>
      </c>
    </row>
    <row r="2335" spans="1:10" x14ac:dyDescent="0.2">
      <c r="A2335" s="1">
        <v>875</v>
      </c>
      <c r="B2335" s="1">
        <v>1</v>
      </c>
      <c r="C2335" s="1">
        <v>10</v>
      </c>
      <c r="D2335" s="1">
        <v>4</v>
      </c>
      <c r="E2335" s="1">
        <v>1</v>
      </c>
      <c r="F2335" s="1">
        <v>9</v>
      </c>
      <c r="G2335" s="1">
        <v>9</v>
      </c>
      <c r="H2335" s="1">
        <v>0</v>
      </c>
      <c r="I2335" s="1">
        <v>0</v>
      </c>
      <c r="J2335" s="1">
        <v>4</v>
      </c>
    </row>
    <row r="2336" spans="1:10" x14ac:dyDescent="0.2">
      <c r="A2336" s="1">
        <v>1750</v>
      </c>
      <c r="B2336" s="1">
        <v>1</v>
      </c>
      <c r="C2336" s="1">
        <v>12</v>
      </c>
      <c r="D2336" s="1">
        <v>2</v>
      </c>
      <c r="E2336" s="1">
        <v>2</v>
      </c>
      <c r="F2336" s="1">
        <v>9</v>
      </c>
      <c r="G2336" s="1">
        <v>9</v>
      </c>
      <c r="H2336" s="1">
        <v>0</v>
      </c>
      <c r="I2336" s="1">
        <v>0</v>
      </c>
      <c r="J2336" s="1">
        <v>4</v>
      </c>
    </row>
    <row r="2337" spans="1:10" x14ac:dyDescent="0.2">
      <c r="A2337" s="1">
        <v>1931</v>
      </c>
      <c r="B2337" s="1">
        <v>1</v>
      </c>
      <c r="C2337" s="1">
        <v>15</v>
      </c>
      <c r="D2337" s="1">
        <v>3</v>
      </c>
      <c r="E2337" s="1">
        <v>2</v>
      </c>
      <c r="F2337" s="1">
        <v>9</v>
      </c>
      <c r="G2337" s="1">
        <v>9</v>
      </c>
      <c r="H2337" s="1">
        <v>1</v>
      </c>
      <c r="I2337" s="1">
        <v>1</v>
      </c>
      <c r="J2337" s="1">
        <v>4</v>
      </c>
    </row>
    <row r="2338" spans="1:10" x14ac:dyDescent="0.2">
      <c r="A2338" s="1">
        <v>212</v>
      </c>
      <c r="B2338" s="1">
        <v>1</v>
      </c>
      <c r="C2338" s="1">
        <v>9</v>
      </c>
      <c r="D2338" s="1">
        <v>5</v>
      </c>
      <c r="E2338" s="1">
        <v>1</v>
      </c>
      <c r="F2338" s="1">
        <v>10</v>
      </c>
      <c r="G2338" s="1">
        <v>9</v>
      </c>
      <c r="H2338" s="1">
        <v>0</v>
      </c>
      <c r="I2338" s="1">
        <v>2</v>
      </c>
      <c r="J2338" s="1">
        <v>4</v>
      </c>
    </row>
    <row r="2339" spans="1:10" x14ac:dyDescent="0.2">
      <c r="A2339" s="1">
        <v>268</v>
      </c>
      <c r="B2339" s="1">
        <v>1</v>
      </c>
      <c r="C2339" s="1">
        <v>11</v>
      </c>
      <c r="D2339" s="1">
        <v>4</v>
      </c>
      <c r="E2339" s="1">
        <v>1</v>
      </c>
      <c r="F2339" s="1">
        <v>10</v>
      </c>
      <c r="G2339" s="1">
        <v>9</v>
      </c>
      <c r="H2339" s="1">
        <v>1</v>
      </c>
      <c r="I2339" s="1">
        <v>2</v>
      </c>
      <c r="J2339" s="1">
        <v>4</v>
      </c>
    </row>
    <row r="2340" spans="1:10" x14ac:dyDescent="0.2">
      <c r="A2340" s="1">
        <v>1976</v>
      </c>
      <c r="B2340" s="1">
        <v>1</v>
      </c>
      <c r="C2340" s="1">
        <v>16</v>
      </c>
      <c r="D2340" s="1">
        <v>5</v>
      </c>
      <c r="E2340" s="1">
        <v>1</v>
      </c>
      <c r="F2340" s="1">
        <v>10</v>
      </c>
      <c r="G2340" s="1">
        <v>9</v>
      </c>
      <c r="H2340" s="1">
        <v>0</v>
      </c>
      <c r="I2340" s="1">
        <v>1</v>
      </c>
      <c r="J2340" s="1">
        <v>4</v>
      </c>
    </row>
    <row r="2341" spans="1:10" x14ac:dyDescent="0.2">
      <c r="A2341" s="1">
        <v>2158</v>
      </c>
      <c r="B2341" s="1">
        <v>1</v>
      </c>
      <c r="C2341" s="1">
        <v>16</v>
      </c>
      <c r="D2341" s="1">
        <v>2</v>
      </c>
      <c r="E2341" s="1">
        <v>1</v>
      </c>
      <c r="F2341" s="1">
        <v>10</v>
      </c>
      <c r="G2341" s="1">
        <v>9</v>
      </c>
      <c r="H2341" s="1">
        <v>0</v>
      </c>
      <c r="I2341" s="1">
        <v>1</v>
      </c>
      <c r="J2341" s="1">
        <v>4</v>
      </c>
    </row>
    <row r="2342" spans="1:10" x14ac:dyDescent="0.2">
      <c r="A2342" s="1">
        <v>2407</v>
      </c>
      <c r="B2342" s="1">
        <v>1</v>
      </c>
      <c r="C2342" s="1">
        <v>19</v>
      </c>
      <c r="D2342" s="1">
        <v>2</v>
      </c>
      <c r="E2342" s="1">
        <v>2</v>
      </c>
      <c r="F2342" s="1">
        <v>10</v>
      </c>
      <c r="G2342" s="1">
        <v>9</v>
      </c>
      <c r="H2342" s="1">
        <v>1</v>
      </c>
      <c r="I2342" s="1">
        <v>1</v>
      </c>
      <c r="J2342" s="1">
        <v>4</v>
      </c>
    </row>
    <row r="2343" spans="1:10" x14ac:dyDescent="0.2">
      <c r="A2343" s="1">
        <v>1677</v>
      </c>
      <c r="B2343" s="1">
        <v>1</v>
      </c>
      <c r="C2343" s="1">
        <v>13</v>
      </c>
      <c r="D2343" s="1">
        <v>3</v>
      </c>
      <c r="E2343" s="1">
        <v>1</v>
      </c>
      <c r="F2343" s="1">
        <v>1</v>
      </c>
      <c r="G2343" s="1">
        <v>9</v>
      </c>
      <c r="H2343" s="1">
        <v>0</v>
      </c>
      <c r="I2343" s="1">
        <v>3</v>
      </c>
      <c r="J2343" s="1">
        <v>5</v>
      </c>
    </row>
    <row r="2344" spans="1:10" x14ac:dyDescent="0.2">
      <c r="A2344" s="1">
        <v>2474</v>
      </c>
      <c r="B2344" s="1">
        <v>1</v>
      </c>
      <c r="C2344" s="1">
        <v>15</v>
      </c>
      <c r="D2344" s="1">
        <v>5</v>
      </c>
      <c r="E2344" s="1">
        <v>1</v>
      </c>
      <c r="F2344" s="1">
        <v>1</v>
      </c>
      <c r="G2344" s="1">
        <v>9</v>
      </c>
      <c r="H2344" s="1">
        <v>0</v>
      </c>
      <c r="I2344" s="1">
        <v>0</v>
      </c>
      <c r="J2344" s="1">
        <v>5</v>
      </c>
    </row>
    <row r="2345" spans="1:10" x14ac:dyDescent="0.2">
      <c r="A2345" s="1">
        <v>754</v>
      </c>
      <c r="B2345" s="1">
        <v>1</v>
      </c>
      <c r="C2345" s="1">
        <v>16</v>
      </c>
      <c r="D2345" s="1">
        <v>3</v>
      </c>
      <c r="E2345" s="1">
        <v>2</v>
      </c>
      <c r="F2345" s="1">
        <v>1</v>
      </c>
      <c r="G2345" s="1">
        <v>9</v>
      </c>
      <c r="H2345" s="1">
        <v>0</v>
      </c>
      <c r="I2345" s="1">
        <v>0</v>
      </c>
      <c r="J2345" s="1">
        <v>5</v>
      </c>
    </row>
    <row r="2346" spans="1:10" x14ac:dyDescent="0.2">
      <c r="A2346" s="1">
        <v>855</v>
      </c>
      <c r="B2346" s="1">
        <v>1</v>
      </c>
      <c r="C2346" s="1">
        <v>18</v>
      </c>
      <c r="D2346" s="1">
        <v>4</v>
      </c>
      <c r="E2346" s="1">
        <v>3</v>
      </c>
      <c r="F2346" s="1">
        <v>1</v>
      </c>
      <c r="G2346" s="1">
        <v>9</v>
      </c>
      <c r="H2346" s="1">
        <v>0</v>
      </c>
      <c r="I2346" s="1">
        <v>0</v>
      </c>
      <c r="J2346" s="1">
        <v>5</v>
      </c>
    </row>
    <row r="2347" spans="1:10" x14ac:dyDescent="0.2">
      <c r="A2347" s="1">
        <v>450</v>
      </c>
      <c r="B2347" s="1">
        <v>1</v>
      </c>
      <c r="C2347" s="1">
        <v>20</v>
      </c>
      <c r="D2347" s="1">
        <v>3</v>
      </c>
      <c r="E2347" s="1">
        <v>3</v>
      </c>
      <c r="F2347" s="1">
        <v>1</v>
      </c>
      <c r="G2347" s="1">
        <v>9</v>
      </c>
      <c r="H2347" s="1">
        <v>1</v>
      </c>
      <c r="I2347" s="1">
        <v>0</v>
      </c>
      <c r="J2347" s="1">
        <v>5</v>
      </c>
    </row>
    <row r="2348" spans="1:10" x14ac:dyDescent="0.2">
      <c r="A2348" s="1">
        <v>2472</v>
      </c>
      <c r="B2348" s="1">
        <v>1</v>
      </c>
      <c r="C2348" s="1">
        <v>9</v>
      </c>
      <c r="D2348" s="1">
        <v>1</v>
      </c>
      <c r="E2348" s="1">
        <v>1</v>
      </c>
      <c r="F2348" s="1">
        <v>2</v>
      </c>
      <c r="G2348" s="1">
        <v>9</v>
      </c>
      <c r="H2348" s="1">
        <v>0</v>
      </c>
      <c r="I2348" s="1">
        <v>1</v>
      </c>
      <c r="J2348" s="1">
        <v>5</v>
      </c>
    </row>
    <row r="2349" spans="1:10" x14ac:dyDescent="0.2">
      <c r="A2349" s="1">
        <v>2452</v>
      </c>
      <c r="B2349" s="1">
        <v>1</v>
      </c>
      <c r="C2349" s="1">
        <v>11</v>
      </c>
      <c r="D2349" s="1">
        <v>2</v>
      </c>
      <c r="E2349" s="1">
        <v>1</v>
      </c>
      <c r="F2349" s="1">
        <v>2</v>
      </c>
      <c r="G2349" s="1">
        <v>9</v>
      </c>
      <c r="H2349" s="1">
        <v>1</v>
      </c>
      <c r="I2349" s="1">
        <v>2</v>
      </c>
      <c r="J2349" s="1">
        <v>5</v>
      </c>
    </row>
    <row r="2350" spans="1:10" x14ac:dyDescent="0.2">
      <c r="A2350" s="1">
        <v>2309</v>
      </c>
      <c r="B2350" s="1">
        <v>1</v>
      </c>
      <c r="C2350" s="1">
        <v>18</v>
      </c>
      <c r="D2350" s="1">
        <v>5</v>
      </c>
      <c r="E2350" s="1">
        <v>1</v>
      </c>
      <c r="F2350" s="1">
        <v>2</v>
      </c>
      <c r="G2350" s="1">
        <v>9</v>
      </c>
      <c r="H2350" s="1">
        <v>0</v>
      </c>
      <c r="I2350" s="1">
        <v>1</v>
      </c>
      <c r="J2350" s="1">
        <v>5</v>
      </c>
    </row>
    <row r="2351" spans="1:10" x14ac:dyDescent="0.2">
      <c r="A2351" s="1">
        <v>816</v>
      </c>
      <c r="B2351" s="1">
        <v>1</v>
      </c>
      <c r="C2351" s="1">
        <v>7</v>
      </c>
      <c r="D2351" s="1">
        <v>3</v>
      </c>
      <c r="E2351" s="1">
        <v>2</v>
      </c>
      <c r="F2351" s="1">
        <v>2</v>
      </c>
      <c r="G2351" s="1">
        <v>9</v>
      </c>
      <c r="H2351" s="1">
        <v>0</v>
      </c>
      <c r="I2351" s="1">
        <v>0</v>
      </c>
      <c r="J2351" s="1">
        <v>5</v>
      </c>
    </row>
    <row r="2352" spans="1:10" x14ac:dyDescent="0.2">
      <c r="A2352" s="1">
        <v>912</v>
      </c>
      <c r="B2352" s="1">
        <v>1</v>
      </c>
      <c r="C2352" s="1">
        <v>9</v>
      </c>
      <c r="D2352" s="1">
        <v>1</v>
      </c>
      <c r="E2352" s="1">
        <v>2</v>
      </c>
      <c r="F2352" s="1">
        <v>2</v>
      </c>
      <c r="G2352" s="1">
        <v>9</v>
      </c>
      <c r="H2352" s="1">
        <v>1</v>
      </c>
      <c r="I2352" s="1">
        <v>0</v>
      </c>
      <c r="J2352" s="1">
        <v>5</v>
      </c>
    </row>
    <row r="2353" spans="1:10" x14ac:dyDescent="0.2">
      <c r="A2353" s="1">
        <v>88</v>
      </c>
      <c r="B2353" s="1">
        <v>1</v>
      </c>
      <c r="C2353" s="1">
        <v>20</v>
      </c>
      <c r="D2353" s="1">
        <v>4</v>
      </c>
      <c r="E2353" s="1">
        <v>2</v>
      </c>
      <c r="F2353" s="1">
        <v>2</v>
      </c>
      <c r="G2353" s="1">
        <v>9</v>
      </c>
      <c r="H2353" s="1">
        <v>1</v>
      </c>
      <c r="I2353" s="1">
        <v>2</v>
      </c>
      <c r="J2353" s="1">
        <v>5</v>
      </c>
    </row>
    <row r="2354" spans="1:10" x14ac:dyDescent="0.2">
      <c r="A2354" s="1">
        <v>1681</v>
      </c>
      <c r="B2354" s="1">
        <v>1</v>
      </c>
      <c r="C2354" s="1">
        <v>5</v>
      </c>
      <c r="D2354" s="1">
        <v>5</v>
      </c>
      <c r="E2354" s="1">
        <v>2</v>
      </c>
      <c r="F2354" s="1">
        <v>3</v>
      </c>
      <c r="G2354" s="1">
        <v>9</v>
      </c>
      <c r="H2354" s="1">
        <v>1</v>
      </c>
      <c r="I2354" s="1">
        <v>1</v>
      </c>
      <c r="J2354" s="1">
        <v>5</v>
      </c>
    </row>
    <row r="2355" spans="1:10" x14ac:dyDescent="0.2">
      <c r="A2355" s="1">
        <v>1255</v>
      </c>
      <c r="B2355" s="1">
        <v>1</v>
      </c>
      <c r="C2355" s="1">
        <v>8</v>
      </c>
      <c r="D2355" s="1">
        <v>5</v>
      </c>
      <c r="E2355" s="1">
        <v>2</v>
      </c>
      <c r="F2355" s="1">
        <v>3</v>
      </c>
      <c r="G2355" s="1">
        <v>9</v>
      </c>
      <c r="H2355" s="1">
        <v>1</v>
      </c>
      <c r="I2355" s="1">
        <v>2</v>
      </c>
      <c r="J2355" s="1">
        <v>5</v>
      </c>
    </row>
    <row r="2356" spans="1:10" x14ac:dyDescent="0.2">
      <c r="A2356" s="1">
        <v>1856</v>
      </c>
      <c r="B2356" s="1">
        <v>1</v>
      </c>
      <c r="C2356" s="1">
        <v>8</v>
      </c>
      <c r="D2356" s="1">
        <v>3</v>
      </c>
      <c r="E2356" s="1">
        <v>2</v>
      </c>
      <c r="F2356" s="1">
        <v>3</v>
      </c>
      <c r="G2356" s="1">
        <v>9</v>
      </c>
      <c r="H2356" s="1">
        <v>0</v>
      </c>
      <c r="I2356" s="1">
        <v>0</v>
      </c>
      <c r="J2356" s="1">
        <v>5</v>
      </c>
    </row>
    <row r="2357" spans="1:10" x14ac:dyDescent="0.2">
      <c r="A2357" s="1">
        <v>1149</v>
      </c>
      <c r="B2357" s="1">
        <v>1</v>
      </c>
      <c r="C2357" s="1">
        <v>9</v>
      </c>
      <c r="D2357" s="1">
        <v>5</v>
      </c>
      <c r="E2357" s="1">
        <v>2</v>
      </c>
      <c r="F2357" s="1">
        <v>3</v>
      </c>
      <c r="G2357" s="1">
        <v>9</v>
      </c>
      <c r="H2357" s="1">
        <v>0</v>
      </c>
      <c r="I2357" s="1">
        <v>0</v>
      </c>
      <c r="J2357" s="1">
        <v>5</v>
      </c>
    </row>
    <row r="2358" spans="1:10" x14ac:dyDescent="0.2">
      <c r="A2358" s="1">
        <v>1623</v>
      </c>
      <c r="B2358" s="1">
        <v>1</v>
      </c>
      <c r="C2358" s="1">
        <v>11</v>
      </c>
      <c r="D2358" s="1">
        <v>3</v>
      </c>
      <c r="E2358" s="1">
        <v>2</v>
      </c>
      <c r="F2358" s="1">
        <v>3</v>
      </c>
      <c r="G2358" s="1">
        <v>9</v>
      </c>
      <c r="H2358" s="1">
        <v>1</v>
      </c>
      <c r="I2358" s="1">
        <v>2</v>
      </c>
      <c r="J2358" s="1">
        <v>5</v>
      </c>
    </row>
    <row r="2359" spans="1:10" x14ac:dyDescent="0.2">
      <c r="A2359" s="1">
        <v>627</v>
      </c>
      <c r="B2359" s="1">
        <v>1</v>
      </c>
      <c r="C2359" s="1">
        <v>15</v>
      </c>
      <c r="D2359" s="1">
        <v>3</v>
      </c>
      <c r="E2359" s="1">
        <v>2</v>
      </c>
      <c r="F2359" s="1">
        <v>3</v>
      </c>
      <c r="G2359" s="1">
        <v>9</v>
      </c>
      <c r="H2359" s="1">
        <v>0</v>
      </c>
      <c r="I2359" s="1">
        <v>2</v>
      </c>
      <c r="J2359" s="1">
        <v>5</v>
      </c>
    </row>
    <row r="2360" spans="1:10" x14ac:dyDescent="0.2">
      <c r="A2360" s="1">
        <v>1201</v>
      </c>
      <c r="B2360" s="1">
        <v>1</v>
      </c>
      <c r="C2360" s="1">
        <v>15</v>
      </c>
      <c r="D2360" s="1">
        <v>5</v>
      </c>
      <c r="E2360" s="1">
        <v>2</v>
      </c>
      <c r="F2360" s="1">
        <v>3</v>
      </c>
      <c r="G2360" s="1">
        <v>9</v>
      </c>
      <c r="H2360" s="1">
        <v>1</v>
      </c>
      <c r="I2360" s="1">
        <v>3</v>
      </c>
      <c r="J2360" s="1">
        <v>5</v>
      </c>
    </row>
    <row r="2361" spans="1:10" x14ac:dyDescent="0.2">
      <c r="A2361" s="1">
        <v>949</v>
      </c>
      <c r="B2361" s="1">
        <v>1</v>
      </c>
      <c r="C2361" s="1">
        <v>15</v>
      </c>
      <c r="D2361" s="1">
        <v>3</v>
      </c>
      <c r="E2361" s="1">
        <v>1</v>
      </c>
      <c r="F2361" s="1">
        <v>4</v>
      </c>
      <c r="G2361" s="1">
        <v>9</v>
      </c>
      <c r="H2361" s="1">
        <v>0</v>
      </c>
      <c r="I2361" s="1">
        <v>3</v>
      </c>
      <c r="J2361" s="1">
        <v>5</v>
      </c>
    </row>
    <row r="2362" spans="1:10" x14ac:dyDescent="0.2">
      <c r="A2362" s="1">
        <v>1333</v>
      </c>
      <c r="B2362" s="1">
        <v>1</v>
      </c>
      <c r="C2362" s="1">
        <v>7</v>
      </c>
      <c r="D2362" s="1">
        <v>5</v>
      </c>
      <c r="E2362" s="1">
        <v>2</v>
      </c>
      <c r="F2362" s="1">
        <v>4</v>
      </c>
      <c r="G2362" s="1">
        <v>9</v>
      </c>
      <c r="H2362" s="1">
        <v>0</v>
      </c>
      <c r="I2362" s="1">
        <v>0</v>
      </c>
      <c r="J2362" s="1">
        <v>5</v>
      </c>
    </row>
    <row r="2363" spans="1:10" x14ac:dyDescent="0.2">
      <c r="A2363" s="1">
        <v>1943</v>
      </c>
      <c r="B2363" s="1">
        <v>1</v>
      </c>
      <c r="C2363" s="1">
        <v>7</v>
      </c>
      <c r="D2363" s="1">
        <v>5</v>
      </c>
      <c r="E2363" s="1">
        <v>2</v>
      </c>
      <c r="F2363" s="1">
        <v>4</v>
      </c>
      <c r="G2363" s="1">
        <v>9</v>
      </c>
      <c r="H2363" s="1">
        <v>1</v>
      </c>
      <c r="I2363" s="1">
        <v>2</v>
      </c>
      <c r="J2363" s="1">
        <v>5</v>
      </c>
    </row>
    <row r="2364" spans="1:10" x14ac:dyDescent="0.2">
      <c r="A2364" s="1">
        <v>980</v>
      </c>
      <c r="B2364" s="1">
        <v>1</v>
      </c>
      <c r="C2364" s="1">
        <v>11</v>
      </c>
      <c r="D2364" s="1">
        <v>1</v>
      </c>
      <c r="E2364" s="1">
        <v>2</v>
      </c>
      <c r="F2364" s="1">
        <v>4</v>
      </c>
      <c r="G2364" s="1">
        <v>9</v>
      </c>
      <c r="H2364" s="1">
        <v>1</v>
      </c>
      <c r="I2364" s="1">
        <v>3</v>
      </c>
      <c r="J2364" s="1">
        <v>5</v>
      </c>
    </row>
    <row r="2365" spans="1:10" x14ac:dyDescent="0.2">
      <c r="A2365" s="1">
        <v>1095</v>
      </c>
      <c r="B2365" s="1">
        <v>1</v>
      </c>
      <c r="C2365" s="1">
        <v>17</v>
      </c>
      <c r="D2365" s="1">
        <v>3</v>
      </c>
      <c r="E2365" s="1">
        <v>2</v>
      </c>
      <c r="F2365" s="1">
        <v>4</v>
      </c>
      <c r="G2365" s="1">
        <v>9</v>
      </c>
      <c r="H2365" s="1">
        <v>1</v>
      </c>
      <c r="I2365" s="1">
        <v>0</v>
      </c>
      <c r="J2365" s="1">
        <v>5</v>
      </c>
    </row>
    <row r="2366" spans="1:10" x14ac:dyDescent="0.2">
      <c r="A2366" s="1">
        <v>1650</v>
      </c>
      <c r="B2366" s="1">
        <v>1</v>
      </c>
      <c r="C2366" s="1">
        <v>18</v>
      </c>
      <c r="D2366" s="1">
        <v>2</v>
      </c>
      <c r="E2366" s="1">
        <v>2</v>
      </c>
      <c r="F2366" s="1">
        <v>4</v>
      </c>
      <c r="G2366" s="1">
        <v>9</v>
      </c>
      <c r="H2366" s="1">
        <v>0</v>
      </c>
      <c r="I2366" s="1">
        <v>1</v>
      </c>
      <c r="J2366" s="1">
        <v>5</v>
      </c>
    </row>
    <row r="2367" spans="1:10" x14ac:dyDescent="0.2">
      <c r="A2367" s="1">
        <v>1869</v>
      </c>
      <c r="B2367" s="1">
        <v>1</v>
      </c>
      <c r="C2367" s="1">
        <v>20</v>
      </c>
      <c r="D2367" s="1">
        <v>2</v>
      </c>
      <c r="E2367" s="1">
        <v>2</v>
      </c>
      <c r="F2367" s="1">
        <v>4</v>
      </c>
      <c r="G2367" s="1">
        <v>9</v>
      </c>
      <c r="H2367" s="1">
        <v>1</v>
      </c>
      <c r="I2367" s="1">
        <v>0</v>
      </c>
      <c r="J2367" s="1">
        <v>5</v>
      </c>
    </row>
    <row r="2368" spans="1:10" x14ac:dyDescent="0.2">
      <c r="A2368" s="1">
        <v>308</v>
      </c>
      <c r="B2368" s="1">
        <v>1</v>
      </c>
      <c r="C2368" s="1">
        <v>12</v>
      </c>
      <c r="D2368" s="1">
        <v>5</v>
      </c>
      <c r="E2368" s="1">
        <v>1</v>
      </c>
      <c r="F2368" s="1">
        <v>5</v>
      </c>
      <c r="G2368" s="1">
        <v>9</v>
      </c>
      <c r="H2368" s="1">
        <v>1</v>
      </c>
      <c r="I2368" s="1">
        <v>0</v>
      </c>
      <c r="J2368" s="1">
        <v>5</v>
      </c>
    </row>
    <row r="2369" spans="1:10" x14ac:dyDescent="0.2">
      <c r="A2369" s="1">
        <v>1162</v>
      </c>
      <c r="B2369" s="1">
        <v>1</v>
      </c>
      <c r="C2369" s="1">
        <v>14</v>
      </c>
      <c r="D2369" s="1">
        <v>1</v>
      </c>
      <c r="E2369" s="1">
        <v>2</v>
      </c>
      <c r="F2369" s="1">
        <v>5</v>
      </c>
      <c r="G2369" s="1">
        <v>9</v>
      </c>
      <c r="H2369" s="1">
        <v>1</v>
      </c>
      <c r="I2369" s="1">
        <v>0</v>
      </c>
      <c r="J2369" s="1">
        <v>5</v>
      </c>
    </row>
    <row r="2370" spans="1:10" x14ac:dyDescent="0.2">
      <c r="A2370" s="1">
        <v>399</v>
      </c>
      <c r="B2370" s="1">
        <v>1</v>
      </c>
      <c r="C2370" s="1">
        <v>20</v>
      </c>
      <c r="D2370" s="1">
        <v>2</v>
      </c>
      <c r="E2370" s="1">
        <v>2</v>
      </c>
      <c r="F2370" s="1">
        <v>5</v>
      </c>
      <c r="G2370" s="1">
        <v>9</v>
      </c>
      <c r="H2370" s="1">
        <v>1</v>
      </c>
      <c r="I2370" s="1">
        <v>0</v>
      </c>
      <c r="J2370" s="1">
        <v>5</v>
      </c>
    </row>
    <row r="2371" spans="1:10" x14ac:dyDescent="0.2">
      <c r="A2371" s="1">
        <v>85</v>
      </c>
      <c r="B2371" s="1">
        <v>1</v>
      </c>
      <c r="C2371" s="1">
        <v>6</v>
      </c>
      <c r="D2371" s="1">
        <v>3</v>
      </c>
      <c r="E2371" s="1">
        <v>3</v>
      </c>
      <c r="F2371" s="1">
        <v>5</v>
      </c>
      <c r="G2371" s="1">
        <v>9</v>
      </c>
      <c r="H2371" s="1">
        <v>0</v>
      </c>
      <c r="I2371" s="1">
        <v>3</v>
      </c>
      <c r="J2371" s="1">
        <v>5</v>
      </c>
    </row>
    <row r="2372" spans="1:10" x14ac:dyDescent="0.2">
      <c r="A2372" s="1">
        <v>1625</v>
      </c>
      <c r="B2372" s="1">
        <v>1</v>
      </c>
      <c r="C2372" s="1">
        <v>7</v>
      </c>
      <c r="D2372" s="1">
        <v>5</v>
      </c>
      <c r="E2372" s="1">
        <v>1</v>
      </c>
      <c r="F2372" s="1">
        <v>6</v>
      </c>
      <c r="G2372" s="1">
        <v>9</v>
      </c>
      <c r="H2372" s="1">
        <v>0</v>
      </c>
      <c r="I2372" s="1">
        <v>0</v>
      </c>
      <c r="J2372" s="1">
        <v>5</v>
      </c>
    </row>
    <row r="2373" spans="1:10" x14ac:dyDescent="0.2">
      <c r="A2373" s="1">
        <v>2295</v>
      </c>
      <c r="B2373" s="1">
        <v>1</v>
      </c>
      <c r="C2373" s="1">
        <v>20</v>
      </c>
      <c r="D2373" s="1">
        <v>5</v>
      </c>
      <c r="E2373" s="1">
        <v>1</v>
      </c>
      <c r="F2373" s="1">
        <v>6</v>
      </c>
      <c r="G2373" s="1">
        <v>9</v>
      </c>
      <c r="H2373" s="1">
        <v>0</v>
      </c>
      <c r="I2373" s="1">
        <v>3</v>
      </c>
      <c r="J2373" s="1">
        <v>5</v>
      </c>
    </row>
    <row r="2374" spans="1:10" x14ac:dyDescent="0.2">
      <c r="A2374" s="1">
        <v>164</v>
      </c>
      <c r="B2374" s="1">
        <v>1</v>
      </c>
      <c r="C2374" s="1">
        <v>9</v>
      </c>
      <c r="D2374" s="1">
        <v>1</v>
      </c>
      <c r="E2374" s="1">
        <v>2</v>
      </c>
      <c r="F2374" s="1">
        <v>6</v>
      </c>
      <c r="G2374" s="1">
        <v>9</v>
      </c>
      <c r="H2374" s="1">
        <v>0</v>
      </c>
      <c r="I2374" s="1">
        <v>1</v>
      </c>
      <c r="J2374" s="1">
        <v>5</v>
      </c>
    </row>
    <row r="2375" spans="1:10" x14ac:dyDescent="0.2">
      <c r="A2375" s="1">
        <v>2218</v>
      </c>
      <c r="B2375" s="1">
        <v>1</v>
      </c>
      <c r="C2375" s="1">
        <v>16</v>
      </c>
      <c r="D2375" s="1">
        <v>5</v>
      </c>
      <c r="E2375" s="1">
        <v>2</v>
      </c>
      <c r="F2375" s="1">
        <v>6</v>
      </c>
      <c r="G2375" s="1">
        <v>9</v>
      </c>
      <c r="H2375" s="1">
        <v>0</v>
      </c>
      <c r="I2375" s="1">
        <v>0</v>
      </c>
      <c r="J2375" s="1">
        <v>5</v>
      </c>
    </row>
    <row r="2376" spans="1:10" x14ac:dyDescent="0.2">
      <c r="A2376" s="1">
        <v>1607</v>
      </c>
      <c r="B2376" s="1">
        <v>1</v>
      </c>
      <c r="C2376" s="1">
        <v>17</v>
      </c>
      <c r="D2376" s="1">
        <v>1</v>
      </c>
      <c r="E2376" s="1">
        <v>2</v>
      </c>
      <c r="F2376" s="1">
        <v>6</v>
      </c>
      <c r="G2376" s="1">
        <v>9</v>
      </c>
      <c r="H2376" s="1">
        <v>0</v>
      </c>
      <c r="I2376" s="1">
        <v>0</v>
      </c>
      <c r="J2376" s="1">
        <v>5</v>
      </c>
    </row>
    <row r="2377" spans="1:10" x14ac:dyDescent="0.2">
      <c r="A2377" s="1">
        <v>2439</v>
      </c>
      <c r="B2377" s="1">
        <v>1</v>
      </c>
      <c r="C2377" s="1">
        <v>18</v>
      </c>
      <c r="D2377" s="1">
        <v>4</v>
      </c>
      <c r="E2377" s="1">
        <v>2</v>
      </c>
      <c r="F2377" s="1">
        <v>6</v>
      </c>
      <c r="G2377" s="1">
        <v>9</v>
      </c>
      <c r="H2377" s="1">
        <v>1</v>
      </c>
      <c r="I2377" s="1">
        <v>2</v>
      </c>
      <c r="J2377" s="1">
        <v>5</v>
      </c>
    </row>
    <row r="2378" spans="1:10" x14ac:dyDescent="0.2">
      <c r="A2378" s="1">
        <v>136</v>
      </c>
      <c r="B2378" s="1">
        <v>1</v>
      </c>
      <c r="C2378" s="1">
        <v>5</v>
      </c>
      <c r="D2378" s="1">
        <v>4</v>
      </c>
      <c r="E2378" s="1">
        <v>3</v>
      </c>
      <c r="F2378" s="1">
        <v>6</v>
      </c>
      <c r="G2378" s="1">
        <v>9</v>
      </c>
      <c r="H2378" s="1">
        <v>1</v>
      </c>
      <c r="I2378" s="1">
        <v>2</v>
      </c>
      <c r="J2378" s="1">
        <v>5</v>
      </c>
    </row>
    <row r="2379" spans="1:10" x14ac:dyDescent="0.2">
      <c r="A2379" s="1">
        <v>1272</v>
      </c>
      <c r="B2379" s="1">
        <v>1</v>
      </c>
      <c r="C2379" s="1">
        <v>13</v>
      </c>
      <c r="D2379" s="1">
        <v>5</v>
      </c>
      <c r="E2379" s="1">
        <v>3</v>
      </c>
      <c r="F2379" s="1">
        <v>6</v>
      </c>
      <c r="G2379" s="1">
        <v>9</v>
      </c>
      <c r="H2379" s="1">
        <v>0</v>
      </c>
      <c r="I2379" s="1">
        <v>3</v>
      </c>
      <c r="J2379" s="1">
        <v>5</v>
      </c>
    </row>
    <row r="2380" spans="1:10" x14ac:dyDescent="0.2">
      <c r="A2380" s="1">
        <v>2053</v>
      </c>
      <c r="B2380" s="1">
        <v>1</v>
      </c>
      <c r="C2380" s="1">
        <v>19</v>
      </c>
      <c r="D2380" s="1">
        <v>2</v>
      </c>
      <c r="E2380" s="1">
        <v>1</v>
      </c>
      <c r="F2380" s="1">
        <v>7</v>
      </c>
      <c r="G2380" s="1">
        <v>9</v>
      </c>
      <c r="H2380" s="1">
        <v>1</v>
      </c>
      <c r="I2380" s="1">
        <v>3</v>
      </c>
      <c r="J2380" s="1">
        <v>5</v>
      </c>
    </row>
    <row r="2381" spans="1:10" x14ac:dyDescent="0.2">
      <c r="A2381" s="1">
        <v>467</v>
      </c>
      <c r="B2381" s="1">
        <v>1</v>
      </c>
      <c r="C2381" s="1">
        <v>8</v>
      </c>
      <c r="D2381" s="1">
        <v>5</v>
      </c>
      <c r="E2381" s="1">
        <v>2</v>
      </c>
      <c r="F2381" s="1">
        <v>7</v>
      </c>
      <c r="G2381" s="1">
        <v>9</v>
      </c>
      <c r="H2381" s="1">
        <v>0</v>
      </c>
      <c r="I2381" s="1">
        <v>1</v>
      </c>
      <c r="J2381" s="1">
        <v>5</v>
      </c>
    </row>
    <row r="2382" spans="1:10" x14ac:dyDescent="0.2">
      <c r="A2382" s="1">
        <v>1019</v>
      </c>
      <c r="B2382" s="1">
        <v>1</v>
      </c>
      <c r="C2382" s="1">
        <v>10</v>
      </c>
      <c r="D2382" s="1">
        <v>1</v>
      </c>
      <c r="E2382" s="1">
        <v>2</v>
      </c>
      <c r="F2382" s="1">
        <v>7</v>
      </c>
      <c r="G2382" s="1">
        <v>9</v>
      </c>
      <c r="H2382" s="1">
        <v>1</v>
      </c>
      <c r="I2382" s="1">
        <v>3</v>
      </c>
      <c r="J2382" s="1">
        <v>5</v>
      </c>
    </row>
    <row r="2383" spans="1:10" x14ac:dyDescent="0.2">
      <c r="A2383" s="1">
        <v>372</v>
      </c>
      <c r="B2383" s="1">
        <v>1</v>
      </c>
      <c r="C2383" s="1">
        <v>16</v>
      </c>
      <c r="D2383" s="1">
        <v>1</v>
      </c>
      <c r="E2383" s="1">
        <v>2</v>
      </c>
      <c r="F2383" s="1">
        <v>7</v>
      </c>
      <c r="G2383" s="1">
        <v>9</v>
      </c>
      <c r="H2383" s="1">
        <v>0</v>
      </c>
      <c r="I2383" s="1">
        <v>0</v>
      </c>
      <c r="J2383" s="1">
        <v>5</v>
      </c>
    </row>
    <row r="2384" spans="1:10" x14ac:dyDescent="0.2">
      <c r="A2384" s="1">
        <v>1534</v>
      </c>
      <c r="B2384" s="1">
        <v>1</v>
      </c>
      <c r="C2384" s="1">
        <v>19</v>
      </c>
      <c r="D2384" s="1">
        <v>5</v>
      </c>
      <c r="E2384" s="1">
        <v>2</v>
      </c>
      <c r="F2384" s="1">
        <v>7</v>
      </c>
      <c r="G2384" s="1">
        <v>9</v>
      </c>
      <c r="H2384" s="1">
        <v>1</v>
      </c>
      <c r="I2384" s="1">
        <v>0</v>
      </c>
      <c r="J2384" s="1">
        <v>5</v>
      </c>
    </row>
    <row r="2385" spans="1:10" x14ac:dyDescent="0.2">
      <c r="A2385" s="1">
        <v>1076</v>
      </c>
      <c r="B2385" s="1">
        <v>1</v>
      </c>
      <c r="C2385" s="1">
        <v>20</v>
      </c>
      <c r="D2385" s="1">
        <v>4</v>
      </c>
      <c r="E2385" s="1">
        <v>3</v>
      </c>
      <c r="F2385" s="1">
        <v>7</v>
      </c>
      <c r="G2385" s="1">
        <v>9</v>
      </c>
      <c r="H2385" s="1">
        <v>1</v>
      </c>
      <c r="I2385" s="1">
        <v>0</v>
      </c>
      <c r="J2385" s="1">
        <v>5</v>
      </c>
    </row>
    <row r="2386" spans="1:10" x14ac:dyDescent="0.2">
      <c r="A2386" s="1">
        <v>1216</v>
      </c>
      <c r="B2386" s="1">
        <v>1</v>
      </c>
      <c r="C2386" s="1">
        <v>17</v>
      </c>
      <c r="D2386" s="1">
        <v>2</v>
      </c>
      <c r="E2386" s="1">
        <v>1</v>
      </c>
      <c r="F2386" s="1">
        <v>8</v>
      </c>
      <c r="G2386" s="1">
        <v>9</v>
      </c>
      <c r="H2386" s="1">
        <v>1</v>
      </c>
      <c r="I2386" s="1">
        <v>1</v>
      </c>
      <c r="J2386" s="1">
        <v>5</v>
      </c>
    </row>
    <row r="2387" spans="1:10" x14ac:dyDescent="0.2">
      <c r="A2387" s="1">
        <v>2177</v>
      </c>
      <c r="B2387" s="1">
        <v>1</v>
      </c>
      <c r="C2387" s="1">
        <v>20</v>
      </c>
      <c r="D2387" s="1">
        <v>2</v>
      </c>
      <c r="E2387" s="1">
        <v>2</v>
      </c>
      <c r="F2387" s="1">
        <v>8</v>
      </c>
      <c r="G2387" s="1">
        <v>9</v>
      </c>
      <c r="H2387" s="1">
        <v>1</v>
      </c>
      <c r="I2387" s="1">
        <v>0</v>
      </c>
      <c r="J2387" s="1">
        <v>5</v>
      </c>
    </row>
    <row r="2388" spans="1:10" x14ac:dyDescent="0.2">
      <c r="A2388" s="1">
        <v>2288</v>
      </c>
      <c r="B2388" s="1">
        <v>1</v>
      </c>
      <c r="C2388" s="1">
        <v>11</v>
      </c>
      <c r="D2388" s="1">
        <v>1</v>
      </c>
      <c r="E2388" s="1">
        <v>3</v>
      </c>
      <c r="F2388" s="1">
        <v>8</v>
      </c>
      <c r="G2388" s="1">
        <v>9</v>
      </c>
      <c r="H2388" s="1">
        <v>0</v>
      </c>
      <c r="I2388" s="1">
        <v>2</v>
      </c>
      <c r="J2388" s="1">
        <v>5</v>
      </c>
    </row>
    <row r="2389" spans="1:10" x14ac:dyDescent="0.2">
      <c r="A2389" s="1">
        <v>333</v>
      </c>
      <c r="B2389" s="1">
        <v>1</v>
      </c>
      <c r="C2389" s="1">
        <v>5</v>
      </c>
      <c r="D2389" s="1">
        <v>4</v>
      </c>
      <c r="E2389" s="1">
        <v>1</v>
      </c>
      <c r="F2389" s="1">
        <v>9</v>
      </c>
      <c r="G2389" s="1">
        <v>9</v>
      </c>
      <c r="H2389" s="1">
        <v>0</v>
      </c>
      <c r="I2389" s="1">
        <v>0</v>
      </c>
      <c r="J2389" s="1">
        <v>5</v>
      </c>
    </row>
    <row r="2390" spans="1:10" x14ac:dyDescent="0.2">
      <c r="A2390" s="1">
        <v>2340</v>
      </c>
      <c r="B2390" s="1">
        <v>1</v>
      </c>
      <c r="C2390" s="1">
        <v>9</v>
      </c>
      <c r="D2390" s="1">
        <v>5</v>
      </c>
      <c r="E2390" s="1">
        <v>2</v>
      </c>
      <c r="F2390" s="1">
        <v>9</v>
      </c>
      <c r="G2390" s="1">
        <v>9</v>
      </c>
      <c r="H2390" s="1">
        <v>0</v>
      </c>
      <c r="I2390" s="1">
        <v>1</v>
      </c>
      <c r="J2390" s="1">
        <v>5</v>
      </c>
    </row>
    <row r="2391" spans="1:10" x14ac:dyDescent="0.2">
      <c r="A2391" s="1">
        <v>1636</v>
      </c>
      <c r="B2391" s="1">
        <v>1</v>
      </c>
      <c r="C2391" s="1">
        <v>13</v>
      </c>
      <c r="D2391" s="1">
        <v>3</v>
      </c>
      <c r="E2391" s="1">
        <v>3</v>
      </c>
      <c r="F2391" s="1">
        <v>9</v>
      </c>
      <c r="G2391" s="1">
        <v>9</v>
      </c>
      <c r="H2391" s="1">
        <v>1</v>
      </c>
      <c r="I2391" s="1">
        <v>0</v>
      </c>
      <c r="J2391" s="1">
        <v>5</v>
      </c>
    </row>
    <row r="2392" spans="1:10" x14ac:dyDescent="0.2">
      <c r="A2392" s="1">
        <v>1277</v>
      </c>
      <c r="B2392" s="1">
        <v>1</v>
      </c>
      <c r="C2392" s="1">
        <v>10</v>
      </c>
      <c r="D2392" s="1">
        <v>2</v>
      </c>
      <c r="E2392" s="1">
        <v>1</v>
      </c>
      <c r="F2392" s="1">
        <v>10</v>
      </c>
      <c r="G2392" s="1">
        <v>9</v>
      </c>
      <c r="H2392" s="1">
        <v>1</v>
      </c>
      <c r="I2392" s="1">
        <v>3</v>
      </c>
      <c r="J2392" s="1">
        <v>5</v>
      </c>
    </row>
    <row r="2393" spans="1:10" x14ac:dyDescent="0.2">
      <c r="A2393" s="1">
        <v>780</v>
      </c>
      <c r="B2393" s="1">
        <v>1</v>
      </c>
      <c r="C2393" s="1">
        <v>15</v>
      </c>
      <c r="D2393" s="1">
        <v>3</v>
      </c>
      <c r="E2393" s="1">
        <v>1</v>
      </c>
      <c r="F2393" s="1">
        <v>10</v>
      </c>
      <c r="G2393" s="1">
        <v>9</v>
      </c>
      <c r="H2393" s="1">
        <v>0</v>
      </c>
      <c r="I2393" s="1">
        <v>2</v>
      </c>
      <c r="J2393" s="1">
        <v>5</v>
      </c>
    </row>
    <row r="2394" spans="1:10" x14ac:dyDescent="0.2">
      <c r="A2394" s="1">
        <v>730</v>
      </c>
      <c r="B2394" s="1">
        <v>1</v>
      </c>
      <c r="C2394" s="1">
        <v>9</v>
      </c>
      <c r="D2394" s="1">
        <v>1</v>
      </c>
      <c r="E2394" s="1">
        <v>2</v>
      </c>
      <c r="F2394" s="1">
        <v>10</v>
      </c>
      <c r="G2394" s="1">
        <v>9</v>
      </c>
      <c r="H2394" s="1">
        <v>0</v>
      </c>
      <c r="I2394" s="1">
        <v>0</v>
      </c>
      <c r="J2394" s="1">
        <v>5</v>
      </c>
    </row>
    <row r="2395" spans="1:10" x14ac:dyDescent="0.2">
      <c r="A2395" s="1">
        <v>2253</v>
      </c>
      <c r="B2395" s="1">
        <v>1</v>
      </c>
      <c r="C2395" s="1">
        <v>8</v>
      </c>
      <c r="D2395" s="1">
        <v>2</v>
      </c>
      <c r="E2395" s="1">
        <v>3</v>
      </c>
      <c r="F2395" s="1">
        <v>10</v>
      </c>
      <c r="G2395" s="1">
        <v>9</v>
      </c>
      <c r="H2395" s="1">
        <v>1</v>
      </c>
      <c r="I2395" s="1">
        <v>3</v>
      </c>
      <c r="J2395" s="1">
        <v>5</v>
      </c>
    </row>
    <row r="2396" spans="1:10" x14ac:dyDescent="0.2">
      <c r="A2396" s="1">
        <v>155</v>
      </c>
      <c r="B2396" s="1">
        <v>1</v>
      </c>
      <c r="C2396" s="1">
        <v>14</v>
      </c>
      <c r="D2396" s="1">
        <v>2</v>
      </c>
      <c r="E2396" s="1">
        <v>3</v>
      </c>
      <c r="F2396" s="1">
        <v>10</v>
      </c>
      <c r="G2396" s="1">
        <v>9</v>
      </c>
      <c r="H2396" s="1">
        <v>1</v>
      </c>
      <c r="I2396" s="1">
        <v>3</v>
      </c>
      <c r="J2396" s="1">
        <v>5</v>
      </c>
    </row>
    <row r="2397" spans="1:10" x14ac:dyDescent="0.2">
      <c r="A2397" s="1">
        <v>1056</v>
      </c>
      <c r="B2397" s="1">
        <v>1</v>
      </c>
      <c r="C2397" s="1">
        <v>15</v>
      </c>
      <c r="D2397" s="1">
        <v>2</v>
      </c>
      <c r="E2397" s="1">
        <v>3</v>
      </c>
      <c r="F2397" s="1">
        <v>10</v>
      </c>
      <c r="G2397" s="1">
        <v>9</v>
      </c>
      <c r="H2397" s="1">
        <v>0</v>
      </c>
      <c r="I2397" s="1">
        <v>3</v>
      </c>
      <c r="J2397" s="1">
        <v>5</v>
      </c>
    </row>
    <row r="2398" spans="1:10" x14ac:dyDescent="0.2">
      <c r="A2398" s="1">
        <v>868</v>
      </c>
      <c r="B2398" s="1">
        <v>1</v>
      </c>
      <c r="C2398" s="1">
        <v>16</v>
      </c>
      <c r="D2398" s="1">
        <v>3</v>
      </c>
      <c r="E2398" s="1">
        <v>3</v>
      </c>
      <c r="F2398" s="1">
        <v>10</v>
      </c>
      <c r="G2398" s="1">
        <v>9</v>
      </c>
      <c r="H2398" s="1">
        <v>0</v>
      </c>
      <c r="I2398" s="1">
        <v>2</v>
      </c>
      <c r="J2398" s="1">
        <v>5</v>
      </c>
    </row>
    <row r="2399" spans="1:10" x14ac:dyDescent="0.2">
      <c r="A2399" s="1">
        <v>1731</v>
      </c>
      <c r="B2399" s="1">
        <v>1</v>
      </c>
      <c r="C2399" s="1">
        <v>13</v>
      </c>
      <c r="D2399" s="1">
        <v>1</v>
      </c>
      <c r="E2399" s="1">
        <v>1</v>
      </c>
      <c r="F2399" s="1">
        <v>10</v>
      </c>
      <c r="G2399" s="1">
        <v>10</v>
      </c>
      <c r="H2399" s="1">
        <v>0</v>
      </c>
      <c r="I2399" s="1">
        <v>0</v>
      </c>
      <c r="J2399" s="1">
        <v>1</v>
      </c>
    </row>
    <row r="2400" spans="1:10" x14ac:dyDescent="0.2">
      <c r="A2400" s="1">
        <v>476</v>
      </c>
      <c r="B2400" s="1">
        <v>1</v>
      </c>
      <c r="C2400" s="1">
        <v>15</v>
      </c>
      <c r="D2400" s="1">
        <v>1</v>
      </c>
      <c r="E2400" s="1">
        <v>1</v>
      </c>
      <c r="F2400" s="1">
        <v>7</v>
      </c>
      <c r="G2400" s="1">
        <v>10</v>
      </c>
      <c r="H2400" s="1">
        <v>0</v>
      </c>
      <c r="I2400" s="1">
        <v>0</v>
      </c>
      <c r="J2400" s="1">
        <v>2</v>
      </c>
    </row>
    <row r="2401" spans="1:10" x14ac:dyDescent="0.2">
      <c r="A2401" s="1">
        <v>901</v>
      </c>
      <c r="B2401" s="1">
        <v>1</v>
      </c>
      <c r="C2401" s="1">
        <v>6</v>
      </c>
      <c r="D2401" s="1">
        <v>4</v>
      </c>
      <c r="E2401" s="1">
        <v>1</v>
      </c>
      <c r="F2401" s="1">
        <v>8</v>
      </c>
      <c r="G2401" s="1">
        <v>10</v>
      </c>
      <c r="H2401" s="1">
        <v>1</v>
      </c>
      <c r="I2401" s="1">
        <v>2</v>
      </c>
      <c r="J2401" s="1">
        <v>2</v>
      </c>
    </row>
    <row r="2402" spans="1:10" x14ac:dyDescent="0.2">
      <c r="A2402" s="1">
        <v>176</v>
      </c>
      <c r="B2402" s="1">
        <v>1</v>
      </c>
      <c r="C2402" s="1">
        <v>10</v>
      </c>
      <c r="D2402" s="1">
        <v>1</v>
      </c>
      <c r="E2402" s="1">
        <v>1</v>
      </c>
      <c r="F2402" s="1">
        <v>8</v>
      </c>
      <c r="G2402" s="1">
        <v>10</v>
      </c>
      <c r="H2402" s="1">
        <v>0</v>
      </c>
      <c r="I2402" s="1">
        <v>0</v>
      </c>
      <c r="J2402" s="1">
        <v>2</v>
      </c>
    </row>
    <row r="2403" spans="1:10" x14ac:dyDescent="0.2">
      <c r="A2403" s="1">
        <v>2111</v>
      </c>
      <c r="B2403" s="1">
        <v>1</v>
      </c>
      <c r="C2403" s="1">
        <v>13</v>
      </c>
      <c r="D2403" s="1">
        <v>2</v>
      </c>
      <c r="E2403" s="1">
        <v>1</v>
      </c>
      <c r="F2403" s="1">
        <v>8</v>
      </c>
      <c r="G2403" s="1">
        <v>10</v>
      </c>
      <c r="H2403" s="1">
        <v>0</v>
      </c>
      <c r="I2403" s="1">
        <v>1</v>
      </c>
      <c r="J2403" s="1">
        <v>2</v>
      </c>
    </row>
    <row r="2404" spans="1:10" x14ac:dyDescent="0.2">
      <c r="A2404" s="1">
        <v>146</v>
      </c>
      <c r="B2404" s="1">
        <v>1</v>
      </c>
      <c r="C2404" s="1">
        <v>17</v>
      </c>
      <c r="D2404" s="1">
        <v>4</v>
      </c>
      <c r="E2404" s="1">
        <v>1</v>
      </c>
      <c r="F2404" s="1">
        <v>8</v>
      </c>
      <c r="G2404" s="1">
        <v>10</v>
      </c>
      <c r="H2404" s="1">
        <v>0</v>
      </c>
      <c r="I2404" s="1">
        <v>0</v>
      </c>
      <c r="J2404" s="1">
        <v>2</v>
      </c>
    </row>
    <row r="2405" spans="1:10" x14ac:dyDescent="0.2">
      <c r="A2405" s="1">
        <v>2398</v>
      </c>
      <c r="B2405" s="1">
        <v>1</v>
      </c>
      <c r="C2405" s="1">
        <v>12</v>
      </c>
      <c r="D2405" s="1">
        <v>4</v>
      </c>
      <c r="E2405" s="1">
        <v>1</v>
      </c>
      <c r="F2405" s="1">
        <v>9</v>
      </c>
      <c r="G2405" s="1">
        <v>10</v>
      </c>
      <c r="H2405" s="1">
        <v>0</v>
      </c>
      <c r="I2405" s="1">
        <v>1</v>
      </c>
      <c r="J2405" s="1">
        <v>2</v>
      </c>
    </row>
    <row r="2406" spans="1:10" x14ac:dyDescent="0.2">
      <c r="A2406" s="1">
        <v>422</v>
      </c>
      <c r="B2406" s="1">
        <v>1</v>
      </c>
      <c r="C2406" s="1">
        <v>17</v>
      </c>
      <c r="D2406" s="1">
        <v>2</v>
      </c>
      <c r="E2406" s="1">
        <v>1</v>
      </c>
      <c r="F2406" s="1">
        <v>9</v>
      </c>
      <c r="G2406" s="1">
        <v>10</v>
      </c>
      <c r="H2406" s="1">
        <v>1</v>
      </c>
      <c r="I2406" s="1">
        <v>1</v>
      </c>
      <c r="J2406" s="1">
        <v>2</v>
      </c>
    </row>
    <row r="2407" spans="1:10" x14ac:dyDescent="0.2">
      <c r="A2407" s="1">
        <v>184</v>
      </c>
      <c r="B2407" s="1">
        <v>1</v>
      </c>
      <c r="C2407" s="1">
        <v>19</v>
      </c>
      <c r="D2407" s="1">
        <v>1</v>
      </c>
      <c r="E2407" s="1">
        <v>1</v>
      </c>
      <c r="F2407" s="1">
        <v>9</v>
      </c>
      <c r="G2407" s="1">
        <v>10</v>
      </c>
      <c r="H2407" s="1">
        <v>1</v>
      </c>
      <c r="I2407" s="1">
        <v>1</v>
      </c>
      <c r="J2407" s="1">
        <v>2</v>
      </c>
    </row>
    <row r="2408" spans="1:10" x14ac:dyDescent="0.2">
      <c r="A2408" s="1">
        <v>1184</v>
      </c>
      <c r="B2408" s="1">
        <v>1</v>
      </c>
      <c r="C2408" s="1">
        <v>6</v>
      </c>
      <c r="D2408" s="1">
        <v>5</v>
      </c>
      <c r="E2408" s="1">
        <v>1</v>
      </c>
      <c r="F2408" s="1">
        <v>10</v>
      </c>
      <c r="G2408" s="1">
        <v>10</v>
      </c>
      <c r="H2408" s="1">
        <v>1</v>
      </c>
      <c r="I2408" s="1">
        <v>1</v>
      </c>
      <c r="J2408" s="1">
        <v>2</v>
      </c>
    </row>
    <row r="2409" spans="1:10" x14ac:dyDescent="0.2">
      <c r="A2409" s="1">
        <v>1404</v>
      </c>
      <c r="B2409" s="1">
        <v>1</v>
      </c>
      <c r="C2409" s="1">
        <v>8</v>
      </c>
      <c r="D2409" s="1">
        <v>3</v>
      </c>
      <c r="E2409" s="1">
        <v>1</v>
      </c>
      <c r="F2409" s="1">
        <v>10</v>
      </c>
      <c r="G2409" s="1">
        <v>10</v>
      </c>
      <c r="H2409" s="1">
        <v>1</v>
      </c>
      <c r="I2409" s="1">
        <v>2</v>
      </c>
      <c r="J2409" s="1">
        <v>2</v>
      </c>
    </row>
    <row r="2410" spans="1:10" x14ac:dyDescent="0.2">
      <c r="A2410" s="1">
        <v>293</v>
      </c>
      <c r="B2410" s="1">
        <v>1</v>
      </c>
      <c r="C2410" s="1">
        <v>6</v>
      </c>
      <c r="D2410" s="1">
        <v>4</v>
      </c>
      <c r="E2410" s="1">
        <v>1</v>
      </c>
      <c r="F2410" s="1">
        <v>4</v>
      </c>
      <c r="G2410" s="1">
        <v>10</v>
      </c>
      <c r="H2410" s="1">
        <v>1</v>
      </c>
      <c r="I2410" s="1">
        <v>3</v>
      </c>
      <c r="J2410" s="1">
        <v>3</v>
      </c>
    </row>
    <row r="2411" spans="1:10" x14ac:dyDescent="0.2">
      <c r="A2411" s="1">
        <v>2320</v>
      </c>
      <c r="B2411" s="1">
        <v>1</v>
      </c>
      <c r="C2411" s="1">
        <v>13</v>
      </c>
      <c r="D2411" s="1">
        <v>3</v>
      </c>
      <c r="E2411" s="1">
        <v>1</v>
      </c>
      <c r="F2411" s="1">
        <v>6</v>
      </c>
      <c r="G2411" s="1">
        <v>10</v>
      </c>
      <c r="H2411" s="1">
        <v>1</v>
      </c>
      <c r="I2411" s="1">
        <v>1</v>
      </c>
      <c r="J2411" s="1">
        <v>3</v>
      </c>
    </row>
    <row r="2412" spans="1:10" x14ac:dyDescent="0.2">
      <c r="A2412" s="1">
        <v>2438</v>
      </c>
      <c r="B2412" s="1">
        <v>1</v>
      </c>
      <c r="C2412" s="1">
        <v>9</v>
      </c>
      <c r="D2412" s="1">
        <v>4</v>
      </c>
      <c r="E2412" s="1">
        <v>1</v>
      </c>
      <c r="F2412" s="1">
        <v>7</v>
      </c>
      <c r="G2412" s="1">
        <v>10</v>
      </c>
      <c r="H2412" s="1">
        <v>1</v>
      </c>
      <c r="I2412" s="1">
        <v>2</v>
      </c>
      <c r="J2412" s="1">
        <v>3</v>
      </c>
    </row>
    <row r="2413" spans="1:10" x14ac:dyDescent="0.2">
      <c r="A2413" s="1">
        <v>2296</v>
      </c>
      <c r="B2413" s="1">
        <v>1</v>
      </c>
      <c r="C2413" s="1">
        <v>16</v>
      </c>
      <c r="D2413" s="1">
        <v>4</v>
      </c>
      <c r="E2413" s="1">
        <v>1</v>
      </c>
      <c r="F2413" s="1">
        <v>7</v>
      </c>
      <c r="G2413" s="1">
        <v>10</v>
      </c>
      <c r="H2413" s="1">
        <v>1</v>
      </c>
      <c r="I2413" s="1">
        <v>2</v>
      </c>
      <c r="J2413" s="1">
        <v>3</v>
      </c>
    </row>
    <row r="2414" spans="1:10" x14ac:dyDescent="0.2">
      <c r="A2414" s="1">
        <v>2432</v>
      </c>
      <c r="B2414" s="1">
        <v>1</v>
      </c>
      <c r="C2414" s="1">
        <v>7</v>
      </c>
      <c r="D2414" s="1">
        <v>1</v>
      </c>
      <c r="E2414" s="1">
        <v>2</v>
      </c>
      <c r="F2414" s="1">
        <v>7</v>
      </c>
      <c r="G2414" s="1">
        <v>10</v>
      </c>
      <c r="H2414" s="1">
        <v>0</v>
      </c>
      <c r="I2414" s="1">
        <v>3</v>
      </c>
      <c r="J2414" s="1">
        <v>3</v>
      </c>
    </row>
    <row r="2415" spans="1:10" x14ac:dyDescent="0.2">
      <c r="A2415" s="1">
        <v>2006</v>
      </c>
      <c r="B2415" s="1">
        <v>1</v>
      </c>
      <c r="C2415" s="1">
        <v>12</v>
      </c>
      <c r="D2415" s="1">
        <v>4</v>
      </c>
      <c r="E2415" s="1">
        <v>2</v>
      </c>
      <c r="F2415" s="1">
        <v>7</v>
      </c>
      <c r="G2415" s="1">
        <v>10</v>
      </c>
      <c r="H2415" s="1">
        <v>1</v>
      </c>
      <c r="I2415" s="1">
        <v>0</v>
      </c>
      <c r="J2415" s="1">
        <v>3</v>
      </c>
    </row>
    <row r="2416" spans="1:10" x14ac:dyDescent="0.2">
      <c r="A2416" s="1">
        <v>1061</v>
      </c>
      <c r="B2416" s="1">
        <v>1</v>
      </c>
      <c r="C2416" s="1">
        <v>13</v>
      </c>
      <c r="D2416" s="1">
        <v>2</v>
      </c>
      <c r="E2416" s="1">
        <v>2</v>
      </c>
      <c r="F2416" s="1">
        <v>7</v>
      </c>
      <c r="G2416" s="1">
        <v>10</v>
      </c>
      <c r="H2416" s="1">
        <v>0</v>
      </c>
      <c r="I2416" s="1">
        <v>3</v>
      </c>
      <c r="J2416" s="1">
        <v>3</v>
      </c>
    </row>
    <row r="2417" spans="1:10" x14ac:dyDescent="0.2">
      <c r="A2417" s="1">
        <v>1230</v>
      </c>
      <c r="B2417" s="1">
        <v>1</v>
      </c>
      <c r="C2417" s="1">
        <v>13</v>
      </c>
      <c r="D2417" s="1">
        <v>1</v>
      </c>
      <c r="E2417" s="1">
        <v>2</v>
      </c>
      <c r="F2417" s="1">
        <v>7</v>
      </c>
      <c r="G2417" s="1">
        <v>10</v>
      </c>
      <c r="H2417" s="1">
        <v>1</v>
      </c>
      <c r="I2417" s="1">
        <v>2</v>
      </c>
      <c r="J2417" s="1">
        <v>3</v>
      </c>
    </row>
    <row r="2418" spans="1:10" x14ac:dyDescent="0.2">
      <c r="A2418" s="1">
        <v>2091</v>
      </c>
      <c r="B2418" s="1">
        <v>1</v>
      </c>
      <c r="C2418" s="1">
        <v>13</v>
      </c>
      <c r="D2418" s="1">
        <v>4</v>
      </c>
      <c r="E2418" s="1">
        <v>2</v>
      </c>
      <c r="F2418" s="1">
        <v>7</v>
      </c>
      <c r="G2418" s="1">
        <v>10</v>
      </c>
      <c r="H2418" s="1">
        <v>1</v>
      </c>
      <c r="I2418" s="1">
        <v>3</v>
      </c>
      <c r="J2418" s="1">
        <v>3</v>
      </c>
    </row>
    <row r="2419" spans="1:10" x14ac:dyDescent="0.2">
      <c r="A2419" s="1">
        <v>1181</v>
      </c>
      <c r="B2419" s="1">
        <v>1</v>
      </c>
      <c r="C2419" s="1">
        <v>20</v>
      </c>
      <c r="D2419" s="1">
        <v>1</v>
      </c>
      <c r="E2419" s="1">
        <v>2</v>
      </c>
      <c r="F2419" s="1">
        <v>7</v>
      </c>
      <c r="G2419" s="1">
        <v>10</v>
      </c>
      <c r="H2419" s="1">
        <v>0</v>
      </c>
      <c r="I2419" s="1">
        <v>0</v>
      </c>
      <c r="J2419" s="1">
        <v>3</v>
      </c>
    </row>
    <row r="2420" spans="1:10" x14ac:dyDescent="0.2">
      <c r="A2420" s="1">
        <v>514</v>
      </c>
      <c r="B2420" s="1">
        <v>1</v>
      </c>
      <c r="C2420" s="1">
        <v>12</v>
      </c>
      <c r="D2420" s="1">
        <v>2</v>
      </c>
      <c r="E2420" s="1">
        <v>1</v>
      </c>
      <c r="F2420" s="1">
        <v>8</v>
      </c>
      <c r="G2420" s="1">
        <v>10</v>
      </c>
      <c r="H2420" s="1">
        <v>1</v>
      </c>
      <c r="I2420" s="1">
        <v>1</v>
      </c>
      <c r="J2420" s="1">
        <v>3</v>
      </c>
    </row>
    <row r="2421" spans="1:10" x14ac:dyDescent="0.2">
      <c r="A2421" s="1">
        <v>1535</v>
      </c>
      <c r="B2421" s="1">
        <v>1</v>
      </c>
      <c r="C2421" s="1">
        <v>15</v>
      </c>
      <c r="D2421" s="1">
        <v>1</v>
      </c>
      <c r="E2421" s="1">
        <v>1</v>
      </c>
      <c r="F2421" s="1">
        <v>8</v>
      </c>
      <c r="G2421" s="1">
        <v>10</v>
      </c>
      <c r="H2421" s="1">
        <v>0</v>
      </c>
      <c r="I2421" s="1">
        <v>2</v>
      </c>
      <c r="J2421" s="1">
        <v>3</v>
      </c>
    </row>
    <row r="2422" spans="1:10" x14ac:dyDescent="0.2">
      <c r="A2422" s="1">
        <v>1950</v>
      </c>
      <c r="B2422" s="1">
        <v>1</v>
      </c>
      <c r="C2422" s="1">
        <v>14</v>
      </c>
      <c r="D2422" s="1">
        <v>5</v>
      </c>
      <c r="E2422" s="1">
        <v>2</v>
      </c>
      <c r="F2422" s="1">
        <v>8</v>
      </c>
      <c r="G2422" s="1">
        <v>10</v>
      </c>
      <c r="H2422" s="1">
        <v>1</v>
      </c>
      <c r="I2422" s="1">
        <v>0</v>
      </c>
      <c r="J2422" s="1">
        <v>3</v>
      </c>
    </row>
    <row r="2423" spans="1:10" x14ac:dyDescent="0.2">
      <c r="A2423" s="1">
        <v>49</v>
      </c>
      <c r="B2423" s="1">
        <v>1</v>
      </c>
      <c r="C2423" s="1">
        <v>14</v>
      </c>
      <c r="D2423" s="1">
        <v>1</v>
      </c>
      <c r="E2423" s="1">
        <v>2</v>
      </c>
      <c r="F2423" s="1">
        <v>9</v>
      </c>
      <c r="G2423" s="1">
        <v>10</v>
      </c>
      <c r="H2423" s="1">
        <v>1</v>
      </c>
      <c r="I2423" s="1">
        <v>2</v>
      </c>
      <c r="J2423" s="1">
        <v>3</v>
      </c>
    </row>
    <row r="2424" spans="1:10" x14ac:dyDescent="0.2">
      <c r="A2424" s="1">
        <v>1672</v>
      </c>
      <c r="B2424" s="1">
        <v>1</v>
      </c>
      <c r="C2424" s="1">
        <v>18</v>
      </c>
      <c r="D2424" s="1">
        <v>1</v>
      </c>
      <c r="E2424" s="1">
        <v>2</v>
      </c>
      <c r="F2424" s="1">
        <v>9</v>
      </c>
      <c r="G2424" s="1">
        <v>10</v>
      </c>
      <c r="H2424" s="1">
        <v>1</v>
      </c>
      <c r="I2424" s="1">
        <v>0</v>
      </c>
      <c r="J2424" s="1">
        <v>3</v>
      </c>
    </row>
    <row r="2425" spans="1:10" x14ac:dyDescent="0.2">
      <c r="A2425" s="1">
        <v>2262</v>
      </c>
      <c r="B2425" s="1">
        <v>1</v>
      </c>
      <c r="C2425" s="1">
        <v>9</v>
      </c>
      <c r="D2425" s="1">
        <v>2</v>
      </c>
      <c r="E2425" s="1">
        <v>1</v>
      </c>
      <c r="F2425" s="1">
        <v>10</v>
      </c>
      <c r="G2425" s="1">
        <v>10</v>
      </c>
      <c r="H2425" s="1">
        <v>0</v>
      </c>
      <c r="I2425" s="1">
        <v>0</v>
      </c>
      <c r="J2425" s="1">
        <v>3</v>
      </c>
    </row>
    <row r="2426" spans="1:10" x14ac:dyDescent="0.2">
      <c r="A2426" s="1">
        <v>1532</v>
      </c>
      <c r="B2426" s="1">
        <v>1</v>
      </c>
      <c r="C2426" s="1">
        <v>19</v>
      </c>
      <c r="D2426" s="1">
        <v>2</v>
      </c>
      <c r="E2426" s="1">
        <v>1</v>
      </c>
      <c r="F2426" s="1">
        <v>10</v>
      </c>
      <c r="G2426" s="1">
        <v>10</v>
      </c>
      <c r="H2426" s="1">
        <v>0</v>
      </c>
      <c r="I2426" s="1">
        <v>3</v>
      </c>
      <c r="J2426" s="1">
        <v>3</v>
      </c>
    </row>
    <row r="2427" spans="1:10" x14ac:dyDescent="0.2">
      <c r="A2427" s="1">
        <v>1505</v>
      </c>
      <c r="B2427" s="1">
        <v>1</v>
      </c>
      <c r="C2427" s="1">
        <v>6</v>
      </c>
      <c r="D2427" s="1">
        <v>5</v>
      </c>
      <c r="E2427" s="1">
        <v>2</v>
      </c>
      <c r="F2427" s="1">
        <v>10</v>
      </c>
      <c r="G2427" s="1">
        <v>10</v>
      </c>
      <c r="H2427" s="1">
        <v>1</v>
      </c>
      <c r="I2427" s="1">
        <v>0</v>
      </c>
      <c r="J2427" s="1">
        <v>3</v>
      </c>
    </row>
    <row r="2428" spans="1:10" x14ac:dyDescent="0.2">
      <c r="A2428" s="1">
        <v>1785</v>
      </c>
      <c r="B2428" s="1">
        <v>1</v>
      </c>
      <c r="C2428" s="1">
        <v>7</v>
      </c>
      <c r="D2428" s="1">
        <v>1</v>
      </c>
      <c r="E2428" s="1">
        <v>1</v>
      </c>
      <c r="F2428" s="1">
        <v>1</v>
      </c>
      <c r="G2428" s="1">
        <v>10</v>
      </c>
      <c r="H2428" s="1">
        <v>1</v>
      </c>
      <c r="I2428" s="1">
        <v>2</v>
      </c>
      <c r="J2428" s="1">
        <v>4</v>
      </c>
    </row>
    <row r="2429" spans="1:10" x14ac:dyDescent="0.2">
      <c r="A2429" s="1">
        <v>98</v>
      </c>
      <c r="B2429" s="1">
        <v>1</v>
      </c>
      <c r="C2429" s="1">
        <v>13</v>
      </c>
      <c r="D2429" s="1">
        <v>3</v>
      </c>
      <c r="E2429" s="1">
        <v>1</v>
      </c>
      <c r="F2429" s="1">
        <v>1</v>
      </c>
      <c r="G2429" s="1">
        <v>10</v>
      </c>
      <c r="H2429" s="1">
        <v>1</v>
      </c>
      <c r="I2429" s="1">
        <v>2</v>
      </c>
      <c r="J2429" s="1">
        <v>4</v>
      </c>
    </row>
    <row r="2430" spans="1:10" x14ac:dyDescent="0.2">
      <c r="A2430" s="1">
        <v>847</v>
      </c>
      <c r="B2430" s="1">
        <v>1</v>
      </c>
      <c r="C2430" s="1">
        <v>18</v>
      </c>
      <c r="D2430" s="1">
        <v>1</v>
      </c>
      <c r="E2430" s="1">
        <v>1</v>
      </c>
      <c r="F2430" s="1">
        <v>1</v>
      </c>
      <c r="G2430" s="1">
        <v>10</v>
      </c>
      <c r="H2430" s="1">
        <v>1</v>
      </c>
      <c r="I2430" s="1">
        <v>3</v>
      </c>
      <c r="J2430" s="1">
        <v>4</v>
      </c>
    </row>
    <row r="2431" spans="1:10" x14ac:dyDescent="0.2">
      <c r="A2431" s="1">
        <v>973</v>
      </c>
      <c r="B2431" s="1">
        <v>1</v>
      </c>
      <c r="C2431" s="1">
        <v>18</v>
      </c>
      <c r="D2431" s="1">
        <v>5</v>
      </c>
      <c r="E2431" s="1">
        <v>1</v>
      </c>
      <c r="F2431" s="1">
        <v>1</v>
      </c>
      <c r="G2431" s="1">
        <v>10</v>
      </c>
      <c r="H2431" s="1">
        <v>1</v>
      </c>
      <c r="I2431" s="1">
        <v>2</v>
      </c>
      <c r="J2431" s="1">
        <v>4</v>
      </c>
    </row>
    <row r="2432" spans="1:10" x14ac:dyDescent="0.2">
      <c r="A2432" s="1">
        <v>194</v>
      </c>
      <c r="B2432" s="1">
        <v>1</v>
      </c>
      <c r="C2432" s="1">
        <v>17</v>
      </c>
      <c r="D2432" s="1">
        <v>4</v>
      </c>
      <c r="E2432" s="1">
        <v>2</v>
      </c>
      <c r="F2432" s="1">
        <v>1</v>
      </c>
      <c r="G2432" s="1">
        <v>10</v>
      </c>
      <c r="H2432" s="1">
        <v>1</v>
      </c>
      <c r="I2432" s="1">
        <v>0</v>
      </c>
      <c r="J2432" s="1">
        <v>4</v>
      </c>
    </row>
    <row r="2433" spans="1:10" x14ac:dyDescent="0.2">
      <c r="A2433" s="1">
        <v>1882</v>
      </c>
      <c r="B2433" s="1">
        <v>1</v>
      </c>
      <c r="C2433" s="1">
        <v>7</v>
      </c>
      <c r="D2433" s="1">
        <v>5</v>
      </c>
      <c r="E2433" s="1">
        <v>2</v>
      </c>
      <c r="F2433" s="1">
        <v>2</v>
      </c>
      <c r="G2433" s="1">
        <v>10</v>
      </c>
      <c r="H2433" s="1">
        <v>1</v>
      </c>
      <c r="I2433" s="1">
        <v>3</v>
      </c>
      <c r="J2433" s="1">
        <v>4</v>
      </c>
    </row>
    <row r="2434" spans="1:10" x14ac:dyDescent="0.2">
      <c r="A2434" s="1">
        <v>289</v>
      </c>
      <c r="B2434" s="1">
        <v>1</v>
      </c>
      <c r="C2434" s="1">
        <v>9</v>
      </c>
      <c r="D2434" s="1">
        <v>2</v>
      </c>
      <c r="E2434" s="1">
        <v>2</v>
      </c>
      <c r="F2434" s="1">
        <v>2</v>
      </c>
      <c r="G2434" s="1">
        <v>10</v>
      </c>
      <c r="H2434" s="1">
        <v>1</v>
      </c>
      <c r="I2434" s="1">
        <v>1</v>
      </c>
      <c r="J2434" s="1">
        <v>4</v>
      </c>
    </row>
    <row r="2435" spans="1:10" x14ac:dyDescent="0.2">
      <c r="A2435" s="1">
        <v>2150</v>
      </c>
      <c r="B2435" s="1">
        <v>1</v>
      </c>
      <c r="C2435" s="1">
        <v>13</v>
      </c>
      <c r="D2435" s="1">
        <v>4</v>
      </c>
      <c r="E2435" s="1">
        <v>2</v>
      </c>
      <c r="F2435" s="1">
        <v>2</v>
      </c>
      <c r="G2435" s="1">
        <v>10</v>
      </c>
      <c r="H2435" s="1">
        <v>0</v>
      </c>
      <c r="I2435" s="1">
        <v>0</v>
      </c>
      <c r="J2435" s="1">
        <v>4</v>
      </c>
    </row>
    <row r="2436" spans="1:10" x14ac:dyDescent="0.2">
      <c r="A2436" s="1">
        <v>1829</v>
      </c>
      <c r="B2436" s="1">
        <v>1</v>
      </c>
      <c r="C2436" s="1">
        <v>14</v>
      </c>
      <c r="D2436" s="1">
        <v>2</v>
      </c>
      <c r="E2436" s="1">
        <v>2</v>
      </c>
      <c r="F2436" s="1">
        <v>2</v>
      </c>
      <c r="G2436" s="1">
        <v>10</v>
      </c>
      <c r="H2436" s="1">
        <v>0</v>
      </c>
      <c r="I2436" s="1">
        <v>2</v>
      </c>
      <c r="J2436" s="1">
        <v>4</v>
      </c>
    </row>
    <row r="2437" spans="1:10" x14ac:dyDescent="0.2">
      <c r="A2437" s="1">
        <v>31</v>
      </c>
      <c r="B2437" s="1">
        <v>1</v>
      </c>
      <c r="C2437" s="1">
        <v>12</v>
      </c>
      <c r="D2437" s="1">
        <v>4</v>
      </c>
      <c r="E2437" s="1">
        <v>1</v>
      </c>
      <c r="F2437" s="1">
        <v>3</v>
      </c>
      <c r="G2437" s="1">
        <v>10</v>
      </c>
      <c r="H2437" s="1">
        <v>1</v>
      </c>
      <c r="I2437" s="1">
        <v>1</v>
      </c>
      <c r="J2437" s="1">
        <v>4</v>
      </c>
    </row>
    <row r="2438" spans="1:10" x14ac:dyDescent="0.2">
      <c r="A2438" s="1">
        <v>1937</v>
      </c>
      <c r="B2438" s="1">
        <v>1</v>
      </c>
      <c r="C2438" s="1">
        <v>12</v>
      </c>
      <c r="D2438" s="1">
        <v>3</v>
      </c>
      <c r="E2438" s="1">
        <v>1</v>
      </c>
      <c r="F2438" s="1">
        <v>3</v>
      </c>
      <c r="G2438" s="1">
        <v>10</v>
      </c>
      <c r="H2438" s="1">
        <v>1</v>
      </c>
      <c r="I2438" s="1">
        <v>2</v>
      </c>
      <c r="J2438" s="1">
        <v>4</v>
      </c>
    </row>
    <row r="2439" spans="1:10" x14ac:dyDescent="0.2">
      <c r="A2439" s="1">
        <v>650</v>
      </c>
      <c r="B2439" s="1">
        <v>1</v>
      </c>
      <c r="C2439" s="1">
        <v>18</v>
      </c>
      <c r="D2439" s="1">
        <v>5</v>
      </c>
      <c r="E2439" s="1">
        <v>1</v>
      </c>
      <c r="F2439" s="1">
        <v>3</v>
      </c>
      <c r="G2439" s="1">
        <v>10</v>
      </c>
      <c r="H2439" s="1">
        <v>1</v>
      </c>
      <c r="I2439" s="1">
        <v>1</v>
      </c>
      <c r="J2439" s="1">
        <v>4</v>
      </c>
    </row>
    <row r="2440" spans="1:10" x14ac:dyDescent="0.2">
      <c r="A2440" s="1">
        <v>1403</v>
      </c>
      <c r="B2440" s="1">
        <v>1</v>
      </c>
      <c r="C2440" s="1">
        <v>17</v>
      </c>
      <c r="D2440" s="1">
        <v>3</v>
      </c>
      <c r="E2440" s="1">
        <v>2</v>
      </c>
      <c r="F2440" s="1">
        <v>3</v>
      </c>
      <c r="G2440" s="1">
        <v>10</v>
      </c>
      <c r="H2440" s="1">
        <v>0</v>
      </c>
      <c r="I2440" s="1">
        <v>2</v>
      </c>
      <c r="J2440" s="1">
        <v>4</v>
      </c>
    </row>
    <row r="2441" spans="1:10" x14ac:dyDescent="0.2">
      <c r="A2441" s="1">
        <v>2306</v>
      </c>
      <c r="B2441" s="1">
        <v>1</v>
      </c>
      <c r="C2441" s="1">
        <v>13</v>
      </c>
      <c r="D2441" s="1">
        <v>5</v>
      </c>
      <c r="E2441" s="1">
        <v>1</v>
      </c>
      <c r="F2441" s="1">
        <v>4</v>
      </c>
      <c r="G2441" s="1">
        <v>10</v>
      </c>
      <c r="H2441" s="1">
        <v>1</v>
      </c>
      <c r="I2441" s="1">
        <v>2</v>
      </c>
      <c r="J2441" s="1">
        <v>4</v>
      </c>
    </row>
    <row r="2442" spans="1:10" x14ac:dyDescent="0.2">
      <c r="A2442" s="1">
        <v>707</v>
      </c>
      <c r="B2442" s="1">
        <v>1</v>
      </c>
      <c r="C2442" s="1">
        <v>15</v>
      </c>
      <c r="D2442" s="1">
        <v>2</v>
      </c>
      <c r="E2442" s="1">
        <v>1</v>
      </c>
      <c r="F2442" s="1">
        <v>4</v>
      </c>
      <c r="G2442" s="1">
        <v>10</v>
      </c>
      <c r="H2442" s="1">
        <v>0</v>
      </c>
      <c r="I2442" s="1">
        <v>2</v>
      </c>
      <c r="J2442" s="1">
        <v>4</v>
      </c>
    </row>
    <row r="2443" spans="1:10" x14ac:dyDescent="0.2">
      <c r="A2443" s="1">
        <v>2489</v>
      </c>
      <c r="B2443" s="1">
        <v>1</v>
      </c>
      <c r="C2443" s="1">
        <v>6</v>
      </c>
      <c r="D2443" s="1">
        <v>2</v>
      </c>
      <c r="E2443" s="1">
        <v>2</v>
      </c>
      <c r="F2443" s="1">
        <v>5</v>
      </c>
      <c r="G2443" s="1">
        <v>10</v>
      </c>
      <c r="H2443" s="1">
        <v>1</v>
      </c>
      <c r="I2443" s="1">
        <v>1</v>
      </c>
      <c r="J2443" s="1">
        <v>4</v>
      </c>
    </row>
    <row r="2444" spans="1:10" x14ac:dyDescent="0.2">
      <c r="A2444" s="1">
        <v>2293</v>
      </c>
      <c r="B2444" s="1">
        <v>1</v>
      </c>
      <c r="C2444" s="1">
        <v>17</v>
      </c>
      <c r="D2444" s="1">
        <v>5</v>
      </c>
      <c r="E2444" s="1">
        <v>2</v>
      </c>
      <c r="F2444" s="1">
        <v>5</v>
      </c>
      <c r="G2444" s="1">
        <v>10</v>
      </c>
      <c r="H2444" s="1">
        <v>0</v>
      </c>
      <c r="I2444" s="1">
        <v>1</v>
      </c>
      <c r="J2444" s="1">
        <v>4</v>
      </c>
    </row>
    <row r="2445" spans="1:10" x14ac:dyDescent="0.2">
      <c r="A2445" s="1">
        <v>631</v>
      </c>
      <c r="B2445" s="1">
        <v>1</v>
      </c>
      <c r="C2445" s="1">
        <v>7</v>
      </c>
      <c r="D2445" s="1">
        <v>5</v>
      </c>
      <c r="E2445" s="1">
        <v>1</v>
      </c>
      <c r="F2445" s="1">
        <v>6</v>
      </c>
      <c r="G2445" s="1">
        <v>10</v>
      </c>
      <c r="H2445" s="1">
        <v>0</v>
      </c>
      <c r="I2445" s="1">
        <v>1</v>
      </c>
      <c r="J2445" s="1">
        <v>4</v>
      </c>
    </row>
    <row r="2446" spans="1:10" x14ac:dyDescent="0.2">
      <c r="A2446" s="1">
        <v>2480</v>
      </c>
      <c r="B2446" s="1">
        <v>1</v>
      </c>
      <c r="C2446" s="1">
        <v>7</v>
      </c>
      <c r="D2446" s="1">
        <v>3</v>
      </c>
      <c r="E2446" s="1">
        <v>2</v>
      </c>
      <c r="F2446" s="1">
        <v>6</v>
      </c>
      <c r="G2446" s="1">
        <v>10</v>
      </c>
      <c r="H2446" s="1">
        <v>0</v>
      </c>
      <c r="I2446" s="1">
        <v>2</v>
      </c>
      <c r="J2446" s="1">
        <v>4</v>
      </c>
    </row>
    <row r="2447" spans="1:10" x14ac:dyDescent="0.2">
      <c r="A2447" s="1">
        <v>1946</v>
      </c>
      <c r="B2447" s="1">
        <v>1</v>
      </c>
      <c r="C2447" s="1">
        <v>11</v>
      </c>
      <c r="D2447" s="1">
        <v>2</v>
      </c>
      <c r="E2447" s="1">
        <v>1</v>
      </c>
      <c r="F2447" s="1">
        <v>7</v>
      </c>
      <c r="G2447" s="1">
        <v>10</v>
      </c>
      <c r="H2447" s="1">
        <v>0</v>
      </c>
      <c r="I2447" s="1">
        <v>3</v>
      </c>
      <c r="J2447" s="1">
        <v>4</v>
      </c>
    </row>
    <row r="2448" spans="1:10" x14ac:dyDescent="0.2">
      <c r="A2448" s="1">
        <v>942</v>
      </c>
      <c r="B2448" s="1">
        <v>1</v>
      </c>
      <c r="C2448" s="1">
        <v>14</v>
      </c>
      <c r="D2448" s="1">
        <v>3</v>
      </c>
      <c r="E2448" s="1">
        <v>1</v>
      </c>
      <c r="F2448" s="1">
        <v>7</v>
      </c>
      <c r="G2448" s="1">
        <v>10</v>
      </c>
      <c r="H2448" s="1">
        <v>1</v>
      </c>
      <c r="I2448" s="1">
        <v>2</v>
      </c>
      <c r="J2448" s="1">
        <v>4</v>
      </c>
    </row>
    <row r="2449" spans="1:10" x14ac:dyDescent="0.2">
      <c r="A2449" s="1">
        <v>602</v>
      </c>
      <c r="B2449" s="1">
        <v>1</v>
      </c>
      <c r="C2449" s="1">
        <v>17</v>
      </c>
      <c r="D2449" s="1">
        <v>4</v>
      </c>
      <c r="E2449" s="1">
        <v>1</v>
      </c>
      <c r="F2449" s="1">
        <v>7</v>
      </c>
      <c r="G2449" s="1">
        <v>10</v>
      </c>
      <c r="H2449" s="1">
        <v>0</v>
      </c>
      <c r="I2449" s="1">
        <v>1</v>
      </c>
      <c r="J2449" s="1">
        <v>4</v>
      </c>
    </row>
    <row r="2450" spans="1:10" x14ac:dyDescent="0.2">
      <c r="A2450" s="1">
        <v>1289</v>
      </c>
      <c r="B2450" s="1">
        <v>1</v>
      </c>
      <c r="C2450" s="1">
        <v>20</v>
      </c>
      <c r="D2450" s="1">
        <v>1</v>
      </c>
      <c r="E2450" s="1">
        <v>1</v>
      </c>
      <c r="F2450" s="1">
        <v>7</v>
      </c>
      <c r="G2450" s="1">
        <v>10</v>
      </c>
      <c r="H2450" s="1">
        <v>1</v>
      </c>
      <c r="I2450" s="1">
        <v>3</v>
      </c>
      <c r="J2450" s="1">
        <v>4</v>
      </c>
    </row>
    <row r="2451" spans="1:10" x14ac:dyDescent="0.2">
      <c r="A2451" s="1">
        <v>1301</v>
      </c>
      <c r="B2451" s="1">
        <v>1</v>
      </c>
      <c r="C2451" s="1">
        <v>9</v>
      </c>
      <c r="D2451" s="1">
        <v>2</v>
      </c>
      <c r="E2451" s="1">
        <v>2</v>
      </c>
      <c r="F2451" s="1">
        <v>7</v>
      </c>
      <c r="G2451" s="1">
        <v>10</v>
      </c>
      <c r="H2451" s="1">
        <v>1</v>
      </c>
      <c r="I2451" s="1">
        <v>3</v>
      </c>
      <c r="J2451" s="1">
        <v>4</v>
      </c>
    </row>
    <row r="2452" spans="1:10" x14ac:dyDescent="0.2">
      <c r="A2452" s="1">
        <v>1523</v>
      </c>
      <c r="B2452" s="1">
        <v>1</v>
      </c>
      <c r="C2452" s="1">
        <v>19</v>
      </c>
      <c r="D2452" s="1">
        <v>3</v>
      </c>
      <c r="E2452" s="1">
        <v>2</v>
      </c>
      <c r="F2452" s="1">
        <v>7</v>
      </c>
      <c r="G2452" s="1">
        <v>10</v>
      </c>
      <c r="H2452" s="1">
        <v>1</v>
      </c>
      <c r="I2452" s="1">
        <v>2</v>
      </c>
      <c r="J2452" s="1">
        <v>4</v>
      </c>
    </row>
    <row r="2453" spans="1:10" x14ac:dyDescent="0.2">
      <c r="A2453" s="1">
        <v>35</v>
      </c>
      <c r="B2453" s="1">
        <v>1</v>
      </c>
      <c r="C2453" s="1">
        <v>8</v>
      </c>
      <c r="D2453" s="1">
        <v>5</v>
      </c>
      <c r="E2453" s="1">
        <v>1</v>
      </c>
      <c r="F2453" s="1">
        <v>8</v>
      </c>
      <c r="G2453" s="1">
        <v>10</v>
      </c>
      <c r="H2453" s="1">
        <v>1</v>
      </c>
      <c r="I2453" s="1">
        <v>0</v>
      </c>
      <c r="J2453" s="1">
        <v>4</v>
      </c>
    </row>
    <row r="2454" spans="1:10" x14ac:dyDescent="0.2">
      <c r="A2454" s="1">
        <v>872</v>
      </c>
      <c r="B2454" s="1">
        <v>1</v>
      </c>
      <c r="C2454" s="1">
        <v>17</v>
      </c>
      <c r="D2454" s="1">
        <v>4</v>
      </c>
      <c r="E2454" s="1">
        <v>1</v>
      </c>
      <c r="F2454" s="1">
        <v>8</v>
      </c>
      <c r="G2454" s="1">
        <v>10</v>
      </c>
      <c r="H2454" s="1">
        <v>1</v>
      </c>
      <c r="I2454" s="1">
        <v>2</v>
      </c>
      <c r="J2454" s="1">
        <v>4</v>
      </c>
    </row>
    <row r="2455" spans="1:10" x14ac:dyDescent="0.2">
      <c r="A2455" s="1">
        <v>1842</v>
      </c>
      <c r="B2455" s="1">
        <v>1</v>
      </c>
      <c r="C2455" s="1">
        <v>11</v>
      </c>
      <c r="D2455" s="1">
        <v>1</v>
      </c>
      <c r="E2455" s="1">
        <v>2</v>
      </c>
      <c r="F2455" s="1">
        <v>10</v>
      </c>
      <c r="G2455" s="1">
        <v>10</v>
      </c>
      <c r="H2455" s="1">
        <v>1</v>
      </c>
      <c r="I2455" s="1">
        <v>0</v>
      </c>
      <c r="J2455" s="1">
        <v>4</v>
      </c>
    </row>
    <row r="2456" spans="1:10" x14ac:dyDescent="0.2">
      <c r="A2456" s="1">
        <v>297</v>
      </c>
      <c r="B2456" s="1">
        <v>1</v>
      </c>
      <c r="C2456" s="1">
        <v>6</v>
      </c>
      <c r="D2456" s="1">
        <v>3</v>
      </c>
      <c r="E2456" s="1">
        <v>2</v>
      </c>
      <c r="F2456" s="1">
        <v>1</v>
      </c>
      <c r="G2456" s="1">
        <v>10</v>
      </c>
      <c r="H2456" s="1">
        <v>1</v>
      </c>
      <c r="I2456" s="1">
        <v>2</v>
      </c>
      <c r="J2456" s="1">
        <v>5</v>
      </c>
    </row>
    <row r="2457" spans="1:10" x14ac:dyDescent="0.2">
      <c r="A2457" s="1">
        <v>437</v>
      </c>
      <c r="B2457" s="1">
        <v>1</v>
      </c>
      <c r="C2457" s="1">
        <v>19</v>
      </c>
      <c r="D2457" s="1">
        <v>4</v>
      </c>
      <c r="E2457" s="1">
        <v>3</v>
      </c>
      <c r="F2457" s="1">
        <v>1</v>
      </c>
      <c r="G2457" s="1">
        <v>10</v>
      </c>
      <c r="H2457" s="1">
        <v>1</v>
      </c>
      <c r="I2457" s="1">
        <v>2</v>
      </c>
      <c r="J2457" s="1">
        <v>5</v>
      </c>
    </row>
    <row r="2458" spans="1:10" x14ac:dyDescent="0.2">
      <c r="A2458" s="1">
        <v>56</v>
      </c>
      <c r="B2458" s="1">
        <v>1</v>
      </c>
      <c r="C2458" s="1">
        <v>13</v>
      </c>
      <c r="D2458" s="1">
        <v>2</v>
      </c>
      <c r="E2458" s="1">
        <v>1</v>
      </c>
      <c r="F2458" s="1">
        <v>2</v>
      </c>
      <c r="G2458" s="1">
        <v>10</v>
      </c>
      <c r="H2458" s="1">
        <v>0</v>
      </c>
      <c r="I2458" s="1">
        <v>2</v>
      </c>
      <c r="J2458" s="1">
        <v>5</v>
      </c>
    </row>
    <row r="2459" spans="1:10" x14ac:dyDescent="0.2">
      <c r="A2459" s="1">
        <v>321</v>
      </c>
      <c r="B2459" s="1">
        <v>1</v>
      </c>
      <c r="C2459" s="1">
        <v>15</v>
      </c>
      <c r="D2459" s="1">
        <v>1</v>
      </c>
      <c r="E2459" s="1">
        <v>1</v>
      </c>
      <c r="F2459" s="1">
        <v>2</v>
      </c>
      <c r="G2459" s="1">
        <v>10</v>
      </c>
      <c r="H2459" s="1">
        <v>1</v>
      </c>
      <c r="I2459" s="1">
        <v>1</v>
      </c>
      <c r="J2459" s="1">
        <v>5</v>
      </c>
    </row>
    <row r="2460" spans="1:10" x14ac:dyDescent="0.2">
      <c r="A2460" s="1">
        <v>300</v>
      </c>
      <c r="B2460" s="1">
        <v>1</v>
      </c>
      <c r="C2460" s="1">
        <v>20</v>
      </c>
      <c r="D2460" s="1">
        <v>5</v>
      </c>
      <c r="E2460" s="1">
        <v>2</v>
      </c>
      <c r="F2460" s="1">
        <v>2</v>
      </c>
      <c r="G2460" s="1">
        <v>10</v>
      </c>
      <c r="H2460" s="1">
        <v>0</v>
      </c>
      <c r="I2460" s="1">
        <v>0</v>
      </c>
      <c r="J2460" s="1">
        <v>5</v>
      </c>
    </row>
    <row r="2461" spans="1:10" x14ac:dyDescent="0.2">
      <c r="A2461" s="1">
        <v>1116</v>
      </c>
      <c r="B2461" s="1">
        <v>1</v>
      </c>
      <c r="C2461" s="1">
        <v>17</v>
      </c>
      <c r="D2461" s="1">
        <v>2</v>
      </c>
      <c r="E2461" s="1">
        <v>3</v>
      </c>
      <c r="F2461" s="1">
        <v>2</v>
      </c>
      <c r="G2461" s="1">
        <v>10</v>
      </c>
      <c r="H2461" s="1">
        <v>0</v>
      </c>
      <c r="I2461" s="1">
        <v>1</v>
      </c>
      <c r="J2461" s="1">
        <v>5</v>
      </c>
    </row>
    <row r="2462" spans="1:10" x14ac:dyDescent="0.2">
      <c r="A2462" s="1">
        <v>2314</v>
      </c>
      <c r="B2462" s="1">
        <v>1</v>
      </c>
      <c r="C2462" s="1">
        <v>17</v>
      </c>
      <c r="D2462" s="1">
        <v>2</v>
      </c>
      <c r="E2462" s="1">
        <v>3</v>
      </c>
      <c r="F2462" s="1">
        <v>2</v>
      </c>
      <c r="G2462" s="1">
        <v>10</v>
      </c>
      <c r="H2462" s="1">
        <v>1</v>
      </c>
      <c r="I2462" s="1">
        <v>1</v>
      </c>
      <c r="J2462" s="1">
        <v>5</v>
      </c>
    </row>
    <row r="2463" spans="1:10" x14ac:dyDescent="0.2">
      <c r="A2463" s="1">
        <v>248</v>
      </c>
      <c r="B2463" s="1">
        <v>1</v>
      </c>
      <c r="C2463" s="1">
        <v>17</v>
      </c>
      <c r="D2463" s="1">
        <v>4</v>
      </c>
      <c r="E2463" s="1">
        <v>1</v>
      </c>
      <c r="F2463" s="1">
        <v>3</v>
      </c>
      <c r="G2463" s="1">
        <v>10</v>
      </c>
      <c r="H2463" s="1">
        <v>0</v>
      </c>
      <c r="I2463" s="1">
        <v>0</v>
      </c>
      <c r="J2463" s="1">
        <v>5</v>
      </c>
    </row>
    <row r="2464" spans="1:10" x14ac:dyDescent="0.2">
      <c r="A2464" s="1">
        <v>1173</v>
      </c>
      <c r="B2464" s="1">
        <v>1</v>
      </c>
      <c r="C2464" s="1">
        <v>10</v>
      </c>
      <c r="D2464" s="1">
        <v>3</v>
      </c>
      <c r="E2464" s="1">
        <v>2</v>
      </c>
      <c r="F2464" s="1">
        <v>3</v>
      </c>
      <c r="G2464" s="1">
        <v>10</v>
      </c>
      <c r="H2464" s="1">
        <v>0</v>
      </c>
      <c r="I2464" s="1">
        <v>3</v>
      </c>
      <c r="J2464" s="1">
        <v>5</v>
      </c>
    </row>
    <row r="2465" spans="1:10" x14ac:dyDescent="0.2">
      <c r="A2465" s="1">
        <v>1938</v>
      </c>
      <c r="B2465" s="1">
        <v>1</v>
      </c>
      <c r="C2465" s="1">
        <v>10</v>
      </c>
      <c r="D2465" s="1">
        <v>1</v>
      </c>
      <c r="E2465" s="1">
        <v>2</v>
      </c>
      <c r="F2465" s="1">
        <v>3</v>
      </c>
      <c r="G2465" s="1">
        <v>10</v>
      </c>
      <c r="H2465" s="1">
        <v>0</v>
      </c>
      <c r="I2465" s="1">
        <v>0</v>
      </c>
      <c r="J2465" s="1">
        <v>5</v>
      </c>
    </row>
    <row r="2466" spans="1:10" x14ac:dyDescent="0.2">
      <c r="A2466" s="1">
        <v>355</v>
      </c>
      <c r="B2466" s="1">
        <v>1</v>
      </c>
      <c r="C2466" s="1">
        <v>12</v>
      </c>
      <c r="D2466" s="1">
        <v>4</v>
      </c>
      <c r="E2466" s="1">
        <v>2</v>
      </c>
      <c r="F2466" s="1">
        <v>3</v>
      </c>
      <c r="G2466" s="1">
        <v>10</v>
      </c>
      <c r="H2466" s="1">
        <v>0</v>
      </c>
      <c r="I2466" s="1">
        <v>0</v>
      </c>
      <c r="J2466" s="1">
        <v>5</v>
      </c>
    </row>
    <row r="2467" spans="1:10" x14ac:dyDescent="0.2">
      <c r="A2467" s="1">
        <v>2117</v>
      </c>
      <c r="B2467" s="1">
        <v>1</v>
      </c>
      <c r="C2467" s="1">
        <v>5</v>
      </c>
      <c r="D2467" s="1">
        <v>3</v>
      </c>
      <c r="E2467" s="1">
        <v>3</v>
      </c>
      <c r="F2467" s="1">
        <v>3</v>
      </c>
      <c r="G2467" s="1">
        <v>10</v>
      </c>
      <c r="H2467" s="1">
        <v>1</v>
      </c>
      <c r="I2467" s="1">
        <v>3</v>
      </c>
      <c r="J2467" s="1">
        <v>5</v>
      </c>
    </row>
    <row r="2468" spans="1:10" x14ac:dyDescent="0.2">
      <c r="A2468" s="1">
        <v>2297</v>
      </c>
      <c r="B2468" s="1">
        <v>1</v>
      </c>
      <c r="C2468" s="1">
        <v>7</v>
      </c>
      <c r="D2468" s="1">
        <v>5</v>
      </c>
      <c r="E2468" s="1">
        <v>3</v>
      </c>
      <c r="F2468" s="1">
        <v>3</v>
      </c>
      <c r="G2468" s="1">
        <v>10</v>
      </c>
      <c r="H2468" s="1">
        <v>0</v>
      </c>
      <c r="I2468" s="1">
        <v>2</v>
      </c>
      <c r="J2468" s="1">
        <v>5</v>
      </c>
    </row>
    <row r="2469" spans="1:10" x14ac:dyDescent="0.2">
      <c r="A2469" s="1">
        <v>249</v>
      </c>
      <c r="B2469" s="1">
        <v>1</v>
      </c>
      <c r="C2469" s="1">
        <v>11</v>
      </c>
      <c r="D2469" s="1">
        <v>2</v>
      </c>
      <c r="E2469" s="1">
        <v>2</v>
      </c>
      <c r="F2469" s="1">
        <v>4</v>
      </c>
      <c r="G2469" s="1">
        <v>10</v>
      </c>
      <c r="H2469" s="1">
        <v>0</v>
      </c>
      <c r="I2469" s="1">
        <v>0</v>
      </c>
      <c r="J2469" s="1">
        <v>5</v>
      </c>
    </row>
    <row r="2470" spans="1:10" x14ac:dyDescent="0.2">
      <c r="A2470" s="1">
        <v>2109</v>
      </c>
      <c r="B2470" s="1">
        <v>1</v>
      </c>
      <c r="C2470" s="1">
        <v>14</v>
      </c>
      <c r="D2470" s="1">
        <v>2</v>
      </c>
      <c r="E2470" s="1">
        <v>3</v>
      </c>
      <c r="F2470" s="1">
        <v>4</v>
      </c>
      <c r="G2470" s="1">
        <v>10</v>
      </c>
      <c r="H2470" s="1">
        <v>0</v>
      </c>
      <c r="I2470" s="1">
        <v>3</v>
      </c>
      <c r="J2470" s="1">
        <v>5</v>
      </c>
    </row>
    <row r="2471" spans="1:10" x14ac:dyDescent="0.2">
      <c r="A2471" s="1">
        <v>1633</v>
      </c>
      <c r="B2471" s="1">
        <v>1</v>
      </c>
      <c r="C2471" s="1">
        <v>17</v>
      </c>
      <c r="D2471" s="1">
        <v>2</v>
      </c>
      <c r="E2471" s="1">
        <v>3</v>
      </c>
      <c r="F2471" s="1">
        <v>4</v>
      </c>
      <c r="G2471" s="1">
        <v>10</v>
      </c>
      <c r="H2471" s="1">
        <v>1</v>
      </c>
      <c r="I2471" s="1">
        <v>2</v>
      </c>
      <c r="J2471" s="1">
        <v>5</v>
      </c>
    </row>
    <row r="2472" spans="1:10" x14ac:dyDescent="0.2">
      <c r="A2472" s="1">
        <v>614</v>
      </c>
      <c r="B2472" s="1">
        <v>1</v>
      </c>
      <c r="C2472" s="1">
        <v>7</v>
      </c>
      <c r="D2472" s="1">
        <v>3</v>
      </c>
      <c r="E2472" s="1">
        <v>2</v>
      </c>
      <c r="F2472" s="1">
        <v>5</v>
      </c>
      <c r="G2472" s="1">
        <v>10</v>
      </c>
      <c r="H2472" s="1">
        <v>0</v>
      </c>
      <c r="I2472" s="1">
        <v>1</v>
      </c>
      <c r="J2472" s="1">
        <v>5</v>
      </c>
    </row>
    <row r="2473" spans="1:10" x14ac:dyDescent="0.2">
      <c r="A2473" s="1">
        <v>2308</v>
      </c>
      <c r="B2473" s="1">
        <v>1</v>
      </c>
      <c r="C2473" s="1">
        <v>18</v>
      </c>
      <c r="D2473" s="1">
        <v>4</v>
      </c>
      <c r="E2473" s="1">
        <v>2</v>
      </c>
      <c r="F2473" s="1">
        <v>5</v>
      </c>
      <c r="G2473" s="1">
        <v>10</v>
      </c>
      <c r="H2473" s="1">
        <v>0</v>
      </c>
      <c r="I2473" s="1">
        <v>2</v>
      </c>
      <c r="J2473" s="1">
        <v>5</v>
      </c>
    </row>
    <row r="2474" spans="1:10" x14ac:dyDescent="0.2">
      <c r="A2474" s="1">
        <v>1620</v>
      </c>
      <c r="B2474" s="1">
        <v>1</v>
      </c>
      <c r="C2474" s="1">
        <v>5</v>
      </c>
      <c r="D2474" s="1">
        <v>1</v>
      </c>
      <c r="E2474" s="1">
        <v>3</v>
      </c>
      <c r="F2474" s="1">
        <v>5</v>
      </c>
      <c r="G2474" s="1">
        <v>10</v>
      </c>
      <c r="H2474" s="1">
        <v>0</v>
      </c>
      <c r="I2474" s="1">
        <v>1</v>
      </c>
      <c r="J2474" s="1">
        <v>5</v>
      </c>
    </row>
    <row r="2475" spans="1:10" x14ac:dyDescent="0.2">
      <c r="A2475" s="1">
        <v>1734</v>
      </c>
      <c r="B2475" s="1">
        <v>1</v>
      </c>
      <c r="C2475" s="1">
        <v>20</v>
      </c>
      <c r="D2475" s="1">
        <v>4</v>
      </c>
      <c r="E2475" s="1">
        <v>3</v>
      </c>
      <c r="F2475" s="1">
        <v>5</v>
      </c>
      <c r="G2475" s="1">
        <v>10</v>
      </c>
      <c r="H2475" s="1">
        <v>0</v>
      </c>
      <c r="I2475" s="1">
        <v>0</v>
      </c>
      <c r="J2475" s="1">
        <v>5</v>
      </c>
    </row>
    <row r="2476" spans="1:10" x14ac:dyDescent="0.2">
      <c r="A2476" s="1">
        <v>1646</v>
      </c>
      <c r="B2476" s="1">
        <v>1</v>
      </c>
      <c r="C2476" s="1">
        <v>12</v>
      </c>
      <c r="D2476" s="1">
        <v>1</v>
      </c>
      <c r="E2476" s="1">
        <v>2</v>
      </c>
      <c r="F2476" s="1">
        <v>6</v>
      </c>
      <c r="G2476" s="1">
        <v>10</v>
      </c>
      <c r="H2476" s="1">
        <v>0</v>
      </c>
      <c r="I2476" s="1">
        <v>3</v>
      </c>
      <c r="J2476" s="1">
        <v>5</v>
      </c>
    </row>
    <row r="2477" spans="1:10" x14ac:dyDescent="0.2">
      <c r="A2477" s="1">
        <v>684</v>
      </c>
      <c r="B2477" s="1">
        <v>1</v>
      </c>
      <c r="C2477" s="1">
        <v>13</v>
      </c>
      <c r="D2477" s="1">
        <v>4</v>
      </c>
      <c r="E2477" s="1">
        <v>2</v>
      </c>
      <c r="F2477" s="1">
        <v>6</v>
      </c>
      <c r="G2477" s="1">
        <v>10</v>
      </c>
      <c r="H2477" s="1">
        <v>1</v>
      </c>
      <c r="I2477" s="1">
        <v>0</v>
      </c>
      <c r="J2477" s="1">
        <v>5</v>
      </c>
    </row>
    <row r="2478" spans="1:10" x14ac:dyDescent="0.2">
      <c r="A2478" s="1">
        <v>976</v>
      </c>
      <c r="B2478" s="1">
        <v>1</v>
      </c>
      <c r="C2478" s="1">
        <v>10</v>
      </c>
      <c r="D2478" s="1">
        <v>5</v>
      </c>
      <c r="E2478" s="1">
        <v>3</v>
      </c>
      <c r="F2478" s="1">
        <v>6</v>
      </c>
      <c r="G2478" s="1">
        <v>10</v>
      </c>
      <c r="H2478" s="1">
        <v>0</v>
      </c>
      <c r="I2478" s="1">
        <v>1</v>
      </c>
      <c r="J2478" s="1">
        <v>5</v>
      </c>
    </row>
    <row r="2479" spans="1:10" x14ac:dyDescent="0.2">
      <c r="A2479" s="1">
        <v>2214</v>
      </c>
      <c r="B2479" s="1">
        <v>1</v>
      </c>
      <c r="C2479" s="1">
        <v>15</v>
      </c>
      <c r="D2479" s="1">
        <v>2</v>
      </c>
      <c r="E2479" s="1">
        <v>3</v>
      </c>
      <c r="F2479" s="1">
        <v>6</v>
      </c>
      <c r="G2479" s="1">
        <v>10</v>
      </c>
      <c r="H2479" s="1">
        <v>1</v>
      </c>
      <c r="I2479" s="1">
        <v>2</v>
      </c>
      <c r="J2479" s="1">
        <v>5</v>
      </c>
    </row>
    <row r="2480" spans="1:10" x14ac:dyDescent="0.2">
      <c r="A2480" s="1">
        <v>1697</v>
      </c>
      <c r="B2480" s="1">
        <v>1</v>
      </c>
      <c r="C2480" s="1">
        <v>8</v>
      </c>
      <c r="D2480" s="1">
        <v>4</v>
      </c>
      <c r="E2480" s="1">
        <v>1</v>
      </c>
      <c r="F2480" s="1">
        <v>7</v>
      </c>
      <c r="G2480" s="1">
        <v>10</v>
      </c>
      <c r="H2480" s="1">
        <v>0</v>
      </c>
      <c r="I2480" s="1">
        <v>0</v>
      </c>
      <c r="J2480" s="1">
        <v>5</v>
      </c>
    </row>
    <row r="2481" spans="1:10" x14ac:dyDescent="0.2">
      <c r="A2481" s="1">
        <v>2254</v>
      </c>
      <c r="B2481" s="1">
        <v>1</v>
      </c>
      <c r="C2481" s="1">
        <v>5</v>
      </c>
      <c r="D2481" s="1">
        <v>3</v>
      </c>
      <c r="E2481" s="1">
        <v>2</v>
      </c>
      <c r="F2481" s="1">
        <v>7</v>
      </c>
      <c r="G2481" s="1">
        <v>10</v>
      </c>
      <c r="H2481" s="1">
        <v>1</v>
      </c>
      <c r="I2481" s="1">
        <v>0</v>
      </c>
      <c r="J2481" s="1">
        <v>5</v>
      </c>
    </row>
    <row r="2482" spans="1:10" x14ac:dyDescent="0.2">
      <c r="A2482" s="1">
        <v>934</v>
      </c>
      <c r="B2482" s="1">
        <v>1</v>
      </c>
      <c r="C2482" s="1">
        <v>14</v>
      </c>
      <c r="D2482" s="1">
        <v>2</v>
      </c>
      <c r="E2482" s="1">
        <v>2</v>
      </c>
      <c r="F2482" s="1">
        <v>7</v>
      </c>
      <c r="G2482" s="1">
        <v>10</v>
      </c>
      <c r="H2482" s="1">
        <v>0</v>
      </c>
      <c r="I2482" s="1">
        <v>3</v>
      </c>
      <c r="J2482" s="1">
        <v>5</v>
      </c>
    </row>
    <row r="2483" spans="1:10" x14ac:dyDescent="0.2">
      <c r="A2483" s="1">
        <v>2083</v>
      </c>
      <c r="B2483" s="1">
        <v>1</v>
      </c>
      <c r="C2483" s="1">
        <v>5</v>
      </c>
      <c r="D2483" s="1">
        <v>5</v>
      </c>
      <c r="E2483" s="1">
        <v>3</v>
      </c>
      <c r="F2483" s="1">
        <v>7</v>
      </c>
      <c r="G2483" s="1">
        <v>10</v>
      </c>
      <c r="H2483" s="1">
        <v>1</v>
      </c>
      <c r="I2483" s="1">
        <v>3</v>
      </c>
      <c r="J2483" s="1">
        <v>5</v>
      </c>
    </row>
    <row r="2484" spans="1:10" x14ac:dyDescent="0.2">
      <c r="A2484" s="1">
        <v>2270</v>
      </c>
      <c r="B2484" s="1">
        <v>1</v>
      </c>
      <c r="C2484" s="1">
        <v>9</v>
      </c>
      <c r="D2484" s="1">
        <v>3</v>
      </c>
      <c r="E2484" s="1">
        <v>3</v>
      </c>
      <c r="F2484" s="1">
        <v>7</v>
      </c>
      <c r="G2484" s="1">
        <v>10</v>
      </c>
      <c r="H2484" s="1">
        <v>1</v>
      </c>
      <c r="I2484" s="1">
        <v>0</v>
      </c>
      <c r="J2484" s="1">
        <v>5</v>
      </c>
    </row>
    <row r="2485" spans="1:10" x14ac:dyDescent="0.2">
      <c r="A2485" s="1">
        <v>1664</v>
      </c>
      <c r="B2485" s="1">
        <v>1</v>
      </c>
      <c r="C2485" s="1">
        <v>20</v>
      </c>
      <c r="D2485" s="1">
        <v>3</v>
      </c>
      <c r="E2485" s="1">
        <v>3</v>
      </c>
      <c r="F2485" s="1">
        <v>7</v>
      </c>
      <c r="G2485" s="1">
        <v>10</v>
      </c>
      <c r="H2485" s="1">
        <v>0</v>
      </c>
      <c r="I2485" s="1">
        <v>3</v>
      </c>
      <c r="J2485" s="1">
        <v>5</v>
      </c>
    </row>
    <row r="2486" spans="1:10" x14ac:dyDescent="0.2">
      <c r="A2486" s="1">
        <v>2356</v>
      </c>
      <c r="B2486" s="1">
        <v>1</v>
      </c>
      <c r="C2486" s="1">
        <v>16</v>
      </c>
      <c r="D2486" s="1">
        <v>5</v>
      </c>
      <c r="E2486" s="1">
        <v>2</v>
      </c>
      <c r="F2486" s="1">
        <v>8</v>
      </c>
      <c r="G2486" s="1">
        <v>10</v>
      </c>
      <c r="H2486" s="1">
        <v>1</v>
      </c>
      <c r="I2486" s="1">
        <v>3</v>
      </c>
      <c r="J2486" s="1">
        <v>5</v>
      </c>
    </row>
    <row r="2487" spans="1:10" x14ac:dyDescent="0.2">
      <c r="A2487" s="1">
        <v>2467</v>
      </c>
      <c r="B2487" s="1">
        <v>1</v>
      </c>
      <c r="C2487" s="1">
        <v>7</v>
      </c>
      <c r="D2487" s="1">
        <v>2</v>
      </c>
      <c r="E2487" s="1">
        <v>3</v>
      </c>
      <c r="F2487" s="1">
        <v>8</v>
      </c>
      <c r="G2487" s="1">
        <v>10</v>
      </c>
      <c r="H2487" s="1">
        <v>1</v>
      </c>
      <c r="I2487" s="1">
        <v>2</v>
      </c>
      <c r="J2487" s="1">
        <v>5</v>
      </c>
    </row>
    <row r="2488" spans="1:10" x14ac:dyDescent="0.2">
      <c r="A2488" s="1">
        <v>2223</v>
      </c>
      <c r="B2488" s="1">
        <v>1</v>
      </c>
      <c r="C2488" s="1">
        <v>18</v>
      </c>
      <c r="D2488" s="1">
        <v>5</v>
      </c>
      <c r="E2488" s="1">
        <v>3</v>
      </c>
      <c r="F2488" s="1">
        <v>8</v>
      </c>
      <c r="G2488" s="1">
        <v>10</v>
      </c>
      <c r="H2488" s="1">
        <v>1</v>
      </c>
      <c r="I2488" s="1">
        <v>2</v>
      </c>
      <c r="J2488" s="1">
        <v>5</v>
      </c>
    </row>
    <row r="2489" spans="1:10" x14ac:dyDescent="0.2">
      <c r="A2489" s="1">
        <v>903</v>
      </c>
      <c r="B2489" s="1">
        <v>1</v>
      </c>
      <c r="C2489" s="1">
        <v>6</v>
      </c>
      <c r="D2489" s="1">
        <v>3</v>
      </c>
      <c r="E2489" s="1">
        <v>1</v>
      </c>
      <c r="F2489" s="1">
        <v>9</v>
      </c>
      <c r="G2489" s="1">
        <v>10</v>
      </c>
      <c r="H2489" s="1">
        <v>0</v>
      </c>
      <c r="I2489" s="1">
        <v>1</v>
      </c>
      <c r="J2489" s="1">
        <v>5</v>
      </c>
    </row>
    <row r="2490" spans="1:10" x14ac:dyDescent="0.2">
      <c r="A2490" s="1">
        <v>2119</v>
      </c>
      <c r="B2490" s="1">
        <v>1</v>
      </c>
      <c r="C2490" s="1">
        <v>14</v>
      </c>
      <c r="D2490" s="1">
        <v>5</v>
      </c>
      <c r="E2490" s="1">
        <v>1</v>
      </c>
      <c r="F2490" s="1">
        <v>9</v>
      </c>
      <c r="G2490" s="1">
        <v>10</v>
      </c>
      <c r="H2490" s="1">
        <v>1</v>
      </c>
      <c r="I2490" s="1">
        <v>1</v>
      </c>
      <c r="J2490" s="1">
        <v>5</v>
      </c>
    </row>
    <row r="2491" spans="1:10" x14ac:dyDescent="0.2">
      <c r="A2491" s="1">
        <v>701</v>
      </c>
      <c r="B2491" s="1">
        <v>1</v>
      </c>
      <c r="C2491" s="1">
        <v>18</v>
      </c>
      <c r="D2491" s="1">
        <v>4</v>
      </c>
      <c r="E2491" s="1">
        <v>1</v>
      </c>
      <c r="F2491" s="1">
        <v>9</v>
      </c>
      <c r="G2491" s="1">
        <v>10</v>
      </c>
      <c r="H2491" s="1">
        <v>0</v>
      </c>
      <c r="I2491" s="1">
        <v>2</v>
      </c>
      <c r="J2491" s="1">
        <v>5</v>
      </c>
    </row>
    <row r="2492" spans="1:10" x14ac:dyDescent="0.2">
      <c r="A2492" s="1">
        <v>465</v>
      </c>
      <c r="B2492" s="1">
        <v>1</v>
      </c>
      <c r="C2492" s="1">
        <v>19</v>
      </c>
      <c r="D2492" s="1">
        <v>2</v>
      </c>
      <c r="E2492" s="1">
        <v>3</v>
      </c>
      <c r="F2492" s="1">
        <v>9</v>
      </c>
      <c r="G2492" s="1">
        <v>10</v>
      </c>
      <c r="H2492" s="1">
        <v>1</v>
      </c>
      <c r="I2492" s="1">
        <v>1</v>
      </c>
      <c r="J2492" s="1">
        <v>5</v>
      </c>
    </row>
    <row r="2493" spans="1:10" x14ac:dyDescent="0.2">
      <c r="A2493" s="1">
        <v>1089</v>
      </c>
      <c r="B2493" s="1">
        <v>1</v>
      </c>
      <c r="C2493" s="1">
        <v>19</v>
      </c>
      <c r="D2493" s="1">
        <v>1</v>
      </c>
      <c r="E2493" s="1">
        <v>3</v>
      </c>
      <c r="F2493" s="1">
        <v>9</v>
      </c>
      <c r="G2493" s="1">
        <v>10</v>
      </c>
      <c r="H2493" s="1">
        <v>1</v>
      </c>
      <c r="I2493" s="1">
        <v>1</v>
      </c>
      <c r="J2493" s="1">
        <v>5</v>
      </c>
    </row>
    <row r="2494" spans="1:10" x14ac:dyDescent="0.2">
      <c r="A2494" s="1">
        <v>2329</v>
      </c>
      <c r="B2494" s="1">
        <v>1</v>
      </c>
      <c r="C2494" s="1">
        <v>6</v>
      </c>
      <c r="D2494" s="1">
        <v>3</v>
      </c>
      <c r="E2494" s="1">
        <v>1</v>
      </c>
      <c r="F2494" s="1">
        <v>10</v>
      </c>
      <c r="G2494" s="1">
        <v>10</v>
      </c>
      <c r="H2494" s="1">
        <v>1</v>
      </c>
      <c r="I2494" s="1">
        <v>2</v>
      </c>
      <c r="J2494" s="1">
        <v>5</v>
      </c>
    </row>
    <row r="2495" spans="1:10" x14ac:dyDescent="0.2">
      <c r="A2495" s="1">
        <v>757</v>
      </c>
      <c r="B2495" s="1">
        <v>1</v>
      </c>
      <c r="C2495" s="1">
        <v>12</v>
      </c>
      <c r="D2495" s="1">
        <v>2</v>
      </c>
      <c r="E2495" s="1">
        <v>1</v>
      </c>
      <c r="F2495" s="1">
        <v>10</v>
      </c>
      <c r="G2495" s="1">
        <v>10</v>
      </c>
      <c r="H2495" s="1">
        <v>1</v>
      </c>
      <c r="I2495" s="1">
        <v>3</v>
      </c>
      <c r="J2495" s="1">
        <v>5</v>
      </c>
    </row>
    <row r="2496" spans="1:10" x14ac:dyDescent="0.2">
      <c r="A2496" s="1">
        <v>1241</v>
      </c>
      <c r="B2496" s="1">
        <v>1</v>
      </c>
      <c r="C2496" s="1">
        <v>8</v>
      </c>
      <c r="D2496" s="1">
        <v>4</v>
      </c>
      <c r="E2496" s="1">
        <v>2</v>
      </c>
      <c r="F2496" s="1">
        <v>10</v>
      </c>
      <c r="G2496" s="1">
        <v>10</v>
      </c>
      <c r="H2496" s="1">
        <v>1</v>
      </c>
      <c r="I2496" s="1">
        <v>2</v>
      </c>
      <c r="J2496" s="1">
        <v>5</v>
      </c>
    </row>
    <row r="2497" spans="1:10" x14ac:dyDescent="0.2">
      <c r="A2497" s="1">
        <v>45</v>
      </c>
      <c r="B2497" s="1">
        <v>1</v>
      </c>
      <c r="C2497" s="1">
        <v>10</v>
      </c>
      <c r="D2497" s="1">
        <v>5</v>
      </c>
      <c r="E2497" s="1">
        <v>2</v>
      </c>
      <c r="F2497" s="1">
        <v>10</v>
      </c>
      <c r="G2497" s="1">
        <v>10</v>
      </c>
      <c r="H2497" s="1">
        <v>1</v>
      </c>
      <c r="I2497" s="1">
        <v>1</v>
      </c>
      <c r="J2497" s="1">
        <v>5</v>
      </c>
    </row>
    <row r="2498" spans="1:10" x14ac:dyDescent="0.2">
      <c r="A2498" s="1">
        <v>810</v>
      </c>
      <c r="B2498" s="1">
        <v>1</v>
      </c>
      <c r="C2498" s="1">
        <v>12</v>
      </c>
      <c r="D2498" s="1">
        <v>4</v>
      </c>
      <c r="E2498" s="1">
        <v>2</v>
      </c>
      <c r="F2498" s="1">
        <v>10</v>
      </c>
      <c r="G2498" s="1">
        <v>10</v>
      </c>
      <c r="H2498" s="1">
        <v>0</v>
      </c>
      <c r="I2498" s="1">
        <v>0</v>
      </c>
      <c r="J2498" s="1">
        <v>5</v>
      </c>
    </row>
    <row r="2499" spans="1:10" x14ac:dyDescent="0.2">
      <c r="A2499" s="1">
        <v>1293</v>
      </c>
      <c r="B2499" s="1">
        <v>1</v>
      </c>
      <c r="C2499" s="1">
        <v>16</v>
      </c>
      <c r="D2499" s="1">
        <v>1</v>
      </c>
      <c r="E2499" s="1">
        <v>2</v>
      </c>
      <c r="F2499" s="1">
        <v>10</v>
      </c>
      <c r="G2499" s="1">
        <v>10</v>
      </c>
      <c r="H2499" s="1">
        <v>1</v>
      </c>
      <c r="I2499" s="1">
        <v>1</v>
      </c>
      <c r="J2499" s="1">
        <v>5</v>
      </c>
    </row>
    <row r="2500" spans="1:10" x14ac:dyDescent="0.2">
      <c r="A2500" s="1">
        <v>1861</v>
      </c>
      <c r="B2500" s="1">
        <v>1</v>
      </c>
      <c r="C2500" s="1">
        <v>17</v>
      </c>
      <c r="D2500" s="1">
        <v>4</v>
      </c>
      <c r="E2500" s="1">
        <v>2</v>
      </c>
      <c r="F2500" s="1">
        <v>10</v>
      </c>
      <c r="G2500" s="1">
        <v>10</v>
      </c>
      <c r="H2500" s="1">
        <v>1</v>
      </c>
      <c r="I2500" s="1">
        <v>2</v>
      </c>
      <c r="J2500" s="1">
        <v>5</v>
      </c>
    </row>
    <row r="2501" spans="1:10" x14ac:dyDescent="0.2">
      <c r="A2501" s="1">
        <v>190</v>
      </c>
      <c r="B2501" s="1">
        <v>1</v>
      </c>
      <c r="C2501" s="1">
        <v>20</v>
      </c>
      <c r="D2501" s="1">
        <v>3</v>
      </c>
      <c r="E2501" s="1">
        <v>3</v>
      </c>
      <c r="F2501" s="1">
        <v>10</v>
      </c>
      <c r="G2501" s="1">
        <v>10</v>
      </c>
      <c r="H2501" s="1">
        <v>0</v>
      </c>
      <c r="I2501" s="1">
        <v>3</v>
      </c>
      <c r="J2501" s="1">
        <v>5</v>
      </c>
    </row>
  </sheetData>
  <sortState ref="A2:J2501">
    <sortCondition ref="B2:B2501"/>
    <sortCondition ref="G2:G2501"/>
    <sortCondition ref="J2:J2501"/>
    <sortCondition ref="F2:F2501"/>
    <sortCondition ref="E2:E2501"/>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501"/>
  <sheetViews>
    <sheetView showGridLines="0" topLeftCell="C1" workbookViewId="0">
      <selection activeCell="C525" sqref="C525"/>
    </sheetView>
  </sheetViews>
  <sheetFormatPr baseColWidth="10" defaultColWidth="8.83203125" defaultRowHeight="15" x14ac:dyDescent="0.2"/>
  <cols>
    <col min="1" max="10" width="18.5" style="1" customWidth="1"/>
  </cols>
  <sheetData>
    <row r="1" spans="1:10" ht="31" thickBot="1" x14ac:dyDescent="0.25">
      <c r="A1" s="2" t="s">
        <v>0</v>
      </c>
      <c r="B1" s="2" t="s">
        <v>2</v>
      </c>
      <c r="C1" s="2" t="s">
        <v>1</v>
      </c>
      <c r="D1" s="2" t="s">
        <v>3</v>
      </c>
      <c r="E1" s="2" t="s">
        <v>4</v>
      </c>
      <c r="F1" s="2" t="s">
        <v>5</v>
      </c>
      <c r="G1" s="2" t="s">
        <v>6</v>
      </c>
      <c r="H1" s="2" t="s">
        <v>7</v>
      </c>
      <c r="I1" s="2" t="s">
        <v>8</v>
      </c>
      <c r="J1" s="2" t="s">
        <v>9</v>
      </c>
    </row>
    <row r="2" spans="1:10" x14ac:dyDescent="0.2">
      <c r="A2" s="1">
        <v>1003</v>
      </c>
      <c r="B2" s="1">
        <v>0</v>
      </c>
      <c r="C2" s="1">
        <v>7</v>
      </c>
      <c r="D2" s="1">
        <v>1</v>
      </c>
      <c r="E2" s="1">
        <v>2</v>
      </c>
      <c r="F2" s="1">
        <v>1</v>
      </c>
      <c r="G2" s="1">
        <v>1</v>
      </c>
      <c r="H2" s="1">
        <v>1</v>
      </c>
      <c r="I2" s="1">
        <v>1</v>
      </c>
      <c r="J2" s="1">
        <v>1</v>
      </c>
    </row>
    <row r="3" spans="1:10" x14ac:dyDescent="0.2">
      <c r="A3" s="1">
        <v>829</v>
      </c>
      <c r="B3" s="1">
        <v>0</v>
      </c>
      <c r="C3" s="1">
        <v>12</v>
      </c>
      <c r="D3" s="1">
        <v>4</v>
      </c>
      <c r="E3" s="1">
        <v>2</v>
      </c>
      <c r="F3" s="1">
        <v>1</v>
      </c>
      <c r="G3" s="1">
        <v>1</v>
      </c>
      <c r="H3" s="1">
        <v>1</v>
      </c>
      <c r="I3" s="1">
        <v>2</v>
      </c>
      <c r="J3" s="1">
        <v>1</v>
      </c>
    </row>
    <row r="4" spans="1:10" x14ac:dyDescent="0.2">
      <c r="A4" s="1">
        <v>2315</v>
      </c>
      <c r="B4" s="1">
        <v>0</v>
      </c>
      <c r="C4" s="1">
        <v>17</v>
      </c>
      <c r="D4" s="1">
        <v>2</v>
      </c>
      <c r="E4" s="1">
        <v>2</v>
      </c>
      <c r="F4" s="1">
        <v>1</v>
      </c>
      <c r="G4" s="1">
        <v>1</v>
      </c>
      <c r="H4" s="1">
        <v>0</v>
      </c>
      <c r="I4" s="1">
        <v>0</v>
      </c>
      <c r="J4" s="1">
        <v>1</v>
      </c>
    </row>
    <row r="5" spans="1:10" x14ac:dyDescent="0.2">
      <c r="A5" s="1">
        <v>1610</v>
      </c>
      <c r="B5" s="1">
        <v>0</v>
      </c>
      <c r="C5" s="1">
        <v>17</v>
      </c>
      <c r="D5" s="1">
        <v>4</v>
      </c>
      <c r="E5" s="1">
        <v>3</v>
      </c>
      <c r="F5" s="1">
        <v>1</v>
      </c>
      <c r="G5" s="1">
        <v>1</v>
      </c>
      <c r="H5" s="1">
        <v>0</v>
      </c>
      <c r="I5" s="1">
        <v>2</v>
      </c>
      <c r="J5" s="1">
        <v>1</v>
      </c>
    </row>
    <row r="6" spans="1:10" x14ac:dyDescent="0.2">
      <c r="A6" s="1">
        <v>597</v>
      </c>
      <c r="B6" s="1">
        <v>0</v>
      </c>
      <c r="C6" s="1">
        <v>12</v>
      </c>
      <c r="D6" s="1">
        <v>5</v>
      </c>
      <c r="E6" s="1">
        <v>1</v>
      </c>
      <c r="F6" s="1">
        <v>2</v>
      </c>
      <c r="G6" s="1">
        <v>1</v>
      </c>
      <c r="H6" s="1">
        <v>0</v>
      </c>
      <c r="I6" s="1">
        <v>1</v>
      </c>
      <c r="J6" s="1">
        <v>1</v>
      </c>
    </row>
    <row r="7" spans="1:10" x14ac:dyDescent="0.2">
      <c r="A7" s="1">
        <v>93</v>
      </c>
      <c r="B7" s="1">
        <v>0</v>
      </c>
      <c r="C7" s="1">
        <v>7</v>
      </c>
      <c r="D7" s="1">
        <v>3</v>
      </c>
      <c r="E7" s="1">
        <v>2</v>
      </c>
      <c r="F7" s="1">
        <v>2</v>
      </c>
      <c r="G7" s="1">
        <v>1</v>
      </c>
      <c r="H7" s="1">
        <v>1</v>
      </c>
      <c r="I7" s="1">
        <v>0</v>
      </c>
      <c r="J7" s="1">
        <v>1</v>
      </c>
    </row>
    <row r="8" spans="1:10" x14ac:dyDescent="0.2">
      <c r="A8" s="1">
        <v>642</v>
      </c>
      <c r="B8" s="1">
        <v>0</v>
      </c>
      <c r="C8" s="1">
        <v>8</v>
      </c>
      <c r="D8" s="1">
        <v>4</v>
      </c>
      <c r="E8" s="1">
        <v>2</v>
      </c>
      <c r="F8" s="1">
        <v>2</v>
      </c>
      <c r="G8" s="1">
        <v>1</v>
      </c>
      <c r="H8" s="1">
        <v>0</v>
      </c>
      <c r="I8" s="1">
        <v>0</v>
      </c>
      <c r="J8" s="1">
        <v>1</v>
      </c>
    </row>
    <row r="9" spans="1:10" x14ac:dyDescent="0.2">
      <c r="A9" s="1">
        <v>1567</v>
      </c>
      <c r="B9" s="1">
        <v>0</v>
      </c>
      <c r="C9" s="1">
        <v>11</v>
      </c>
      <c r="D9" s="1">
        <v>2</v>
      </c>
      <c r="E9" s="1">
        <v>2</v>
      </c>
      <c r="F9" s="1">
        <v>2</v>
      </c>
      <c r="G9" s="1">
        <v>1</v>
      </c>
      <c r="H9" s="1">
        <v>1</v>
      </c>
      <c r="I9" s="1">
        <v>0</v>
      </c>
      <c r="J9" s="1">
        <v>1</v>
      </c>
    </row>
    <row r="10" spans="1:10" x14ac:dyDescent="0.2">
      <c r="A10" s="1">
        <v>1699</v>
      </c>
      <c r="B10" s="1">
        <v>0</v>
      </c>
      <c r="C10" s="1">
        <v>15</v>
      </c>
      <c r="D10" s="1">
        <v>5</v>
      </c>
      <c r="E10" s="1">
        <v>3</v>
      </c>
      <c r="F10" s="1">
        <v>2</v>
      </c>
      <c r="G10" s="1">
        <v>1</v>
      </c>
      <c r="H10" s="1">
        <v>1</v>
      </c>
      <c r="I10" s="1">
        <v>1</v>
      </c>
      <c r="J10" s="1">
        <v>1</v>
      </c>
    </row>
    <row r="11" spans="1:10" x14ac:dyDescent="0.2">
      <c r="A11" s="1">
        <v>2487</v>
      </c>
      <c r="B11" s="1">
        <v>0</v>
      </c>
      <c r="C11" s="1">
        <v>17</v>
      </c>
      <c r="D11" s="1">
        <v>2</v>
      </c>
      <c r="E11" s="1">
        <v>1</v>
      </c>
      <c r="F11" s="1">
        <v>3</v>
      </c>
      <c r="G11" s="1">
        <v>1</v>
      </c>
      <c r="H11" s="1">
        <v>0</v>
      </c>
      <c r="I11" s="1">
        <v>2</v>
      </c>
      <c r="J11" s="1">
        <v>1</v>
      </c>
    </row>
    <row r="12" spans="1:10" x14ac:dyDescent="0.2">
      <c r="A12" s="1">
        <v>2346</v>
      </c>
      <c r="B12" s="1">
        <v>0</v>
      </c>
      <c r="C12" s="1">
        <v>16</v>
      </c>
      <c r="D12" s="1">
        <v>4</v>
      </c>
      <c r="E12" s="1">
        <v>2</v>
      </c>
      <c r="F12" s="1">
        <v>3</v>
      </c>
      <c r="G12" s="1">
        <v>1</v>
      </c>
      <c r="H12" s="1">
        <v>1</v>
      </c>
      <c r="I12" s="1">
        <v>2</v>
      </c>
      <c r="J12" s="1">
        <v>1</v>
      </c>
    </row>
    <row r="13" spans="1:10" x14ac:dyDescent="0.2">
      <c r="A13" s="1">
        <v>1852</v>
      </c>
      <c r="B13" s="1">
        <v>0</v>
      </c>
      <c r="C13" s="1">
        <v>8</v>
      </c>
      <c r="D13" s="1">
        <v>5</v>
      </c>
      <c r="E13" s="1">
        <v>3</v>
      </c>
      <c r="F13" s="1">
        <v>3</v>
      </c>
      <c r="G13" s="1">
        <v>1</v>
      </c>
      <c r="H13" s="1">
        <v>0</v>
      </c>
      <c r="I13" s="1">
        <v>2</v>
      </c>
      <c r="J13" s="1">
        <v>1</v>
      </c>
    </row>
    <row r="14" spans="1:10" x14ac:dyDescent="0.2">
      <c r="A14" s="1">
        <v>2251</v>
      </c>
      <c r="B14" s="1">
        <v>0</v>
      </c>
      <c r="C14" s="1">
        <v>8</v>
      </c>
      <c r="D14" s="1">
        <v>2</v>
      </c>
      <c r="E14" s="1">
        <v>3</v>
      </c>
      <c r="F14" s="1">
        <v>3</v>
      </c>
      <c r="G14" s="1">
        <v>1</v>
      </c>
      <c r="H14" s="1">
        <v>1</v>
      </c>
      <c r="I14" s="1">
        <v>1</v>
      </c>
      <c r="J14" s="1">
        <v>1</v>
      </c>
    </row>
    <row r="15" spans="1:10" x14ac:dyDescent="0.2">
      <c r="A15" s="1">
        <v>1235</v>
      </c>
      <c r="B15" s="1">
        <v>0</v>
      </c>
      <c r="C15" s="1">
        <v>6</v>
      </c>
      <c r="D15" s="1">
        <v>3</v>
      </c>
      <c r="E15" s="1">
        <v>1</v>
      </c>
      <c r="F15" s="1">
        <v>4</v>
      </c>
      <c r="G15" s="1">
        <v>1</v>
      </c>
      <c r="H15" s="1">
        <v>1</v>
      </c>
      <c r="I15" s="1">
        <v>0</v>
      </c>
      <c r="J15" s="1">
        <v>1</v>
      </c>
    </row>
    <row r="16" spans="1:10" x14ac:dyDescent="0.2">
      <c r="A16" s="1">
        <v>390</v>
      </c>
      <c r="B16" s="1">
        <v>0</v>
      </c>
      <c r="C16" s="1">
        <v>7</v>
      </c>
      <c r="D16" s="1">
        <v>5</v>
      </c>
      <c r="E16" s="1">
        <v>1</v>
      </c>
      <c r="F16" s="1">
        <v>4</v>
      </c>
      <c r="G16" s="1">
        <v>1</v>
      </c>
      <c r="H16" s="1">
        <v>0</v>
      </c>
      <c r="I16" s="1">
        <v>0</v>
      </c>
      <c r="J16" s="1">
        <v>1</v>
      </c>
    </row>
    <row r="17" spans="1:10" x14ac:dyDescent="0.2">
      <c r="A17" s="1">
        <v>156</v>
      </c>
      <c r="B17" s="1">
        <v>0</v>
      </c>
      <c r="C17" s="1">
        <v>18</v>
      </c>
      <c r="D17" s="1">
        <v>1</v>
      </c>
      <c r="E17" s="1">
        <v>1</v>
      </c>
      <c r="F17" s="1">
        <v>4</v>
      </c>
      <c r="G17" s="1">
        <v>1</v>
      </c>
      <c r="H17" s="1">
        <v>0</v>
      </c>
      <c r="I17" s="1">
        <v>0</v>
      </c>
      <c r="J17" s="1">
        <v>1</v>
      </c>
    </row>
    <row r="18" spans="1:10" x14ac:dyDescent="0.2">
      <c r="A18" s="1">
        <v>1893</v>
      </c>
      <c r="B18" s="1">
        <v>0</v>
      </c>
      <c r="C18" s="1">
        <v>14</v>
      </c>
      <c r="D18" s="1">
        <v>5</v>
      </c>
      <c r="E18" s="1">
        <v>2</v>
      </c>
      <c r="F18" s="1">
        <v>4</v>
      </c>
      <c r="G18" s="1">
        <v>1</v>
      </c>
      <c r="H18" s="1">
        <v>0</v>
      </c>
      <c r="I18" s="1">
        <v>2</v>
      </c>
      <c r="J18" s="1">
        <v>1</v>
      </c>
    </row>
    <row r="19" spans="1:10" x14ac:dyDescent="0.2">
      <c r="A19" s="1">
        <v>336</v>
      </c>
      <c r="B19" s="1">
        <v>0</v>
      </c>
      <c r="C19" s="1">
        <v>5</v>
      </c>
      <c r="D19" s="1">
        <v>1</v>
      </c>
      <c r="E19" s="1">
        <v>3</v>
      </c>
      <c r="F19" s="1">
        <v>4</v>
      </c>
      <c r="G19" s="1">
        <v>1</v>
      </c>
      <c r="H19" s="1">
        <v>1</v>
      </c>
      <c r="I19" s="1">
        <v>3</v>
      </c>
      <c r="J19" s="1">
        <v>1</v>
      </c>
    </row>
    <row r="20" spans="1:10" x14ac:dyDescent="0.2">
      <c r="A20" s="1">
        <v>1447</v>
      </c>
      <c r="B20" s="1">
        <v>0</v>
      </c>
      <c r="C20" s="1">
        <v>9</v>
      </c>
      <c r="D20" s="1">
        <v>3</v>
      </c>
      <c r="E20" s="1">
        <v>3</v>
      </c>
      <c r="F20" s="1">
        <v>4</v>
      </c>
      <c r="G20" s="1">
        <v>1</v>
      </c>
      <c r="H20" s="1">
        <v>1</v>
      </c>
      <c r="I20" s="1">
        <v>1</v>
      </c>
      <c r="J20" s="1">
        <v>1</v>
      </c>
    </row>
    <row r="21" spans="1:10" x14ac:dyDescent="0.2">
      <c r="A21" s="1">
        <v>771</v>
      </c>
      <c r="B21" s="1">
        <v>0</v>
      </c>
      <c r="C21" s="1">
        <v>12</v>
      </c>
      <c r="D21" s="1">
        <v>2</v>
      </c>
      <c r="E21" s="1">
        <v>3</v>
      </c>
      <c r="F21" s="1">
        <v>4</v>
      </c>
      <c r="G21" s="1">
        <v>1</v>
      </c>
      <c r="H21" s="1">
        <v>0</v>
      </c>
      <c r="I21" s="1">
        <v>2</v>
      </c>
      <c r="J21" s="1">
        <v>1</v>
      </c>
    </row>
    <row r="22" spans="1:10" x14ac:dyDescent="0.2">
      <c r="A22" s="1">
        <v>871</v>
      </c>
      <c r="B22" s="1">
        <v>0</v>
      </c>
      <c r="C22" s="1">
        <v>5</v>
      </c>
      <c r="D22" s="1">
        <v>5</v>
      </c>
      <c r="E22" s="1">
        <v>1</v>
      </c>
      <c r="F22" s="1">
        <v>5</v>
      </c>
      <c r="G22" s="1">
        <v>1</v>
      </c>
      <c r="H22" s="1">
        <v>0</v>
      </c>
      <c r="I22" s="1">
        <v>1</v>
      </c>
      <c r="J22" s="1">
        <v>1</v>
      </c>
    </row>
    <row r="23" spans="1:10" x14ac:dyDescent="0.2">
      <c r="A23" s="1">
        <v>1577</v>
      </c>
      <c r="B23" s="1">
        <v>0</v>
      </c>
      <c r="C23" s="1">
        <v>5</v>
      </c>
      <c r="D23" s="1">
        <v>3</v>
      </c>
      <c r="E23" s="1">
        <v>1</v>
      </c>
      <c r="F23" s="1">
        <v>5</v>
      </c>
      <c r="G23" s="1">
        <v>1</v>
      </c>
      <c r="H23" s="1">
        <v>1</v>
      </c>
      <c r="I23" s="1">
        <v>2</v>
      </c>
      <c r="J23" s="1">
        <v>1</v>
      </c>
    </row>
    <row r="24" spans="1:10" x14ac:dyDescent="0.2">
      <c r="A24" s="1">
        <v>891</v>
      </c>
      <c r="B24" s="1">
        <v>0</v>
      </c>
      <c r="C24" s="1">
        <v>9</v>
      </c>
      <c r="D24" s="1">
        <v>2</v>
      </c>
      <c r="E24" s="1">
        <v>1</v>
      </c>
      <c r="F24" s="1">
        <v>5</v>
      </c>
      <c r="G24" s="1">
        <v>1</v>
      </c>
      <c r="H24" s="1">
        <v>1</v>
      </c>
      <c r="I24" s="1">
        <v>3</v>
      </c>
      <c r="J24" s="1">
        <v>1</v>
      </c>
    </row>
    <row r="25" spans="1:10" x14ac:dyDescent="0.2">
      <c r="A25" s="1">
        <v>278</v>
      </c>
      <c r="B25" s="1">
        <v>0</v>
      </c>
      <c r="C25" s="1">
        <v>13</v>
      </c>
      <c r="D25" s="1">
        <v>1</v>
      </c>
      <c r="E25" s="1">
        <v>1</v>
      </c>
      <c r="F25" s="1">
        <v>5</v>
      </c>
      <c r="G25" s="1">
        <v>1</v>
      </c>
      <c r="H25" s="1">
        <v>0</v>
      </c>
      <c r="I25" s="1">
        <v>1</v>
      </c>
      <c r="J25" s="1">
        <v>1</v>
      </c>
    </row>
    <row r="26" spans="1:10" x14ac:dyDescent="0.2">
      <c r="A26" s="1">
        <v>648</v>
      </c>
      <c r="B26" s="1">
        <v>0</v>
      </c>
      <c r="C26" s="1">
        <v>17</v>
      </c>
      <c r="D26" s="1">
        <v>5</v>
      </c>
      <c r="E26" s="1">
        <v>1</v>
      </c>
      <c r="F26" s="1">
        <v>5</v>
      </c>
      <c r="G26" s="1">
        <v>1</v>
      </c>
      <c r="H26" s="1">
        <v>0</v>
      </c>
      <c r="I26" s="1">
        <v>0</v>
      </c>
      <c r="J26" s="1">
        <v>1</v>
      </c>
    </row>
    <row r="27" spans="1:10" x14ac:dyDescent="0.2">
      <c r="A27" s="1">
        <v>1011</v>
      </c>
      <c r="B27" s="1">
        <v>0</v>
      </c>
      <c r="C27" s="1">
        <v>17</v>
      </c>
      <c r="D27" s="1">
        <v>3</v>
      </c>
      <c r="E27" s="1">
        <v>1</v>
      </c>
      <c r="F27" s="1">
        <v>5</v>
      </c>
      <c r="G27" s="1">
        <v>1</v>
      </c>
      <c r="H27" s="1">
        <v>1</v>
      </c>
      <c r="I27" s="1">
        <v>2</v>
      </c>
      <c r="J27" s="1">
        <v>1</v>
      </c>
    </row>
    <row r="28" spans="1:10" x14ac:dyDescent="0.2">
      <c r="A28" s="1">
        <v>91</v>
      </c>
      <c r="B28" s="1">
        <v>0</v>
      </c>
      <c r="C28" s="1">
        <v>7</v>
      </c>
      <c r="D28" s="1">
        <v>1</v>
      </c>
      <c r="E28" s="1">
        <v>2</v>
      </c>
      <c r="F28" s="1">
        <v>5</v>
      </c>
      <c r="G28" s="1">
        <v>1</v>
      </c>
      <c r="H28" s="1">
        <v>1</v>
      </c>
      <c r="I28" s="1">
        <v>1</v>
      </c>
      <c r="J28" s="1">
        <v>1</v>
      </c>
    </row>
    <row r="29" spans="1:10" x14ac:dyDescent="0.2">
      <c r="A29" s="1">
        <v>2213</v>
      </c>
      <c r="B29" s="1">
        <v>0</v>
      </c>
      <c r="C29" s="1">
        <v>18</v>
      </c>
      <c r="D29" s="1">
        <v>1</v>
      </c>
      <c r="E29" s="1">
        <v>2</v>
      </c>
      <c r="F29" s="1">
        <v>5</v>
      </c>
      <c r="G29" s="1">
        <v>1</v>
      </c>
      <c r="H29" s="1">
        <v>1</v>
      </c>
      <c r="I29" s="1">
        <v>0</v>
      </c>
      <c r="J29" s="1">
        <v>1</v>
      </c>
    </row>
    <row r="30" spans="1:10" x14ac:dyDescent="0.2">
      <c r="A30" s="1">
        <v>1361</v>
      </c>
      <c r="B30" s="1">
        <v>0</v>
      </c>
      <c r="C30" s="1">
        <v>7</v>
      </c>
      <c r="D30" s="1">
        <v>1</v>
      </c>
      <c r="E30" s="1">
        <v>3</v>
      </c>
      <c r="F30" s="1">
        <v>5</v>
      </c>
      <c r="G30" s="1">
        <v>1</v>
      </c>
      <c r="H30" s="1">
        <v>1</v>
      </c>
      <c r="I30" s="1">
        <v>0</v>
      </c>
      <c r="J30" s="1">
        <v>1</v>
      </c>
    </row>
    <row r="31" spans="1:10" x14ac:dyDescent="0.2">
      <c r="A31" s="1">
        <v>170</v>
      </c>
      <c r="B31" s="1">
        <v>0</v>
      </c>
      <c r="C31" s="1">
        <v>9</v>
      </c>
      <c r="D31" s="1">
        <v>2</v>
      </c>
      <c r="E31" s="1">
        <v>3</v>
      </c>
      <c r="F31" s="1">
        <v>5</v>
      </c>
      <c r="G31" s="1">
        <v>1</v>
      </c>
      <c r="H31" s="1">
        <v>0</v>
      </c>
      <c r="I31" s="1">
        <v>0</v>
      </c>
      <c r="J31" s="1">
        <v>1</v>
      </c>
    </row>
    <row r="32" spans="1:10" x14ac:dyDescent="0.2">
      <c r="A32" s="1">
        <v>1942</v>
      </c>
      <c r="B32" s="1">
        <v>0</v>
      </c>
      <c r="C32" s="1">
        <v>11</v>
      </c>
      <c r="D32" s="1">
        <v>1</v>
      </c>
      <c r="E32" s="1">
        <v>3</v>
      </c>
      <c r="F32" s="1">
        <v>5</v>
      </c>
      <c r="G32" s="1">
        <v>1</v>
      </c>
      <c r="H32" s="1">
        <v>0</v>
      </c>
      <c r="I32" s="1">
        <v>0</v>
      </c>
      <c r="J32" s="1">
        <v>1</v>
      </c>
    </row>
    <row r="33" spans="1:10" x14ac:dyDescent="0.2">
      <c r="A33" s="1">
        <v>1749</v>
      </c>
      <c r="B33" s="1">
        <v>0</v>
      </c>
      <c r="C33" s="1">
        <v>13</v>
      </c>
      <c r="D33" s="1">
        <v>1</v>
      </c>
      <c r="E33" s="1">
        <v>3</v>
      </c>
      <c r="F33" s="1">
        <v>5</v>
      </c>
      <c r="G33" s="1">
        <v>1</v>
      </c>
      <c r="H33" s="1">
        <v>0</v>
      </c>
      <c r="I33" s="1">
        <v>1</v>
      </c>
      <c r="J33" s="1">
        <v>1</v>
      </c>
    </row>
    <row r="34" spans="1:10" x14ac:dyDescent="0.2">
      <c r="A34" s="1">
        <v>889</v>
      </c>
      <c r="B34" s="1">
        <v>0</v>
      </c>
      <c r="C34" s="1">
        <v>14</v>
      </c>
      <c r="D34" s="1">
        <v>4</v>
      </c>
      <c r="E34" s="1">
        <v>3</v>
      </c>
      <c r="F34" s="1">
        <v>5</v>
      </c>
      <c r="G34" s="1">
        <v>1</v>
      </c>
      <c r="H34" s="1">
        <v>0</v>
      </c>
      <c r="I34" s="1">
        <v>2</v>
      </c>
      <c r="J34" s="1">
        <v>1</v>
      </c>
    </row>
    <row r="35" spans="1:10" x14ac:dyDescent="0.2">
      <c r="A35" s="1">
        <v>1364</v>
      </c>
      <c r="B35" s="1">
        <v>0</v>
      </c>
      <c r="C35" s="1">
        <v>9</v>
      </c>
      <c r="D35" s="1">
        <v>1</v>
      </c>
      <c r="E35" s="1">
        <v>2</v>
      </c>
      <c r="F35" s="1">
        <v>6</v>
      </c>
      <c r="G35" s="1">
        <v>1</v>
      </c>
      <c r="H35" s="1">
        <v>1</v>
      </c>
      <c r="I35" s="1">
        <v>3</v>
      </c>
      <c r="J35" s="1">
        <v>1</v>
      </c>
    </row>
    <row r="36" spans="1:10" x14ac:dyDescent="0.2">
      <c r="A36" s="1">
        <v>1198</v>
      </c>
      <c r="B36" s="1">
        <v>0</v>
      </c>
      <c r="C36" s="1">
        <v>8</v>
      </c>
      <c r="D36" s="1">
        <v>2</v>
      </c>
      <c r="E36" s="1">
        <v>3</v>
      </c>
      <c r="F36" s="1">
        <v>6</v>
      </c>
      <c r="G36" s="1">
        <v>1</v>
      </c>
      <c r="H36" s="1">
        <v>0</v>
      </c>
      <c r="I36" s="1">
        <v>0</v>
      </c>
      <c r="J36" s="1">
        <v>1</v>
      </c>
    </row>
    <row r="37" spans="1:10" x14ac:dyDescent="0.2">
      <c r="A37" s="1">
        <v>883</v>
      </c>
      <c r="B37" s="1">
        <v>0</v>
      </c>
      <c r="C37" s="1">
        <v>10</v>
      </c>
      <c r="D37" s="1">
        <v>5</v>
      </c>
      <c r="E37" s="1">
        <v>3</v>
      </c>
      <c r="F37" s="1">
        <v>6</v>
      </c>
      <c r="G37" s="1">
        <v>1</v>
      </c>
      <c r="H37" s="1">
        <v>0</v>
      </c>
      <c r="I37" s="1">
        <v>2</v>
      </c>
      <c r="J37" s="1">
        <v>1</v>
      </c>
    </row>
    <row r="38" spans="1:10" x14ac:dyDescent="0.2">
      <c r="A38" s="1">
        <v>1807</v>
      </c>
      <c r="B38" s="1">
        <v>0</v>
      </c>
      <c r="C38" s="1">
        <v>15</v>
      </c>
      <c r="D38" s="1">
        <v>3</v>
      </c>
      <c r="E38" s="1">
        <v>3</v>
      </c>
      <c r="F38" s="1">
        <v>6</v>
      </c>
      <c r="G38" s="1">
        <v>1</v>
      </c>
      <c r="H38" s="1">
        <v>1</v>
      </c>
      <c r="I38" s="1">
        <v>1</v>
      </c>
      <c r="J38" s="1">
        <v>1</v>
      </c>
    </row>
    <row r="39" spans="1:10" x14ac:dyDescent="0.2">
      <c r="A39" s="1">
        <v>2000</v>
      </c>
      <c r="B39" s="1">
        <v>0</v>
      </c>
      <c r="C39" s="1">
        <v>16</v>
      </c>
      <c r="D39" s="1">
        <v>5</v>
      </c>
      <c r="E39" s="1">
        <v>1</v>
      </c>
      <c r="F39" s="1">
        <v>7</v>
      </c>
      <c r="G39" s="1">
        <v>1</v>
      </c>
      <c r="H39" s="1">
        <v>1</v>
      </c>
      <c r="I39" s="1">
        <v>3</v>
      </c>
      <c r="J39" s="1">
        <v>1</v>
      </c>
    </row>
    <row r="40" spans="1:10" x14ac:dyDescent="0.2">
      <c r="A40" s="1">
        <v>678</v>
      </c>
      <c r="B40" s="1">
        <v>0</v>
      </c>
      <c r="C40" s="1">
        <v>7</v>
      </c>
      <c r="D40" s="1">
        <v>1</v>
      </c>
      <c r="E40" s="1">
        <v>3</v>
      </c>
      <c r="F40" s="1">
        <v>7</v>
      </c>
      <c r="G40" s="1">
        <v>1</v>
      </c>
      <c r="H40" s="1">
        <v>1</v>
      </c>
      <c r="I40" s="1">
        <v>2</v>
      </c>
      <c r="J40" s="1">
        <v>1</v>
      </c>
    </row>
    <row r="41" spans="1:10" x14ac:dyDescent="0.2">
      <c r="A41" s="1">
        <v>2118</v>
      </c>
      <c r="B41" s="1">
        <v>0</v>
      </c>
      <c r="C41" s="1">
        <v>15</v>
      </c>
      <c r="D41" s="1">
        <v>2</v>
      </c>
      <c r="E41" s="1">
        <v>3</v>
      </c>
      <c r="F41" s="1">
        <v>7</v>
      </c>
      <c r="G41" s="1">
        <v>1</v>
      </c>
      <c r="H41" s="1">
        <v>0</v>
      </c>
      <c r="I41" s="1">
        <v>1</v>
      </c>
      <c r="J41" s="1">
        <v>1</v>
      </c>
    </row>
    <row r="42" spans="1:10" x14ac:dyDescent="0.2">
      <c r="A42" s="1">
        <v>2440</v>
      </c>
      <c r="B42" s="1">
        <v>0</v>
      </c>
      <c r="C42" s="1">
        <v>17</v>
      </c>
      <c r="D42" s="1">
        <v>3</v>
      </c>
      <c r="E42" s="1">
        <v>3</v>
      </c>
      <c r="F42" s="1">
        <v>7</v>
      </c>
      <c r="G42" s="1">
        <v>1</v>
      </c>
      <c r="H42" s="1">
        <v>0</v>
      </c>
      <c r="I42" s="1">
        <v>1</v>
      </c>
      <c r="J42" s="1">
        <v>1</v>
      </c>
    </row>
    <row r="43" spans="1:10" x14ac:dyDescent="0.2">
      <c r="A43" s="1">
        <v>2023</v>
      </c>
      <c r="B43" s="1">
        <v>0</v>
      </c>
      <c r="C43" s="1">
        <v>17</v>
      </c>
      <c r="D43" s="1">
        <v>1</v>
      </c>
      <c r="E43" s="1">
        <v>1</v>
      </c>
      <c r="F43" s="1">
        <v>8</v>
      </c>
      <c r="G43" s="1">
        <v>1</v>
      </c>
      <c r="H43" s="1">
        <v>0</v>
      </c>
      <c r="I43" s="1">
        <v>3</v>
      </c>
      <c r="J43" s="1">
        <v>1</v>
      </c>
    </row>
    <row r="44" spans="1:10" x14ac:dyDescent="0.2">
      <c r="A44" s="1">
        <v>1611</v>
      </c>
      <c r="B44" s="1">
        <v>0</v>
      </c>
      <c r="C44" s="1">
        <v>5</v>
      </c>
      <c r="D44" s="1">
        <v>3</v>
      </c>
      <c r="E44" s="1">
        <v>2</v>
      </c>
      <c r="F44" s="1">
        <v>8</v>
      </c>
      <c r="G44" s="1">
        <v>1</v>
      </c>
      <c r="H44" s="1">
        <v>0</v>
      </c>
      <c r="I44" s="1">
        <v>0</v>
      </c>
      <c r="J44" s="1">
        <v>1</v>
      </c>
    </row>
    <row r="45" spans="1:10" x14ac:dyDescent="0.2">
      <c r="A45" s="1">
        <v>245</v>
      </c>
      <c r="B45" s="1">
        <v>0</v>
      </c>
      <c r="C45" s="1">
        <v>16</v>
      </c>
      <c r="D45" s="1">
        <v>2</v>
      </c>
      <c r="E45" s="1">
        <v>2</v>
      </c>
      <c r="F45" s="1">
        <v>8</v>
      </c>
      <c r="G45" s="1">
        <v>1</v>
      </c>
      <c r="H45" s="1">
        <v>1</v>
      </c>
      <c r="I45" s="1">
        <v>0</v>
      </c>
      <c r="J45" s="1">
        <v>1</v>
      </c>
    </row>
    <row r="46" spans="1:10" x14ac:dyDescent="0.2">
      <c r="A46" s="1">
        <v>2331</v>
      </c>
      <c r="B46" s="1">
        <v>0</v>
      </c>
      <c r="C46" s="1">
        <v>9</v>
      </c>
      <c r="D46" s="1">
        <v>3</v>
      </c>
      <c r="E46" s="1">
        <v>3</v>
      </c>
      <c r="F46" s="1">
        <v>8</v>
      </c>
      <c r="G46" s="1">
        <v>1</v>
      </c>
      <c r="H46" s="1">
        <v>1</v>
      </c>
      <c r="I46" s="1">
        <v>2</v>
      </c>
      <c r="J46" s="1">
        <v>1</v>
      </c>
    </row>
    <row r="47" spans="1:10" x14ac:dyDescent="0.2">
      <c r="A47" s="1">
        <v>2049</v>
      </c>
      <c r="B47" s="1">
        <v>0</v>
      </c>
      <c r="C47" s="1">
        <v>16</v>
      </c>
      <c r="D47" s="1">
        <v>3</v>
      </c>
      <c r="E47" s="1">
        <v>3</v>
      </c>
      <c r="F47" s="1">
        <v>8</v>
      </c>
      <c r="G47" s="1">
        <v>1</v>
      </c>
      <c r="H47" s="1">
        <v>1</v>
      </c>
      <c r="I47" s="1">
        <v>0</v>
      </c>
      <c r="J47" s="1">
        <v>1</v>
      </c>
    </row>
    <row r="48" spans="1:10" x14ac:dyDescent="0.2">
      <c r="A48" s="1">
        <v>763</v>
      </c>
      <c r="B48" s="1">
        <v>0</v>
      </c>
      <c r="C48" s="1">
        <v>20</v>
      </c>
      <c r="D48" s="1">
        <v>3</v>
      </c>
      <c r="E48" s="1">
        <v>3</v>
      </c>
      <c r="F48" s="1">
        <v>8</v>
      </c>
      <c r="G48" s="1">
        <v>1</v>
      </c>
      <c r="H48" s="1">
        <v>0</v>
      </c>
      <c r="I48" s="1">
        <v>2</v>
      </c>
      <c r="J48" s="1">
        <v>1</v>
      </c>
    </row>
    <row r="49" spans="1:10" x14ac:dyDescent="0.2">
      <c r="A49" s="1">
        <v>2154</v>
      </c>
      <c r="B49" s="1">
        <v>0</v>
      </c>
      <c r="C49" s="1">
        <v>10</v>
      </c>
      <c r="D49" s="1">
        <v>4</v>
      </c>
      <c r="E49" s="1">
        <v>1</v>
      </c>
      <c r="F49" s="1">
        <v>9</v>
      </c>
      <c r="G49" s="1">
        <v>1</v>
      </c>
      <c r="H49" s="1">
        <v>0</v>
      </c>
      <c r="I49" s="1">
        <v>2</v>
      </c>
      <c r="J49" s="1">
        <v>1</v>
      </c>
    </row>
    <row r="50" spans="1:10" x14ac:dyDescent="0.2">
      <c r="A50" s="1">
        <v>2450</v>
      </c>
      <c r="B50" s="1">
        <v>0</v>
      </c>
      <c r="C50" s="1">
        <v>7</v>
      </c>
      <c r="D50" s="1">
        <v>5</v>
      </c>
      <c r="E50" s="1">
        <v>2</v>
      </c>
      <c r="F50" s="1">
        <v>9</v>
      </c>
      <c r="G50" s="1">
        <v>1</v>
      </c>
      <c r="H50" s="1">
        <v>1</v>
      </c>
      <c r="I50" s="1">
        <v>3</v>
      </c>
      <c r="J50" s="1">
        <v>1</v>
      </c>
    </row>
    <row r="51" spans="1:10" x14ac:dyDescent="0.2">
      <c r="A51" s="1">
        <v>167</v>
      </c>
      <c r="B51" s="1">
        <v>0</v>
      </c>
      <c r="C51" s="1">
        <v>19</v>
      </c>
      <c r="D51" s="1">
        <v>5</v>
      </c>
      <c r="E51" s="1">
        <v>2</v>
      </c>
      <c r="F51" s="1">
        <v>9</v>
      </c>
      <c r="G51" s="1">
        <v>1</v>
      </c>
      <c r="H51" s="1">
        <v>0</v>
      </c>
      <c r="I51" s="1">
        <v>2</v>
      </c>
      <c r="J51" s="1">
        <v>1</v>
      </c>
    </row>
    <row r="52" spans="1:10" x14ac:dyDescent="0.2">
      <c r="A52" s="1">
        <v>368</v>
      </c>
      <c r="B52" s="1">
        <v>0</v>
      </c>
      <c r="C52" s="1">
        <v>6</v>
      </c>
      <c r="D52" s="1">
        <v>5</v>
      </c>
      <c r="E52" s="1">
        <v>1</v>
      </c>
      <c r="F52" s="1">
        <v>10</v>
      </c>
      <c r="G52" s="1">
        <v>1</v>
      </c>
      <c r="H52" s="1">
        <v>1</v>
      </c>
      <c r="I52" s="1">
        <v>1</v>
      </c>
      <c r="J52" s="1">
        <v>1</v>
      </c>
    </row>
    <row r="53" spans="1:10" x14ac:dyDescent="0.2">
      <c r="A53" s="1">
        <v>852</v>
      </c>
      <c r="B53" s="1">
        <v>0</v>
      </c>
      <c r="C53" s="1">
        <v>15</v>
      </c>
      <c r="D53" s="1">
        <v>5</v>
      </c>
      <c r="E53" s="1">
        <v>1</v>
      </c>
      <c r="F53" s="1">
        <v>10</v>
      </c>
      <c r="G53" s="1">
        <v>1</v>
      </c>
      <c r="H53" s="1">
        <v>0</v>
      </c>
      <c r="I53" s="1">
        <v>3</v>
      </c>
      <c r="J53" s="1">
        <v>1</v>
      </c>
    </row>
    <row r="54" spans="1:10" x14ac:dyDescent="0.2">
      <c r="A54" s="1">
        <v>955</v>
      </c>
      <c r="B54" s="1">
        <v>0</v>
      </c>
      <c r="C54" s="1">
        <v>17</v>
      </c>
      <c r="D54" s="1">
        <v>1</v>
      </c>
      <c r="E54" s="1">
        <v>1</v>
      </c>
      <c r="F54" s="1">
        <v>10</v>
      </c>
      <c r="G54" s="1">
        <v>1</v>
      </c>
      <c r="H54" s="1">
        <v>1</v>
      </c>
      <c r="I54" s="1">
        <v>0</v>
      </c>
      <c r="J54" s="1">
        <v>1</v>
      </c>
    </row>
    <row r="55" spans="1:10" x14ac:dyDescent="0.2">
      <c r="A55" s="1">
        <v>1556</v>
      </c>
      <c r="B55" s="1">
        <v>0</v>
      </c>
      <c r="C55" s="1">
        <v>10</v>
      </c>
      <c r="D55" s="1">
        <v>4</v>
      </c>
      <c r="E55" s="1">
        <v>2</v>
      </c>
      <c r="F55" s="1">
        <v>10</v>
      </c>
      <c r="G55" s="1">
        <v>1</v>
      </c>
      <c r="H55" s="1">
        <v>0</v>
      </c>
      <c r="I55" s="1">
        <v>2</v>
      </c>
      <c r="J55" s="1">
        <v>1</v>
      </c>
    </row>
    <row r="56" spans="1:10" x14ac:dyDescent="0.2">
      <c r="A56" s="1">
        <v>1789</v>
      </c>
      <c r="B56" s="1">
        <v>0</v>
      </c>
      <c r="C56" s="1">
        <v>16</v>
      </c>
      <c r="D56" s="1">
        <v>2</v>
      </c>
      <c r="E56" s="1">
        <v>2</v>
      </c>
      <c r="F56" s="1">
        <v>10</v>
      </c>
      <c r="G56" s="1">
        <v>1</v>
      </c>
      <c r="H56" s="1">
        <v>0</v>
      </c>
      <c r="I56" s="1">
        <v>2</v>
      </c>
      <c r="J56" s="1">
        <v>1</v>
      </c>
    </row>
    <row r="57" spans="1:10" x14ac:dyDescent="0.2">
      <c r="A57" s="1">
        <v>1464</v>
      </c>
      <c r="B57" s="1">
        <v>0</v>
      </c>
      <c r="C57" s="1">
        <v>18</v>
      </c>
      <c r="D57" s="1">
        <v>1</v>
      </c>
      <c r="E57" s="1">
        <v>2</v>
      </c>
      <c r="F57" s="1">
        <v>10</v>
      </c>
      <c r="G57" s="1">
        <v>1</v>
      </c>
      <c r="H57" s="1">
        <v>1</v>
      </c>
      <c r="I57" s="1">
        <v>0</v>
      </c>
      <c r="J57" s="1">
        <v>1</v>
      </c>
    </row>
    <row r="58" spans="1:10" x14ac:dyDescent="0.2">
      <c r="A58" s="1">
        <v>175</v>
      </c>
      <c r="B58" s="1">
        <v>0</v>
      </c>
      <c r="C58" s="1">
        <v>8</v>
      </c>
      <c r="D58" s="1">
        <v>1</v>
      </c>
      <c r="E58" s="1">
        <v>3</v>
      </c>
      <c r="F58" s="1">
        <v>10</v>
      </c>
      <c r="G58" s="1">
        <v>1</v>
      </c>
      <c r="H58" s="1">
        <v>1</v>
      </c>
      <c r="I58" s="1">
        <v>0</v>
      </c>
      <c r="J58" s="1">
        <v>1</v>
      </c>
    </row>
    <row r="59" spans="1:10" x14ac:dyDescent="0.2">
      <c r="A59" s="1">
        <v>1225</v>
      </c>
      <c r="B59" s="1">
        <v>0</v>
      </c>
      <c r="C59" s="1">
        <v>8</v>
      </c>
      <c r="D59" s="1">
        <v>4</v>
      </c>
      <c r="E59" s="1">
        <v>3</v>
      </c>
      <c r="F59" s="1">
        <v>10</v>
      </c>
      <c r="G59" s="1">
        <v>1</v>
      </c>
      <c r="H59" s="1">
        <v>0</v>
      </c>
      <c r="I59" s="1">
        <v>1</v>
      </c>
      <c r="J59" s="1">
        <v>1</v>
      </c>
    </row>
    <row r="60" spans="1:10" x14ac:dyDescent="0.2">
      <c r="A60" s="1">
        <v>2363</v>
      </c>
      <c r="B60" s="1">
        <v>0</v>
      </c>
      <c r="C60" s="1">
        <v>14</v>
      </c>
      <c r="D60" s="1">
        <v>2</v>
      </c>
      <c r="E60" s="1">
        <v>1</v>
      </c>
      <c r="F60" s="1">
        <v>1</v>
      </c>
      <c r="G60" s="1">
        <v>2</v>
      </c>
      <c r="H60" s="1">
        <v>1</v>
      </c>
      <c r="I60" s="1">
        <v>3</v>
      </c>
      <c r="J60" s="1">
        <v>1</v>
      </c>
    </row>
    <row r="61" spans="1:10" x14ac:dyDescent="0.2">
      <c r="A61" s="1">
        <v>1022</v>
      </c>
      <c r="B61" s="1">
        <v>0</v>
      </c>
      <c r="C61" s="1">
        <v>7</v>
      </c>
      <c r="D61" s="1">
        <v>1</v>
      </c>
      <c r="E61" s="1">
        <v>2</v>
      </c>
      <c r="F61" s="1">
        <v>1</v>
      </c>
      <c r="G61" s="1">
        <v>2</v>
      </c>
      <c r="H61" s="1">
        <v>1</v>
      </c>
      <c r="I61" s="1">
        <v>0</v>
      </c>
      <c r="J61" s="1">
        <v>1</v>
      </c>
    </row>
    <row r="62" spans="1:10" x14ac:dyDescent="0.2">
      <c r="A62" s="1">
        <v>2030</v>
      </c>
      <c r="B62" s="1">
        <v>0</v>
      </c>
      <c r="C62" s="1">
        <v>18</v>
      </c>
      <c r="D62" s="1">
        <v>5</v>
      </c>
      <c r="E62" s="1">
        <v>2</v>
      </c>
      <c r="F62" s="1">
        <v>1</v>
      </c>
      <c r="G62" s="1">
        <v>2</v>
      </c>
      <c r="H62" s="1">
        <v>1</v>
      </c>
      <c r="I62" s="1">
        <v>1</v>
      </c>
      <c r="J62" s="1">
        <v>1</v>
      </c>
    </row>
    <row r="63" spans="1:10" x14ac:dyDescent="0.2">
      <c r="A63" s="1">
        <v>148</v>
      </c>
      <c r="B63" s="1">
        <v>0</v>
      </c>
      <c r="C63" s="1">
        <v>5</v>
      </c>
      <c r="D63" s="1">
        <v>1</v>
      </c>
      <c r="E63" s="1">
        <v>3</v>
      </c>
      <c r="F63" s="1">
        <v>1</v>
      </c>
      <c r="G63" s="1">
        <v>2</v>
      </c>
      <c r="H63" s="1">
        <v>0</v>
      </c>
      <c r="I63" s="1">
        <v>2</v>
      </c>
      <c r="J63" s="1">
        <v>1</v>
      </c>
    </row>
    <row r="64" spans="1:10" x14ac:dyDescent="0.2">
      <c r="A64" s="1">
        <v>653</v>
      </c>
      <c r="B64" s="1">
        <v>0</v>
      </c>
      <c r="C64" s="1">
        <v>11</v>
      </c>
      <c r="D64" s="1">
        <v>5</v>
      </c>
      <c r="E64" s="1">
        <v>3</v>
      </c>
      <c r="F64" s="1">
        <v>1</v>
      </c>
      <c r="G64" s="1">
        <v>2</v>
      </c>
      <c r="H64" s="1">
        <v>0</v>
      </c>
      <c r="I64" s="1">
        <v>3</v>
      </c>
      <c r="J64" s="1">
        <v>1</v>
      </c>
    </row>
    <row r="65" spans="1:10" x14ac:dyDescent="0.2">
      <c r="A65" s="1">
        <v>1160</v>
      </c>
      <c r="B65" s="1">
        <v>0</v>
      </c>
      <c r="C65" s="1">
        <v>13</v>
      </c>
      <c r="D65" s="1">
        <v>2</v>
      </c>
      <c r="E65" s="1">
        <v>3</v>
      </c>
      <c r="F65" s="1">
        <v>1</v>
      </c>
      <c r="G65" s="1">
        <v>2</v>
      </c>
      <c r="H65" s="1">
        <v>0</v>
      </c>
      <c r="I65" s="1">
        <v>3</v>
      </c>
      <c r="J65" s="1">
        <v>1</v>
      </c>
    </row>
    <row r="66" spans="1:10" x14ac:dyDescent="0.2">
      <c r="A66" s="1">
        <v>2087</v>
      </c>
      <c r="B66" s="1">
        <v>0</v>
      </c>
      <c r="C66" s="1">
        <v>7</v>
      </c>
      <c r="D66" s="1">
        <v>1</v>
      </c>
      <c r="E66" s="1">
        <v>1</v>
      </c>
      <c r="F66" s="1">
        <v>2</v>
      </c>
      <c r="G66" s="1">
        <v>2</v>
      </c>
      <c r="H66" s="1">
        <v>1</v>
      </c>
      <c r="I66" s="1">
        <v>2</v>
      </c>
      <c r="J66" s="1">
        <v>1</v>
      </c>
    </row>
    <row r="67" spans="1:10" x14ac:dyDescent="0.2">
      <c r="A67" s="1">
        <v>445</v>
      </c>
      <c r="B67" s="1">
        <v>0</v>
      </c>
      <c r="C67" s="1">
        <v>13</v>
      </c>
      <c r="D67" s="1">
        <v>5</v>
      </c>
      <c r="E67" s="1">
        <v>1</v>
      </c>
      <c r="F67" s="1">
        <v>2</v>
      </c>
      <c r="G67" s="1">
        <v>2</v>
      </c>
      <c r="H67" s="1">
        <v>1</v>
      </c>
      <c r="I67" s="1">
        <v>3</v>
      </c>
      <c r="J67" s="1">
        <v>1</v>
      </c>
    </row>
    <row r="68" spans="1:10" x14ac:dyDescent="0.2">
      <c r="A68" s="1">
        <v>2367</v>
      </c>
      <c r="B68" s="1">
        <v>0</v>
      </c>
      <c r="C68" s="1">
        <v>17</v>
      </c>
      <c r="D68" s="1">
        <v>4</v>
      </c>
      <c r="E68" s="1">
        <v>2</v>
      </c>
      <c r="F68" s="1">
        <v>2</v>
      </c>
      <c r="G68" s="1">
        <v>2</v>
      </c>
      <c r="H68" s="1">
        <v>0</v>
      </c>
      <c r="I68" s="1">
        <v>2</v>
      </c>
      <c r="J68" s="1">
        <v>1</v>
      </c>
    </row>
    <row r="69" spans="1:10" x14ac:dyDescent="0.2">
      <c r="A69" s="1">
        <v>1071</v>
      </c>
      <c r="B69" s="1">
        <v>0</v>
      </c>
      <c r="C69" s="1">
        <v>8</v>
      </c>
      <c r="D69" s="1">
        <v>1</v>
      </c>
      <c r="E69" s="1">
        <v>3</v>
      </c>
      <c r="F69" s="1">
        <v>2</v>
      </c>
      <c r="G69" s="1">
        <v>2</v>
      </c>
      <c r="H69" s="1">
        <v>0</v>
      </c>
      <c r="I69" s="1">
        <v>2</v>
      </c>
      <c r="J69" s="1">
        <v>1</v>
      </c>
    </row>
    <row r="70" spans="1:10" x14ac:dyDescent="0.2">
      <c r="A70" s="1">
        <v>147</v>
      </c>
      <c r="B70" s="1">
        <v>0</v>
      </c>
      <c r="C70" s="1">
        <v>11</v>
      </c>
      <c r="D70" s="1">
        <v>5</v>
      </c>
      <c r="E70" s="1">
        <v>3</v>
      </c>
      <c r="F70" s="1">
        <v>2</v>
      </c>
      <c r="G70" s="1">
        <v>2</v>
      </c>
      <c r="H70" s="1">
        <v>0</v>
      </c>
      <c r="I70" s="1">
        <v>0</v>
      </c>
      <c r="J70" s="1">
        <v>1</v>
      </c>
    </row>
    <row r="71" spans="1:10" x14ac:dyDescent="0.2">
      <c r="A71" s="1">
        <v>2229</v>
      </c>
      <c r="B71" s="1">
        <v>0</v>
      </c>
      <c r="C71" s="1">
        <v>7</v>
      </c>
      <c r="D71" s="1">
        <v>3</v>
      </c>
      <c r="E71" s="1">
        <v>1</v>
      </c>
      <c r="F71" s="1">
        <v>3</v>
      </c>
      <c r="G71" s="1">
        <v>2</v>
      </c>
      <c r="H71" s="1">
        <v>0</v>
      </c>
      <c r="I71" s="1">
        <v>2</v>
      </c>
      <c r="J71" s="1">
        <v>1</v>
      </c>
    </row>
    <row r="72" spans="1:10" x14ac:dyDescent="0.2">
      <c r="A72" s="1">
        <v>699</v>
      </c>
      <c r="B72" s="1">
        <v>0</v>
      </c>
      <c r="C72" s="1">
        <v>18</v>
      </c>
      <c r="D72" s="1">
        <v>3</v>
      </c>
      <c r="E72" s="1">
        <v>3</v>
      </c>
      <c r="F72" s="1">
        <v>3</v>
      </c>
      <c r="G72" s="1">
        <v>2</v>
      </c>
      <c r="H72" s="1">
        <v>0</v>
      </c>
      <c r="I72" s="1">
        <v>3</v>
      </c>
      <c r="J72" s="1">
        <v>1</v>
      </c>
    </row>
    <row r="73" spans="1:10" x14ac:dyDescent="0.2">
      <c r="A73" s="1">
        <v>2420</v>
      </c>
      <c r="B73" s="1">
        <v>0</v>
      </c>
      <c r="C73" s="1">
        <v>15</v>
      </c>
      <c r="D73" s="1">
        <v>1</v>
      </c>
      <c r="E73" s="1">
        <v>1</v>
      </c>
      <c r="F73" s="1">
        <v>4</v>
      </c>
      <c r="G73" s="1">
        <v>2</v>
      </c>
      <c r="H73" s="1">
        <v>1</v>
      </c>
      <c r="I73" s="1">
        <v>1</v>
      </c>
      <c r="J73" s="1">
        <v>1</v>
      </c>
    </row>
    <row r="74" spans="1:10" x14ac:dyDescent="0.2">
      <c r="A74" s="1">
        <v>1729</v>
      </c>
      <c r="B74" s="1">
        <v>0</v>
      </c>
      <c r="C74" s="1">
        <v>13</v>
      </c>
      <c r="D74" s="1">
        <v>1</v>
      </c>
      <c r="E74" s="1">
        <v>2</v>
      </c>
      <c r="F74" s="1">
        <v>4</v>
      </c>
      <c r="G74" s="1">
        <v>2</v>
      </c>
      <c r="H74" s="1">
        <v>1</v>
      </c>
      <c r="I74" s="1">
        <v>1</v>
      </c>
      <c r="J74" s="1">
        <v>1</v>
      </c>
    </row>
    <row r="75" spans="1:10" x14ac:dyDescent="0.2">
      <c r="A75" s="1">
        <v>2164</v>
      </c>
      <c r="B75" s="1">
        <v>0</v>
      </c>
      <c r="C75" s="1">
        <v>9</v>
      </c>
      <c r="D75" s="1">
        <v>4</v>
      </c>
      <c r="E75" s="1">
        <v>3</v>
      </c>
      <c r="F75" s="1">
        <v>4</v>
      </c>
      <c r="G75" s="1">
        <v>2</v>
      </c>
      <c r="H75" s="1">
        <v>1</v>
      </c>
      <c r="I75" s="1">
        <v>3</v>
      </c>
      <c r="J75" s="1">
        <v>1</v>
      </c>
    </row>
    <row r="76" spans="1:10" x14ac:dyDescent="0.2">
      <c r="A76" s="1">
        <v>1492</v>
      </c>
      <c r="B76" s="1">
        <v>0</v>
      </c>
      <c r="C76" s="1">
        <v>19</v>
      </c>
      <c r="D76" s="1">
        <v>2</v>
      </c>
      <c r="E76" s="1">
        <v>3</v>
      </c>
      <c r="F76" s="1">
        <v>4</v>
      </c>
      <c r="G76" s="1">
        <v>2</v>
      </c>
      <c r="H76" s="1">
        <v>1</v>
      </c>
      <c r="I76" s="1">
        <v>2</v>
      </c>
      <c r="J76" s="1">
        <v>1</v>
      </c>
    </row>
    <row r="77" spans="1:10" x14ac:dyDescent="0.2">
      <c r="A77" s="1">
        <v>1815</v>
      </c>
      <c r="B77" s="1">
        <v>0</v>
      </c>
      <c r="C77" s="1">
        <v>20</v>
      </c>
      <c r="D77" s="1">
        <v>4</v>
      </c>
      <c r="E77" s="1">
        <v>3</v>
      </c>
      <c r="F77" s="1">
        <v>4</v>
      </c>
      <c r="G77" s="1">
        <v>2</v>
      </c>
      <c r="H77" s="1">
        <v>1</v>
      </c>
      <c r="I77" s="1">
        <v>0</v>
      </c>
      <c r="J77" s="1">
        <v>1</v>
      </c>
    </row>
    <row r="78" spans="1:10" x14ac:dyDescent="0.2">
      <c r="A78" s="1">
        <v>670</v>
      </c>
      <c r="B78" s="1">
        <v>0</v>
      </c>
      <c r="C78" s="1">
        <v>12</v>
      </c>
      <c r="D78" s="1">
        <v>2</v>
      </c>
      <c r="E78" s="1">
        <v>1</v>
      </c>
      <c r="F78" s="1">
        <v>5</v>
      </c>
      <c r="G78" s="1">
        <v>2</v>
      </c>
      <c r="H78" s="1">
        <v>1</v>
      </c>
      <c r="I78" s="1">
        <v>2</v>
      </c>
      <c r="J78" s="1">
        <v>1</v>
      </c>
    </row>
    <row r="79" spans="1:10" x14ac:dyDescent="0.2">
      <c r="A79" s="1">
        <v>711</v>
      </c>
      <c r="B79" s="1">
        <v>0</v>
      </c>
      <c r="C79" s="1">
        <v>6</v>
      </c>
      <c r="D79" s="1">
        <v>3</v>
      </c>
      <c r="E79" s="1">
        <v>3</v>
      </c>
      <c r="F79" s="1">
        <v>6</v>
      </c>
      <c r="G79" s="1">
        <v>2</v>
      </c>
      <c r="H79" s="1">
        <v>0</v>
      </c>
      <c r="I79" s="1">
        <v>3</v>
      </c>
      <c r="J79" s="1">
        <v>1</v>
      </c>
    </row>
    <row r="80" spans="1:10" x14ac:dyDescent="0.2">
      <c r="A80" s="1">
        <v>789</v>
      </c>
      <c r="B80" s="1">
        <v>0</v>
      </c>
      <c r="C80" s="1">
        <v>16</v>
      </c>
      <c r="D80" s="1">
        <v>3</v>
      </c>
      <c r="E80" s="1">
        <v>1</v>
      </c>
      <c r="F80" s="1">
        <v>7</v>
      </c>
      <c r="G80" s="1">
        <v>2</v>
      </c>
      <c r="H80" s="1">
        <v>0</v>
      </c>
      <c r="I80" s="1">
        <v>0</v>
      </c>
      <c r="J80" s="1">
        <v>1</v>
      </c>
    </row>
    <row r="81" spans="1:10" x14ac:dyDescent="0.2">
      <c r="A81" s="1">
        <v>2174</v>
      </c>
      <c r="B81" s="1">
        <v>0</v>
      </c>
      <c r="C81" s="1">
        <v>16</v>
      </c>
      <c r="D81" s="1">
        <v>5</v>
      </c>
      <c r="E81" s="1">
        <v>1</v>
      </c>
      <c r="F81" s="1">
        <v>7</v>
      </c>
      <c r="G81" s="1">
        <v>2</v>
      </c>
      <c r="H81" s="1">
        <v>0</v>
      </c>
      <c r="I81" s="1">
        <v>0</v>
      </c>
      <c r="J81" s="1">
        <v>1</v>
      </c>
    </row>
    <row r="82" spans="1:10" x14ac:dyDescent="0.2">
      <c r="A82" s="1">
        <v>1491</v>
      </c>
      <c r="B82" s="1">
        <v>0</v>
      </c>
      <c r="C82" s="1">
        <v>7</v>
      </c>
      <c r="D82" s="1">
        <v>3</v>
      </c>
      <c r="E82" s="1">
        <v>2</v>
      </c>
      <c r="F82" s="1">
        <v>7</v>
      </c>
      <c r="G82" s="1">
        <v>2</v>
      </c>
      <c r="H82" s="1">
        <v>1</v>
      </c>
      <c r="I82" s="1">
        <v>2</v>
      </c>
      <c r="J82" s="1">
        <v>1</v>
      </c>
    </row>
    <row r="83" spans="1:10" x14ac:dyDescent="0.2">
      <c r="A83" s="1">
        <v>2422</v>
      </c>
      <c r="B83" s="1">
        <v>0</v>
      </c>
      <c r="C83" s="1">
        <v>19</v>
      </c>
      <c r="D83" s="1">
        <v>3</v>
      </c>
      <c r="E83" s="1">
        <v>2</v>
      </c>
      <c r="F83" s="1">
        <v>7</v>
      </c>
      <c r="G83" s="1">
        <v>2</v>
      </c>
      <c r="H83" s="1">
        <v>1</v>
      </c>
      <c r="I83" s="1">
        <v>1</v>
      </c>
      <c r="J83" s="1">
        <v>1</v>
      </c>
    </row>
    <row r="84" spans="1:10" x14ac:dyDescent="0.2">
      <c r="A84" s="1">
        <v>737</v>
      </c>
      <c r="B84" s="1">
        <v>0</v>
      </c>
      <c r="C84" s="1">
        <v>8</v>
      </c>
      <c r="D84" s="1">
        <v>1</v>
      </c>
      <c r="E84" s="1">
        <v>3</v>
      </c>
      <c r="F84" s="1">
        <v>7</v>
      </c>
      <c r="G84" s="1">
        <v>2</v>
      </c>
      <c r="H84" s="1">
        <v>1</v>
      </c>
      <c r="I84" s="1">
        <v>0</v>
      </c>
      <c r="J84" s="1">
        <v>1</v>
      </c>
    </row>
    <row r="85" spans="1:10" x14ac:dyDescent="0.2">
      <c r="A85" s="1">
        <v>843</v>
      </c>
      <c r="B85" s="1">
        <v>0</v>
      </c>
      <c r="C85" s="1">
        <v>5</v>
      </c>
      <c r="D85" s="1">
        <v>2</v>
      </c>
      <c r="E85" s="1">
        <v>2</v>
      </c>
      <c r="F85" s="1">
        <v>8</v>
      </c>
      <c r="G85" s="1">
        <v>2</v>
      </c>
      <c r="H85" s="1">
        <v>1</v>
      </c>
      <c r="I85" s="1">
        <v>0</v>
      </c>
      <c r="J85" s="1">
        <v>1</v>
      </c>
    </row>
    <row r="86" spans="1:10" x14ac:dyDescent="0.2">
      <c r="A86" s="1">
        <v>358</v>
      </c>
      <c r="B86" s="1">
        <v>0</v>
      </c>
      <c r="C86" s="1">
        <v>13</v>
      </c>
      <c r="D86" s="1">
        <v>3</v>
      </c>
      <c r="E86" s="1">
        <v>2</v>
      </c>
      <c r="F86" s="1">
        <v>8</v>
      </c>
      <c r="G86" s="1">
        <v>2</v>
      </c>
      <c r="H86" s="1">
        <v>0</v>
      </c>
      <c r="I86" s="1">
        <v>3</v>
      </c>
      <c r="J86" s="1">
        <v>1</v>
      </c>
    </row>
    <row r="87" spans="1:10" x14ac:dyDescent="0.2">
      <c r="A87" s="1">
        <v>1317</v>
      </c>
      <c r="B87" s="1">
        <v>0</v>
      </c>
      <c r="C87" s="1">
        <v>5</v>
      </c>
      <c r="D87" s="1">
        <v>3</v>
      </c>
      <c r="E87" s="1">
        <v>3</v>
      </c>
      <c r="F87" s="1">
        <v>8</v>
      </c>
      <c r="G87" s="1">
        <v>2</v>
      </c>
      <c r="H87" s="1">
        <v>1</v>
      </c>
      <c r="I87" s="1">
        <v>2</v>
      </c>
      <c r="J87" s="1">
        <v>1</v>
      </c>
    </row>
    <row r="88" spans="1:10" x14ac:dyDescent="0.2">
      <c r="A88" s="1">
        <v>1083</v>
      </c>
      <c r="B88" s="1">
        <v>0</v>
      </c>
      <c r="C88" s="1">
        <v>18</v>
      </c>
      <c r="D88" s="1">
        <v>2</v>
      </c>
      <c r="E88" s="1">
        <v>3</v>
      </c>
      <c r="F88" s="1">
        <v>8</v>
      </c>
      <c r="G88" s="1">
        <v>2</v>
      </c>
      <c r="H88" s="1">
        <v>0</v>
      </c>
      <c r="I88" s="1">
        <v>3</v>
      </c>
      <c r="J88" s="1">
        <v>1</v>
      </c>
    </row>
    <row r="89" spans="1:10" x14ac:dyDescent="0.2">
      <c r="A89" s="1">
        <v>1383</v>
      </c>
      <c r="B89" s="1">
        <v>0</v>
      </c>
      <c r="C89" s="1">
        <v>10</v>
      </c>
      <c r="D89" s="1">
        <v>4</v>
      </c>
      <c r="E89" s="1">
        <v>1</v>
      </c>
      <c r="F89" s="1">
        <v>9</v>
      </c>
      <c r="G89" s="1">
        <v>2</v>
      </c>
      <c r="H89" s="1">
        <v>1</v>
      </c>
      <c r="I89" s="1">
        <v>2</v>
      </c>
      <c r="J89" s="1">
        <v>1</v>
      </c>
    </row>
    <row r="90" spans="1:10" x14ac:dyDescent="0.2">
      <c r="A90" s="1">
        <v>2024</v>
      </c>
      <c r="B90" s="1">
        <v>0</v>
      </c>
      <c r="C90" s="1">
        <v>18</v>
      </c>
      <c r="D90" s="1">
        <v>1</v>
      </c>
      <c r="E90" s="1">
        <v>1</v>
      </c>
      <c r="F90" s="1">
        <v>9</v>
      </c>
      <c r="G90" s="1">
        <v>2</v>
      </c>
      <c r="H90" s="1">
        <v>0</v>
      </c>
      <c r="I90" s="1">
        <v>2</v>
      </c>
      <c r="J90" s="1">
        <v>1</v>
      </c>
    </row>
    <row r="91" spans="1:10" x14ac:dyDescent="0.2">
      <c r="A91" s="1">
        <v>835</v>
      </c>
      <c r="B91" s="1">
        <v>0</v>
      </c>
      <c r="C91" s="1">
        <v>12</v>
      </c>
      <c r="D91" s="1">
        <v>1</v>
      </c>
      <c r="E91" s="1">
        <v>2</v>
      </c>
      <c r="F91" s="1">
        <v>9</v>
      </c>
      <c r="G91" s="1">
        <v>2</v>
      </c>
      <c r="H91" s="1">
        <v>1</v>
      </c>
      <c r="I91" s="1">
        <v>2</v>
      </c>
      <c r="J91" s="1">
        <v>1</v>
      </c>
    </row>
    <row r="92" spans="1:10" x14ac:dyDescent="0.2">
      <c r="A92" s="1">
        <v>318</v>
      </c>
      <c r="B92" s="1">
        <v>0</v>
      </c>
      <c r="C92" s="1">
        <v>13</v>
      </c>
      <c r="D92" s="1">
        <v>1</v>
      </c>
      <c r="E92" s="1">
        <v>1</v>
      </c>
      <c r="F92" s="1">
        <v>10</v>
      </c>
      <c r="G92" s="1">
        <v>2</v>
      </c>
      <c r="H92" s="1">
        <v>0</v>
      </c>
      <c r="I92" s="1">
        <v>0</v>
      </c>
      <c r="J92" s="1">
        <v>1</v>
      </c>
    </row>
    <row r="93" spans="1:10" x14ac:dyDescent="0.2">
      <c r="A93" s="1">
        <v>2299</v>
      </c>
      <c r="B93" s="1">
        <v>0</v>
      </c>
      <c r="C93" s="1">
        <v>13</v>
      </c>
      <c r="D93" s="1">
        <v>2</v>
      </c>
      <c r="E93" s="1">
        <v>1</v>
      </c>
      <c r="F93" s="1">
        <v>10</v>
      </c>
      <c r="G93" s="1">
        <v>2</v>
      </c>
      <c r="H93" s="1">
        <v>0</v>
      </c>
      <c r="I93" s="1">
        <v>1</v>
      </c>
      <c r="J93" s="1">
        <v>1</v>
      </c>
    </row>
    <row r="94" spans="1:10" x14ac:dyDescent="0.2">
      <c r="A94" s="1">
        <v>926</v>
      </c>
      <c r="B94" s="1">
        <v>0</v>
      </c>
      <c r="C94" s="1">
        <v>15</v>
      </c>
      <c r="D94" s="1">
        <v>3</v>
      </c>
      <c r="E94" s="1">
        <v>1</v>
      </c>
      <c r="F94" s="1">
        <v>10</v>
      </c>
      <c r="G94" s="1">
        <v>2</v>
      </c>
      <c r="H94" s="1">
        <v>0</v>
      </c>
      <c r="I94" s="1">
        <v>2</v>
      </c>
      <c r="J94" s="1">
        <v>1</v>
      </c>
    </row>
    <row r="95" spans="1:10" x14ac:dyDescent="0.2">
      <c r="A95" s="1">
        <v>1673</v>
      </c>
      <c r="B95" s="1">
        <v>0</v>
      </c>
      <c r="C95" s="1">
        <v>17</v>
      </c>
      <c r="D95" s="1">
        <v>5</v>
      </c>
      <c r="E95" s="1">
        <v>1</v>
      </c>
      <c r="F95" s="1">
        <v>10</v>
      </c>
      <c r="G95" s="1">
        <v>2</v>
      </c>
      <c r="H95" s="1">
        <v>0</v>
      </c>
      <c r="I95" s="1">
        <v>1</v>
      </c>
      <c r="J95" s="1">
        <v>1</v>
      </c>
    </row>
    <row r="96" spans="1:10" x14ac:dyDescent="0.2">
      <c r="A96" s="1">
        <v>2378</v>
      </c>
      <c r="B96" s="1">
        <v>0</v>
      </c>
      <c r="C96" s="1">
        <v>19</v>
      </c>
      <c r="D96" s="1">
        <v>2</v>
      </c>
      <c r="E96" s="1">
        <v>1</v>
      </c>
      <c r="F96" s="1">
        <v>10</v>
      </c>
      <c r="G96" s="1">
        <v>2</v>
      </c>
      <c r="H96" s="1">
        <v>1</v>
      </c>
      <c r="I96" s="1">
        <v>1</v>
      </c>
      <c r="J96" s="1">
        <v>1</v>
      </c>
    </row>
    <row r="97" spans="1:10" x14ac:dyDescent="0.2">
      <c r="A97" s="1">
        <v>2</v>
      </c>
      <c r="B97" s="1">
        <v>0</v>
      </c>
      <c r="C97" s="1">
        <v>13</v>
      </c>
      <c r="D97" s="1">
        <v>2</v>
      </c>
      <c r="E97" s="1">
        <v>3</v>
      </c>
      <c r="F97" s="1">
        <v>10</v>
      </c>
      <c r="G97" s="1">
        <v>2</v>
      </c>
      <c r="H97" s="1">
        <v>1</v>
      </c>
      <c r="I97" s="1">
        <v>2</v>
      </c>
      <c r="J97" s="1">
        <v>1</v>
      </c>
    </row>
    <row r="98" spans="1:10" x14ac:dyDescent="0.2">
      <c r="A98" s="1">
        <v>2151</v>
      </c>
      <c r="B98" s="1">
        <v>0</v>
      </c>
      <c r="C98" s="1">
        <v>6</v>
      </c>
      <c r="D98" s="1">
        <v>2</v>
      </c>
      <c r="E98" s="1">
        <v>1</v>
      </c>
      <c r="F98" s="1">
        <v>1</v>
      </c>
      <c r="G98" s="1">
        <v>3</v>
      </c>
      <c r="H98" s="1">
        <v>1</v>
      </c>
      <c r="I98" s="1">
        <v>0</v>
      </c>
      <c r="J98" s="1">
        <v>1</v>
      </c>
    </row>
    <row r="99" spans="1:10" x14ac:dyDescent="0.2">
      <c r="A99" s="1">
        <v>2227</v>
      </c>
      <c r="B99" s="1">
        <v>0</v>
      </c>
      <c r="C99" s="1">
        <v>8</v>
      </c>
      <c r="D99" s="1">
        <v>2</v>
      </c>
      <c r="E99" s="1">
        <v>1</v>
      </c>
      <c r="F99" s="1">
        <v>1</v>
      </c>
      <c r="G99" s="1">
        <v>3</v>
      </c>
      <c r="H99" s="1">
        <v>1</v>
      </c>
      <c r="I99" s="1">
        <v>1</v>
      </c>
      <c r="J99" s="1">
        <v>1</v>
      </c>
    </row>
    <row r="100" spans="1:10" x14ac:dyDescent="0.2">
      <c r="A100" s="1">
        <v>2057</v>
      </c>
      <c r="B100" s="1">
        <v>0</v>
      </c>
      <c r="C100" s="1">
        <v>16</v>
      </c>
      <c r="D100" s="1">
        <v>2</v>
      </c>
      <c r="E100" s="1">
        <v>1</v>
      </c>
      <c r="F100" s="1">
        <v>1</v>
      </c>
      <c r="G100" s="1">
        <v>3</v>
      </c>
      <c r="H100" s="1">
        <v>1</v>
      </c>
      <c r="I100" s="1">
        <v>0</v>
      </c>
      <c r="J100" s="1">
        <v>1</v>
      </c>
    </row>
    <row r="101" spans="1:10" x14ac:dyDescent="0.2">
      <c r="A101" s="1">
        <v>1409</v>
      </c>
      <c r="B101" s="1">
        <v>0</v>
      </c>
      <c r="C101" s="1">
        <v>19</v>
      </c>
      <c r="D101" s="1">
        <v>1</v>
      </c>
      <c r="E101" s="1">
        <v>1</v>
      </c>
      <c r="F101" s="1">
        <v>1</v>
      </c>
      <c r="G101" s="1">
        <v>3</v>
      </c>
      <c r="H101" s="1">
        <v>0</v>
      </c>
      <c r="I101" s="1">
        <v>2</v>
      </c>
      <c r="J101" s="1">
        <v>1</v>
      </c>
    </row>
    <row r="102" spans="1:10" x14ac:dyDescent="0.2">
      <c r="A102" s="1">
        <v>1686</v>
      </c>
      <c r="B102" s="1">
        <v>0</v>
      </c>
      <c r="C102" s="1">
        <v>5</v>
      </c>
      <c r="D102" s="1">
        <v>3</v>
      </c>
      <c r="E102" s="1">
        <v>2</v>
      </c>
      <c r="F102" s="1">
        <v>1</v>
      </c>
      <c r="G102" s="1">
        <v>3</v>
      </c>
      <c r="H102" s="1">
        <v>1</v>
      </c>
      <c r="I102" s="1">
        <v>1</v>
      </c>
      <c r="J102" s="1">
        <v>1</v>
      </c>
    </row>
    <row r="103" spans="1:10" x14ac:dyDescent="0.2">
      <c r="A103" s="1">
        <v>1288</v>
      </c>
      <c r="B103" s="1">
        <v>0</v>
      </c>
      <c r="C103" s="1">
        <v>6</v>
      </c>
      <c r="D103" s="1">
        <v>5</v>
      </c>
      <c r="E103" s="1">
        <v>2</v>
      </c>
      <c r="F103" s="1">
        <v>1</v>
      </c>
      <c r="G103" s="1">
        <v>3</v>
      </c>
      <c r="H103" s="1">
        <v>1</v>
      </c>
      <c r="I103" s="1">
        <v>3</v>
      </c>
      <c r="J103" s="1">
        <v>1</v>
      </c>
    </row>
    <row r="104" spans="1:10" x14ac:dyDescent="0.2">
      <c r="A104" s="1">
        <v>530</v>
      </c>
      <c r="B104" s="1">
        <v>0</v>
      </c>
      <c r="C104" s="1">
        <v>7</v>
      </c>
      <c r="D104" s="1">
        <v>2</v>
      </c>
      <c r="E104" s="1">
        <v>2</v>
      </c>
      <c r="F104" s="1">
        <v>1</v>
      </c>
      <c r="G104" s="1">
        <v>3</v>
      </c>
      <c r="H104" s="1">
        <v>0</v>
      </c>
      <c r="I104" s="1">
        <v>3</v>
      </c>
      <c r="J104" s="1">
        <v>1</v>
      </c>
    </row>
    <row r="105" spans="1:10" x14ac:dyDescent="0.2">
      <c r="A105" s="1">
        <v>1393</v>
      </c>
      <c r="B105" s="1">
        <v>0</v>
      </c>
      <c r="C105" s="1">
        <v>8</v>
      </c>
      <c r="D105" s="1">
        <v>2</v>
      </c>
      <c r="E105" s="1">
        <v>2</v>
      </c>
      <c r="F105" s="1">
        <v>1</v>
      </c>
      <c r="G105" s="1">
        <v>3</v>
      </c>
      <c r="H105" s="1">
        <v>0</v>
      </c>
      <c r="I105" s="1">
        <v>2</v>
      </c>
      <c r="J105" s="1">
        <v>1</v>
      </c>
    </row>
    <row r="106" spans="1:10" x14ac:dyDescent="0.2">
      <c r="A106" s="1">
        <v>2084</v>
      </c>
      <c r="B106" s="1">
        <v>0</v>
      </c>
      <c r="C106" s="1">
        <v>19</v>
      </c>
      <c r="D106" s="1">
        <v>3</v>
      </c>
      <c r="E106" s="1">
        <v>3</v>
      </c>
      <c r="F106" s="1">
        <v>1</v>
      </c>
      <c r="G106" s="1">
        <v>3</v>
      </c>
      <c r="H106" s="1">
        <v>0</v>
      </c>
      <c r="I106" s="1">
        <v>0</v>
      </c>
      <c r="J106" s="1">
        <v>1</v>
      </c>
    </row>
    <row r="107" spans="1:10" x14ac:dyDescent="0.2">
      <c r="A107" s="1">
        <v>342</v>
      </c>
      <c r="B107" s="1">
        <v>0</v>
      </c>
      <c r="C107" s="1">
        <v>6</v>
      </c>
      <c r="D107" s="1">
        <v>3</v>
      </c>
      <c r="E107" s="1">
        <v>1</v>
      </c>
      <c r="F107" s="1">
        <v>2</v>
      </c>
      <c r="G107" s="1">
        <v>3</v>
      </c>
      <c r="H107" s="1">
        <v>0</v>
      </c>
      <c r="I107" s="1">
        <v>0</v>
      </c>
      <c r="J107" s="1">
        <v>1</v>
      </c>
    </row>
    <row r="108" spans="1:10" x14ac:dyDescent="0.2">
      <c r="A108" s="1">
        <v>565</v>
      </c>
      <c r="B108" s="1">
        <v>0</v>
      </c>
      <c r="C108" s="1">
        <v>8</v>
      </c>
      <c r="D108" s="1">
        <v>5</v>
      </c>
      <c r="E108" s="1">
        <v>1</v>
      </c>
      <c r="F108" s="1">
        <v>2</v>
      </c>
      <c r="G108" s="1">
        <v>3</v>
      </c>
      <c r="H108" s="1">
        <v>1</v>
      </c>
      <c r="I108" s="1">
        <v>1</v>
      </c>
      <c r="J108" s="1">
        <v>1</v>
      </c>
    </row>
    <row r="109" spans="1:10" x14ac:dyDescent="0.2">
      <c r="A109" s="1">
        <v>2216</v>
      </c>
      <c r="B109" s="1">
        <v>0</v>
      </c>
      <c r="C109" s="1">
        <v>8</v>
      </c>
      <c r="D109" s="1">
        <v>5</v>
      </c>
      <c r="E109" s="1">
        <v>2</v>
      </c>
      <c r="F109" s="1">
        <v>2</v>
      </c>
      <c r="G109" s="1">
        <v>3</v>
      </c>
      <c r="H109" s="1">
        <v>0</v>
      </c>
      <c r="I109" s="1">
        <v>0</v>
      </c>
      <c r="J109" s="1">
        <v>1</v>
      </c>
    </row>
    <row r="110" spans="1:10" x14ac:dyDescent="0.2">
      <c r="A110" s="1">
        <v>1978</v>
      </c>
      <c r="B110" s="1">
        <v>0</v>
      </c>
      <c r="C110" s="1">
        <v>9</v>
      </c>
      <c r="D110" s="1">
        <v>2</v>
      </c>
      <c r="E110" s="1">
        <v>2</v>
      </c>
      <c r="F110" s="1">
        <v>2</v>
      </c>
      <c r="G110" s="1">
        <v>3</v>
      </c>
      <c r="H110" s="1">
        <v>1</v>
      </c>
      <c r="I110" s="1">
        <v>2</v>
      </c>
      <c r="J110" s="1">
        <v>1</v>
      </c>
    </row>
    <row r="111" spans="1:10" x14ac:dyDescent="0.2">
      <c r="A111" s="1">
        <v>959</v>
      </c>
      <c r="B111" s="1">
        <v>0</v>
      </c>
      <c r="C111" s="1">
        <v>17</v>
      </c>
      <c r="D111" s="1">
        <v>2</v>
      </c>
      <c r="E111" s="1">
        <v>2</v>
      </c>
      <c r="F111" s="1">
        <v>2</v>
      </c>
      <c r="G111" s="1">
        <v>3</v>
      </c>
      <c r="H111" s="1">
        <v>0</v>
      </c>
      <c r="I111" s="1">
        <v>0</v>
      </c>
      <c r="J111" s="1">
        <v>1</v>
      </c>
    </row>
    <row r="112" spans="1:10" x14ac:dyDescent="0.2">
      <c r="A112" s="1">
        <v>1724</v>
      </c>
      <c r="B112" s="1">
        <v>0</v>
      </c>
      <c r="C112" s="1">
        <v>17</v>
      </c>
      <c r="D112" s="1">
        <v>5</v>
      </c>
      <c r="E112" s="1">
        <v>2</v>
      </c>
      <c r="F112" s="1">
        <v>2</v>
      </c>
      <c r="G112" s="1">
        <v>3</v>
      </c>
      <c r="H112" s="1">
        <v>1</v>
      </c>
      <c r="I112" s="1">
        <v>2</v>
      </c>
      <c r="J112" s="1">
        <v>1</v>
      </c>
    </row>
    <row r="113" spans="1:10" x14ac:dyDescent="0.2">
      <c r="A113" s="1">
        <v>2188</v>
      </c>
      <c r="B113" s="1">
        <v>0</v>
      </c>
      <c r="C113" s="1">
        <v>9</v>
      </c>
      <c r="D113" s="1">
        <v>5</v>
      </c>
      <c r="E113" s="1">
        <v>3</v>
      </c>
      <c r="F113" s="1">
        <v>2</v>
      </c>
      <c r="G113" s="1">
        <v>3</v>
      </c>
      <c r="H113" s="1">
        <v>0</v>
      </c>
      <c r="I113" s="1">
        <v>3</v>
      </c>
      <c r="J113" s="1">
        <v>1</v>
      </c>
    </row>
    <row r="114" spans="1:10" x14ac:dyDescent="0.2">
      <c r="A114" s="1">
        <v>560</v>
      </c>
      <c r="B114" s="1">
        <v>0</v>
      </c>
      <c r="C114" s="1">
        <v>12</v>
      </c>
      <c r="D114" s="1">
        <v>3</v>
      </c>
      <c r="E114" s="1">
        <v>1</v>
      </c>
      <c r="F114" s="1">
        <v>3</v>
      </c>
      <c r="G114" s="1">
        <v>3</v>
      </c>
      <c r="H114" s="1">
        <v>1</v>
      </c>
      <c r="I114" s="1">
        <v>0</v>
      </c>
      <c r="J114" s="1">
        <v>1</v>
      </c>
    </row>
    <row r="115" spans="1:10" x14ac:dyDescent="0.2">
      <c r="A115" s="1">
        <v>1903</v>
      </c>
      <c r="B115" s="1">
        <v>0</v>
      </c>
      <c r="C115" s="1">
        <v>15</v>
      </c>
      <c r="D115" s="1">
        <v>3</v>
      </c>
      <c r="E115" s="1">
        <v>2</v>
      </c>
      <c r="F115" s="1">
        <v>3</v>
      </c>
      <c r="G115" s="1">
        <v>3</v>
      </c>
      <c r="H115" s="1">
        <v>1</v>
      </c>
      <c r="I115" s="1">
        <v>2</v>
      </c>
      <c r="J115" s="1">
        <v>1</v>
      </c>
    </row>
    <row r="116" spans="1:10" x14ac:dyDescent="0.2">
      <c r="A116" s="1">
        <v>873</v>
      </c>
      <c r="B116" s="1">
        <v>0</v>
      </c>
      <c r="C116" s="1">
        <v>9</v>
      </c>
      <c r="D116" s="1">
        <v>5</v>
      </c>
      <c r="E116" s="1">
        <v>3</v>
      </c>
      <c r="F116" s="1">
        <v>3</v>
      </c>
      <c r="G116" s="1">
        <v>3</v>
      </c>
      <c r="H116" s="1">
        <v>0</v>
      </c>
      <c r="I116" s="1">
        <v>1</v>
      </c>
      <c r="J116" s="1">
        <v>1</v>
      </c>
    </row>
    <row r="117" spans="1:10" x14ac:dyDescent="0.2">
      <c r="A117" s="1">
        <v>2446</v>
      </c>
      <c r="B117" s="1">
        <v>0</v>
      </c>
      <c r="C117" s="1">
        <v>20</v>
      </c>
      <c r="D117" s="1">
        <v>3</v>
      </c>
      <c r="E117" s="1">
        <v>1</v>
      </c>
      <c r="F117" s="1">
        <v>4</v>
      </c>
      <c r="G117" s="1">
        <v>3</v>
      </c>
      <c r="H117" s="1">
        <v>0</v>
      </c>
      <c r="I117" s="1">
        <v>3</v>
      </c>
      <c r="J117" s="1">
        <v>1</v>
      </c>
    </row>
    <row r="118" spans="1:10" x14ac:dyDescent="0.2">
      <c r="A118" s="1">
        <v>557</v>
      </c>
      <c r="B118" s="1">
        <v>0</v>
      </c>
      <c r="C118" s="1">
        <v>7</v>
      </c>
      <c r="D118" s="1">
        <v>4</v>
      </c>
      <c r="E118" s="1">
        <v>2</v>
      </c>
      <c r="F118" s="1">
        <v>4</v>
      </c>
      <c r="G118" s="1">
        <v>3</v>
      </c>
      <c r="H118" s="1">
        <v>0</v>
      </c>
      <c r="I118" s="1">
        <v>0</v>
      </c>
      <c r="J118" s="1">
        <v>1</v>
      </c>
    </row>
    <row r="119" spans="1:10" x14ac:dyDescent="0.2">
      <c r="A119" s="1">
        <v>817</v>
      </c>
      <c r="B119" s="1">
        <v>0</v>
      </c>
      <c r="C119" s="1">
        <v>10</v>
      </c>
      <c r="D119" s="1">
        <v>5</v>
      </c>
      <c r="E119" s="1">
        <v>2</v>
      </c>
      <c r="F119" s="1">
        <v>4</v>
      </c>
      <c r="G119" s="1">
        <v>3</v>
      </c>
      <c r="H119" s="1">
        <v>0</v>
      </c>
      <c r="I119" s="1">
        <v>3</v>
      </c>
      <c r="J119" s="1">
        <v>1</v>
      </c>
    </row>
    <row r="120" spans="1:10" x14ac:dyDescent="0.2">
      <c r="A120" s="1">
        <v>553</v>
      </c>
      <c r="B120" s="1">
        <v>0</v>
      </c>
      <c r="C120" s="1">
        <v>17</v>
      </c>
      <c r="D120" s="1">
        <v>3</v>
      </c>
      <c r="E120" s="1">
        <v>2</v>
      </c>
      <c r="F120" s="1">
        <v>4</v>
      </c>
      <c r="G120" s="1">
        <v>3</v>
      </c>
      <c r="H120" s="1">
        <v>0</v>
      </c>
      <c r="I120" s="1">
        <v>1</v>
      </c>
      <c r="J120" s="1">
        <v>1</v>
      </c>
    </row>
    <row r="121" spans="1:10" x14ac:dyDescent="0.2">
      <c r="A121" s="1">
        <v>988</v>
      </c>
      <c r="B121" s="1">
        <v>0</v>
      </c>
      <c r="C121" s="1">
        <v>7</v>
      </c>
      <c r="D121" s="1">
        <v>5</v>
      </c>
      <c r="E121" s="1">
        <v>3</v>
      </c>
      <c r="F121" s="1">
        <v>4</v>
      </c>
      <c r="G121" s="1">
        <v>3</v>
      </c>
      <c r="H121" s="1">
        <v>1</v>
      </c>
      <c r="I121" s="1">
        <v>1</v>
      </c>
      <c r="J121" s="1">
        <v>1</v>
      </c>
    </row>
    <row r="122" spans="1:10" x14ac:dyDescent="0.2">
      <c r="A122" s="1">
        <v>1629</v>
      </c>
      <c r="B122" s="1">
        <v>0</v>
      </c>
      <c r="C122" s="1">
        <v>10</v>
      </c>
      <c r="D122" s="1">
        <v>4</v>
      </c>
      <c r="E122" s="1">
        <v>3</v>
      </c>
      <c r="F122" s="1">
        <v>4</v>
      </c>
      <c r="G122" s="1">
        <v>3</v>
      </c>
      <c r="H122" s="1">
        <v>1</v>
      </c>
      <c r="I122" s="1">
        <v>0</v>
      </c>
      <c r="J122" s="1">
        <v>1</v>
      </c>
    </row>
    <row r="123" spans="1:10" x14ac:dyDescent="0.2">
      <c r="A123" s="1">
        <v>2236</v>
      </c>
      <c r="B123" s="1">
        <v>0</v>
      </c>
      <c r="C123" s="1">
        <v>14</v>
      </c>
      <c r="D123" s="1">
        <v>4</v>
      </c>
      <c r="E123" s="1">
        <v>3</v>
      </c>
      <c r="F123" s="1">
        <v>4</v>
      </c>
      <c r="G123" s="1">
        <v>3</v>
      </c>
      <c r="H123" s="1">
        <v>1</v>
      </c>
      <c r="I123" s="1">
        <v>3</v>
      </c>
      <c r="J123" s="1">
        <v>1</v>
      </c>
    </row>
    <row r="124" spans="1:10" x14ac:dyDescent="0.2">
      <c r="A124" s="1">
        <v>1127</v>
      </c>
      <c r="B124" s="1">
        <v>0</v>
      </c>
      <c r="C124" s="1">
        <v>12</v>
      </c>
      <c r="D124" s="1">
        <v>5</v>
      </c>
      <c r="E124" s="1">
        <v>1</v>
      </c>
      <c r="F124" s="1">
        <v>5</v>
      </c>
      <c r="G124" s="1">
        <v>3</v>
      </c>
      <c r="H124" s="1">
        <v>0</v>
      </c>
      <c r="I124" s="1">
        <v>0</v>
      </c>
      <c r="J124" s="1">
        <v>1</v>
      </c>
    </row>
    <row r="125" spans="1:10" x14ac:dyDescent="0.2">
      <c r="A125" s="1">
        <v>1232</v>
      </c>
      <c r="B125" s="1">
        <v>0</v>
      </c>
      <c r="C125" s="1">
        <v>13</v>
      </c>
      <c r="D125" s="1">
        <v>2</v>
      </c>
      <c r="E125" s="1">
        <v>2</v>
      </c>
      <c r="F125" s="1">
        <v>5</v>
      </c>
      <c r="G125" s="1">
        <v>3</v>
      </c>
      <c r="H125" s="1">
        <v>1</v>
      </c>
      <c r="I125" s="1">
        <v>0</v>
      </c>
      <c r="J125" s="1">
        <v>1</v>
      </c>
    </row>
    <row r="126" spans="1:10" x14ac:dyDescent="0.2">
      <c r="A126" s="1">
        <v>1234</v>
      </c>
      <c r="B126" s="1">
        <v>0</v>
      </c>
      <c r="C126" s="1">
        <v>13</v>
      </c>
      <c r="D126" s="1">
        <v>5</v>
      </c>
      <c r="E126" s="1">
        <v>2</v>
      </c>
      <c r="F126" s="1">
        <v>5</v>
      </c>
      <c r="G126" s="1">
        <v>3</v>
      </c>
      <c r="H126" s="1">
        <v>0</v>
      </c>
      <c r="I126" s="1">
        <v>2</v>
      </c>
      <c r="J126" s="1">
        <v>1</v>
      </c>
    </row>
    <row r="127" spans="1:10" x14ac:dyDescent="0.2">
      <c r="A127" s="1">
        <v>700</v>
      </c>
      <c r="B127" s="1">
        <v>0</v>
      </c>
      <c r="C127" s="1">
        <v>13</v>
      </c>
      <c r="D127" s="1">
        <v>1</v>
      </c>
      <c r="E127" s="1">
        <v>3</v>
      </c>
      <c r="F127" s="1">
        <v>5</v>
      </c>
      <c r="G127" s="1">
        <v>3</v>
      </c>
      <c r="H127" s="1">
        <v>0</v>
      </c>
      <c r="I127" s="1">
        <v>3</v>
      </c>
      <c r="J127" s="1">
        <v>1</v>
      </c>
    </row>
    <row r="128" spans="1:10" x14ac:dyDescent="0.2">
      <c r="A128" s="1">
        <v>839</v>
      </c>
      <c r="B128" s="1">
        <v>0</v>
      </c>
      <c r="C128" s="1">
        <v>12</v>
      </c>
      <c r="D128" s="1">
        <v>5</v>
      </c>
      <c r="E128" s="1">
        <v>1</v>
      </c>
      <c r="F128" s="1">
        <v>6</v>
      </c>
      <c r="G128" s="1">
        <v>3</v>
      </c>
      <c r="H128" s="1">
        <v>0</v>
      </c>
      <c r="I128" s="1">
        <v>3</v>
      </c>
      <c r="J128" s="1">
        <v>1</v>
      </c>
    </row>
    <row r="129" spans="1:10" x14ac:dyDescent="0.2">
      <c r="A129" s="1">
        <v>1793</v>
      </c>
      <c r="B129" s="1">
        <v>0</v>
      </c>
      <c r="C129" s="1">
        <v>12</v>
      </c>
      <c r="D129" s="1">
        <v>1</v>
      </c>
      <c r="E129" s="1">
        <v>1</v>
      </c>
      <c r="F129" s="1">
        <v>6</v>
      </c>
      <c r="G129" s="1">
        <v>3</v>
      </c>
      <c r="H129" s="1">
        <v>1</v>
      </c>
      <c r="I129" s="1">
        <v>1</v>
      </c>
      <c r="J129" s="1">
        <v>1</v>
      </c>
    </row>
    <row r="130" spans="1:10" x14ac:dyDescent="0.2">
      <c r="A130" s="1">
        <v>831</v>
      </c>
      <c r="B130" s="1">
        <v>0</v>
      </c>
      <c r="C130" s="1">
        <v>16</v>
      </c>
      <c r="D130" s="1">
        <v>3</v>
      </c>
      <c r="E130" s="1">
        <v>1</v>
      </c>
      <c r="F130" s="1">
        <v>6</v>
      </c>
      <c r="G130" s="1">
        <v>3</v>
      </c>
      <c r="H130" s="1">
        <v>0</v>
      </c>
      <c r="I130" s="1">
        <v>0</v>
      </c>
      <c r="J130" s="1">
        <v>1</v>
      </c>
    </row>
    <row r="131" spans="1:10" x14ac:dyDescent="0.2">
      <c r="A131" s="1">
        <v>1522</v>
      </c>
      <c r="B131" s="1">
        <v>0</v>
      </c>
      <c r="C131" s="1">
        <v>5</v>
      </c>
      <c r="D131" s="1">
        <v>4</v>
      </c>
      <c r="E131" s="1">
        <v>2</v>
      </c>
      <c r="F131" s="1">
        <v>6</v>
      </c>
      <c r="G131" s="1">
        <v>3</v>
      </c>
      <c r="H131" s="1">
        <v>0</v>
      </c>
      <c r="I131" s="1">
        <v>0</v>
      </c>
      <c r="J131" s="1">
        <v>1</v>
      </c>
    </row>
    <row r="132" spans="1:10" x14ac:dyDescent="0.2">
      <c r="A132" s="1">
        <v>2063</v>
      </c>
      <c r="B132" s="1">
        <v>0</v>
      </c>
      <c r="C132" s="1">
        <v>8</v>
      </c>
      <c r="D132" s="1">
        <v>3</v>
      </c>
      <c r="E132" s="1">
        <v>2</v>
      </c>
      <c r="F132" s="1">
        <v>6</v>
      </c>
      <c r="G132" s="1">
        <v>3</v>
      </c>
      <c r="H132" s="1">
        <v>0</v>
      </c>
      <c r="I132" s="1">
        <v>2</v>
      </c>
      <c r="J132" s="1">
        <v>1</v>
      </c>
    </row>
    <row r="133" spans="1:10" x14ac:dyDescent="0.2">
      <c r="A133" s="1">
        <v>129</v>
      </c>
      <c r="B133" s="1">
        <v>0</v>
      </c>
      <c r="C133" s="1">
        <v>9</v>
      </c>
      <c r="D133" s="1">
        <v>4</v>
      </c>
      <c r="E133" s="1">
        <v>2</v>
      </c>
      <c r="F133" s="1">
        <v>6</v>
      </c>
      <c r="G133" s="1">
        <v>3</v>
      </c>
      <c r="H133" s="1">
        <v>0</v>
      </c>
      <c r="I133" s="1">
        <v>2</v>
      </c>
      <c r="J133" s="1">
        <v>1</v>
      </c>
    </row>
    <row r="134" spans="1:10" x14ac:dyDescent="0.2">
      <c r="A134" s="1">
        <v>979</v>
      </c>
      <c r="B134" s="1">
        <v>0</v>
      </c>
      <c r="C134" s="1">
        <v>11</v>
      </c>
      <c r="D134" s="1">
        <v>1</v>
      </c>
      <c r="E134" s="1">
        <v>2</v>
      </c>
      <c r="F134" s="1">
        <v>6</v>
      </c>
      <c r="G134" s="1">
        <v>3</v>
      </c>
      <c r="H134" s="1">
        <v>1</v>
      </c>
      <c r="I134" s="1">
        <v>0</v>
      </c>
      <c r="J134" s="1">
        <v>1</v>
      </c>
    </row>
    <row r="135" spans="1:10" x14ac:dyDescent="0.2">
      <c r="A135" s="1">
        <v>1823</v>
      </c>
      <c r="B135" s="1">
        <v>0</v>
      </c>
      <c r="C135" s="1">
        <v>15</v>
      </c>
      <c r="D135" s="1">
        <v>1</v>
      </c>
      <c r="E135" s="1">
        <v>2</v>
      </c>
      <c r="F135" s="1">
        <v>6</v>
      </c>
      <c r="G135" s="1">
        <v>3</v>
      </c>
      <c r="H135" s="1">
        <v>1</v>
      </c>
      <c r="I135" s="1">
        <v>1</v>
      </c>
      <c r="J135" s="1">
        <v>1</v>
      </c>
    </row>
    <row r="136" spans="1:10" x14ac:dyDescent="0.2">
      <c r="A136" s="1">
        <v>682</v>
      </c>
      <c r="B136" s="1">
        <v>0</v>
      </c>
      <c r="C136" s="1">
        <v>9</v>
      </c>
      <c r="D136" s="1">
        <v>1</v>
      </c>
      <c r="E136" s="1">
        <v>3</v>
      </c>
      <c r="F136" s="1">
        <v>6</v>
      </c>
      <c r="G136" s="1">
        <v>3</v>
      </c>
      <c r="H136" s="1">
        <v>1</v>
      </c>
      <c r="I136" s="1">
        <v>3</v>
      </c>
      <c r="J136" s="1">
        <v>1</v>
      </c>
    </row>
    <row r="137" spans="1:10" x14ac:dyDescent="0.2">
      <c r="A137" s="1">
        <v>2316</v>
      </c>
      <c r="B137" s="1">
        <v>0</v>
      </c>
      <c r="C137" s="1">
        <v>19</v>
      </c>
      <c r="D137" s="1">
        <v>2</v>
      </c>
      <c r="E137" s="1">
        <v>3</v>
      </c>
      <c r="F137" s="1">
        <v>6</v>
      </c>
      <c r="G137" s="1">
        <v>3</v>
      </c>
      <c r="H137" s="1">
        <v>1</v>
      </c>
      <c r="I137" s="1">
        <v>3</v>
      </c>
      <c r="J137" s="1">
        <v>1</v>
      </c>
    </row>
    <row r="138" spans="1:10" x14ac:dyDescent="0.2">
      <c r="A138" s="1">
        <v>281</v>
      </c>
      <c r="B138" s="1">
        <v>0</v>
      </c>
      <c r="C138" s="1">
        <v>14</v>
      </c>
      <c r="D138" s="1">
        <v>2</v>
      </c>
      <c r="E138" s="1">
        <v>1</v>
      </c>
      <c r="F138" s="1">
        <v>7</v>
      </c>
      <c r="G138" s="1">
        <v>3</v>
      </c>
      <c r="H138" s="1">
        <v>1</v>
      </c>
      <c r="I138" s="1">
        <v>2</v>
      </c>
      <c r="J138" s="1">
        <v>1</v>
      </c>
    </row>
    <row r="139" spans="1:10" x14ac:dyDescent="0.2">
      <c r="A139" s="1">
        <v>641</v>
      </c>
      <c r="B139" s="1">
        <v>0</v>
      </c>
      <c r="C139" s="1">
        <v>14</v>
      </c>
      <c r="D139" s="1">
        <v>1</v>
      </c>
      <c r="E139" s="1">
        <v>1</v>
      </c>
      <c r="F139" s="1">
        <v>7</v>
      </c>
      <c r="G139" s="1">
        <v>3</v>
      </c>
      <c r="H139" s="1">
        <v>0</v>
      </c>
      <c r="I139" s="1">
        <v>2</v>
      </c>
      <c r="J139" s="1">
        <v>1</v>
      </c>
    </row>
    <row r="140" spans="1:10" x14ac:dyDescent="0.2">
      <c r="A140" s="1">
        <v>2441</v>
      </c>
      <c r="B140" s="1">
        <v>0</v>
      </c>
      <c r="C140" s="1">
        <v>5</v>
      </c>
      <c r="D140" s="1">
        <v>5</v>
      </c>
      <c r="E140" s="1">
        <v>2</v>
      </c>
      <c r="F140" s="1">
        <v>7</v>
      </c>
      <c r="G140" s="1">
        <v>3</v>
      </c>
      <c r="H140" s="1">
        <v>1</v>
      </c>
      <c r="I140" s="1">
        <v>0</v>
      </c>
      <c r="J140" s="1">
        <v>1</v>
      </c>
    </row>
    <row r="141" spans="1:10" x14ac:dyDescent="0.2">
      <c r="A141" s="1">
        <v>1914</v>
      </c>
      <c r="B141" s="1">
        <v>0</v>
      </c>
      <c r="C141" s="1">
        <v>7</v>
      </c>
      <c r="D141" s="1">
        <v>2</v>
      </c>
      <c r="E141" s="1">
        <v>2</v>
      </c>
      <c r="F141" s="1">
        <v>7</v>
      </c>
      <c r="G141" s="1">
        <v>3</v>
      </c>
      <c r="H141" s="1">
        <v>0</v>
      </c>
      <c r="I141" s="1">
        <v>0</v>
      </c>
      <c r="J141" s="1">
        <v>1</v>
      </c>
    </row>
    <row r="142" spans="1:10" x14ac:dyDescent="0.2">
      <c r="A142" s="1">
        <v>635</v>
      </c>
      <c r="B142" s="1">
        <v>0</v>
      </c>
      <c r="C142" s="1">
        <v>11</v>
      </c>
      <c r="D142" s="1">
        <v>1</v>
      </c>
      <c r="E142" s="1">
        <v>3</v>
      </c>
      <c r="F142" s="1">
        <v>7</v>
      </c>
      <c r="G142" s="1">
        <v>3</v>
      </c>
      <c r="H142" s="1">
        <v>1</v>
      </c>
      <c r="I142" s="1">
        <v>3</v>
      </c>
      <c r="J142" s="1">
        <v>1</v>
      </c>
    </row>
    <row r="143" spans="1:10" x14ac:dyDescent="0.2">
      <c r="A143" s="1">
        <v>427</v>
      </c>
      <c r="B143" s="1">
        <v>0</v>
      </c>
      <c r="C143" s="1">
        <v>13</v>
      </c>
      <c r="D143" s="1">
        <v>2</v>
      </c>
      <c r="E143" s="1">
        <v>3</v>
      </c>
      <c r="F143" s="1">
        <v>7</v>
      </c>
      <c r="G143" s="1">
        <v>3</v>
      </c>
      <c r="H143" s="1">
        <v>0</v>
      </c>
      <c r="I143" s="1">
        <v>0</v>
      </c>
      <c r="J143" s="1">
        <v>1</v>
      </c>
    </row>
    <row r="144" spans="1:10" x14ac:dyDescent="0.2">
      <c r="A144" s="1">
        <v>951</v>
      </c>
      <c r="B144" s="1">
        <v>0</v>
      </c>
      <c r="C144" s="1">
        <v>14</v>
      </c>
      <c r="D144" s="1">
        <v>5</v>
      </c>
      <c r="E144" s="1">
        <v>3</v>
      </c>
      <c r="F144" s="1">
        <v>7</v>
      </c>
      <c r="G144" s="1">
        <v>3</v>
      </c>
      <c r="H144" s="1">
        <v>1</v>
      </c>
      <c r="I144" s="1">
        <v>2</v>
      </c>
      <c r="J144" s="1">
        <v>1</v>
      </c>
    </row>
    <row r="145" spans="1:10" x14ac:dyDescent="0.2">
      <c r="A145" s="1">
        <v>1036</v>
      </c>
      <c r="B145" s="1">
        <v>0</v>
      </c>
      <c r="C145" s="1">
        <v>5</v>
      </c>
      <c r="D145" s="1">
        <v>3</v>
      </c>
      <c r="E145" s="1">
        <v>1</v>
      </c>
      <c r="F145" s="1">
        <v>8</v>
      </c>
      <c r="G145" s="1">
        <v>3</v>
      </c>
      <c r="H145" s="1">
        <v>0</v>
      </c>
      <c r="I145" s="1">
        <v>3</v>
      </c>
      <c r="J145" s="1">
        <v>1</v>
      </c>
    </row>
    <row r="146" spans="1:10" x14ac:dyDescent="0.2">
      <c r="A146" s="1">
        <v>2073</v>
      </c>
      <c r="B146" s="1">
        <v>0</v>
      </c>
      <c r="C146" s="1">
        <v>7</v>
      </c>
      <c r="D146" s="1">
        <v>1</v>
      </c>
      <c r="E146" s="1">
        <v>2</v>
      </c>
      <c r="F146" s="1">
        <v>8</v>
      </c>
      <c r="G146" s="1">
        <v>3</v>
      </c>
      <c r="H146" s="1">
        <v>0</v>
      </c>
      <c r="I146" s="1">
        <v>1</v>
      </c>
      <c r="J146" s="1">
        <v>1</v>
      </c>
    </row>
    <row r="147" spans="1:10" x14ac:dyDescent="0.2">
      <c r="A147" s="1">
        <v>623</v>
      </c>
      <c r="B147" s="1">
        <v>0</v>
      </c>
      <c r="C147" s="1">
        <v>8</v>
      </c>
      <c r="D147" s="1">
        <v>2</v>
      </c>
      <c r="E147" s="1">
        <v>2</v>
      </c>
      <c r="F147" s="1">
        <v>8</v>
      </c>
      <c r="G147" s="1">
        <v>3</v>
      </c>
      <c r="H147" s="1">
        <v>0</v>
      </c>
      <c r="I147" s="1">
        <v>1</v>
      </c>
      <c r="J147" s="1">
        <v>1</v>
      </c>
    </row>
    <row r="148" spans="1:10" x14ac:dyDescent="0.2">
      <c r="A148" s="1">
        <v>1253</v>
      </c>
      <c r="B148" s="1">
        <v>0</v>
      </c>
      <c r="C148" s="1">
        <v>19</v>
      </c>
      <c r="D148" s="1">
        <v>2</v>
      </c>
      <c r="E148" s="1">
        <v>2</v>
      </c>
      <c r="F148" s="1">
        <v>8</v>
      </c>
      <c r="G148" s="1">
        <v>3</v>
      </c>
      <c r="H148" s="1">
        <v>1</v>
      </c>
      <c r="I148" s="1">
        <v>1</v>
      </c>
      <c r="J148" s="1">
        <v>1</v>
      </c>
    </row>
    <row r="149" spans="1:10" x14ac:dyDescent="0.2">
      <c r="A149" s="1">
        <v>2273</v>
      </c>
      <c r="B149" s="1">
        <v>0</v>
      </c>
      <c r="C149" s="1">
        <v>8</v>
      </c>
      <c r="D149" s="1">
        <v>4</v>
      </c>
      <c r="E149" s="1">
        <v>3</v>
      </c>
      <c r="F149" s="1">
        <v>8</v>
      </c>
      <c r="G149" s="1">
        <v>3</v>
      </c>
      <c r="H149" s="1">
        <v>1</v>
      </c>
      <c r="I149" s="1">
        <v>2</v>
      </c>
      <c r="J149" s="1">
        <v>1</v>
      </c>
    </row>
    <row r="150" spans="1:10" x14ac:dyDescent="0.2">
      <c r="A150" s="1">
        <v>2317</v>
      </c>
      <c r="B150" s="1">
        <v>0</v>
      </c>
      <c r="C150" s="1">
        <v>18</v>
      </c>
      <c r="D150" s="1">
        <v>1</v>
      </c>
      <c r="E150" s="1">
        <v>1</v>
      </c>
      <c r="F150" s="1">
        <v>9</v>
      </c>
      <c r="G150" s="1">
        <v>3</v>
      </c>
      <c r="H150" s="1">
        <v>1</v>
      </c>
      <c r="I150" s="1">
        <v>3</v>
      </c>
      <c r="J150" s="1">
        <v>1</v>
      </c>
    </row>
    <row r="151" spans="1:10" x14ac:dyDescent="0.2">
      <c r="A151" s="1">
        <v>526</v>
      </c>
      <c r="B151" s="1">
        <v>0</v>
      </c>
      <c r="C151" s="1">
        <v>16</v>
      </c>
      <c r="D151" s="1">
        <v>2</v>
      </c>
      <c r="E151" s="1">
        <v>2</v>
      </c>
      <c r="F151" s="1">
        <v>9</v>
      </c>
      <c r="G151" s="1">
        <v>3</v>
      </c>
      <c r="H151" s="1">
        <v>1</v>
      </c>
      <c r="I151" s="1">
        <v>1</v>
      </c>
      <c r="J151" s="1">
        <v>1</v>
      </c>
    </row>
    <row r="152" spans="1:10" x14ac:dyDescent="0.2">
      <c r="A152" s="1">
        <v>166</v>
      </c>
      <c r="B152" s="1">
        <v>0</v>
      </c>
      <c r="C152" s="1">
        <v>20</v>
      </c>
      <c r="D152" s="1">
        <v>3</v>
      </c>
      <c r="E152" s="1">
        <v>2</v>
      </c>
      <c r="F152" s="1">
        <v>9</v>
      </c>
      <c r="G152" s="1">
        <v>3</v>
      </c>
      <c r="H152" s="1">
        <v>1</v>
      </c>
      <c r="I152" s="1">
        <v>1</v>
      </c>
      <c r="J152" s="1">
        <v>1</v>
      </c>
    </row>
    <row r="153" spans="1:10" x14ac:dyDescent="0.2">
      <c r="A153" s="1">
        <v>1738</v>
      </c>
      <c r="B153" s="1">
        <v>0</v>
      </c>
      <c r="C153" s="1">
        <v>7</v>
      </c>
      <c r="D153" s="1">
        <v>2</v>
      </c>
      <c r="E153" s="1">
        <v>3</v>
      </c>
      <c r="F153" s="1">
        <v>9</v>
      </c>
      <c r="G153" s="1">
        <v>3</v>
      </c>
      <c r="H153" s="1">
        <v>1</v>
      </c>
      <c r="I153" s="1">
        <v>0</v>
      </c>
      <c r="J153" s="1">
        <v>1</v>
      </c>
    </row>
    <row r="154" spans="1:10" x14ac:dyDescent="0.2">
      <c r="A154" s="1">
        <v>334</v>
      </c>
      <c r="B154" s="1">
        <v>0</v>
      </c>
      <c r="C154" s="1">
        <v>6</v>
      </c>
      <c r="D154" s="1">
        <v>1</v>
      </c>
      <c r="E154" s="1">
        <v>1</v>
      </c>
      <c r="F154" s="1">
        <v>10</v>
      </c>
      <c r="G154" s="1">
        <v>3</v>
      </c>
      <c r="H154" s="1">
        <v>1</v>
      </c>
      <c r="I154" s="1">
        <v>2</v>
      </c>
      <c r="J154" s="1">
        <v>1</v>
      </c>
    </row>
    <row r="155" spans="1:10" x14ac:dyDescent="0.2">
      <c r="A155" s="1">
        <v>152</v>
      </c>
      <c r="B155" s="1">
        <v>0</v>
      </c>
      <c r="C155" s="1">
        <v>12</v>
      </c>
      <c r="D155" s="1">
        <v>1</v>
      </c>
      <c r="E155" s="1">
        <v>1</v>
      </c>
      <c r="F155" s="1">
        <v>10</v>
      </c>
      <c r="G155" s="1">
        <v>3</v>
      </c>
      <c r="H155" s="1">
        <v>0</v>
      </c>
      <c r="I155" s="1">
        <v>3</v>
      </c>
      <c r="J155" s="1">
        <v>1</v>
      </c>
    </row>
    <row r="156" spans="1:10" x14ac:dyDescent="0.2">
      <c r="A156" s="1">
        <v>29</v>
      </c>
      <c r="B156" s="1">
        <v>0</v>
      </c>
      <c r="C156" s="1">
        <v>16</v>
      </c>
      <c r="D156" s="1">
        <v>5</v>
      </c>
      <c r="E156" s="1">
        <v>3</v>
      </c>
      <c r="F156" s="1">
        <v>10</v>
      </c>
      <c r="G156" s="1">
        <v>3</v>
      </c>
      <c r="H156" s="1">
        <v>0</v>
      </c>
      <c r="I156" s="1">
        <v>2</v>
      </c>
      <c r="J156" s="1">
        <v>1</v>
      </c>
    </row>
    <row r="157" spans="1:10" x14ac:dyDescent="0.2">
      <c r="A157" s="1">
        <v>1049</v>
      </c>
      <c r="B157" s="1">
        <v>0</v>
      </c>
      <c r="C157" s="1">
        <v>16</v>
      </c>
      <c r="D157" s="1">
        <v>5</v>
      </c>
      <c r="E157" s="1">
        <v>3</v>
      </c>
      <c r="F157" s="1">
        <v>10</v>
      </c>
      <c r="G157" s="1">
        <v>3</v>
      </c>
      <c r="H157" s="1">
        <v>1</v>
      </c>
      <c r="I157" s="1">
        <v>1</v>
      </c>
      <c r="J157" s="1">
        <v>1</v>
      </c>
    </row>
    <row r="158" spans="1:10" x14ac:dyDescent="0.2">
      <c r="A158" s="1">
        <v>809</v>
      </c>
      <c r="B158" s="1">
        <v>0</v>
      </c>
      <c r="C158" s="1">
        <v>16</v>
      </c>
      <c r="D158" s="1">
        <v>1</v>
      </c>
      <c r="E158" s="1">
        <v>1</v>
      </c>
      <c r="F158" s="1">
        <v>1</v>
      </c>
      <c r="G158" s="1">
        <v>4</v>
      </c>
      <c r="H158" s="1">
        <v>0</v>
      </c>
      <c r="I158" s="1">
        <v>0</v>
      </c>
      <c r="J158" s="1">
        <v>1</v>
      </c>
    </row>
    <row r="159" spans="1:10" x14ac:dyDescent="0.2">
      <c r="A159" s="1">
        <v>509</v>
      </c>
      <c r="B159" s="1">
        <v>0</v>
      </c>
      <c r="C159" s="1">
        <v>6</v>
      </c>
      <c r="D159" s="1">
        <v>1</v>
      </c>
      <c r="E159" s="1">
        <v>2</v>
      </c>
      <c r="F159" s="1">
        <v>1</v>
      </c>
      <c r="G159" s="1">
        <v>4</v>
      </c>
      <c r="H159" s="1">
        <v>1</v>
      </c>
      <c r="I159" s="1">
        <v>2</v>
      </c>
      <c r="J159" s="1">
        <v>1</v>
      </c>
    </row>
    <row r="160" spans="1:10" x14ac:dyDescent="0.2">
      <c r="A160" s="1">
        <v>386</v>
      </c>
      <c r="B160" s="1">
        <v>0</v>
      </c>
      <c r="C160" s="1">
        <v>13</v>
      </c>
      <c r="D160" s="1">
        <v>1</v>
      </c>
      <c r="E160" s="1">
        <v>2</v>
      </c>
      <c r="F160" s="1">
        <v>1</v>
      </c>
      <c r="G160" s="1">
        <v>4</v>
      </c>
      <c r="H160" s="1">
        <v>0</v>
      </c>
      <c r="I160" s="1">
        <v>1</v>
      </c>
      <c r="J160" s="1">
        <v>1</v>
      </c>
    </row>
    <row r="161" spans="1:10" x14ac:dyDescent="0.2">
      <c r="A161" s="1">
        <v>1279</v>
      </c>
      <c r="B161" s="1">
        <v>0</v>
      </c>
      <c r="C161" s="1">
        <v>17</v>
      </c>
      <c r="D161" s="1">
        <v>2</v>
      </c>
      <c r="E161" s="1">
        <v>2</v>
      </c>
      <c r="F161" s="1">
        <v>1</v>
      </c>
      <c r="G161" s="1">
        <v>4</v>
      </c>
      <c r="H161" s="1">
        <v>1</v>
      </c>
      <c r="I161" s="1">
        <v>3</v>
      </c>
      <c r="J161" s="1">
        <v>1</v>
      </c>
    </row>
    <row r="162" spans="1:10" x14ac:dyDescent="0.2">
      <c r="A162" s="1">
        <v>1037</v>
      </c>
      <c r="B162" s="1">
        <v>0</v>
      </c>
      <c r="C162" s="1">
        <v>7</v>
      </c>
      <c r="D162" s="1">
        <v>1</v>
      </c>
      <c r="E162" s="1">
        <v>3</v>
      </c>
      <c r="F162" s="1">
        <v>1</v>
      </c>
      <c r="G162" s="1">
        <v>4</v>
      </c>
      <c r="H162" s="1">
        <v>0</v>
      </c>
      <c r="I162" s="1">
        <v>3</v>
      </c>
      <c r="J162" s="1">
        <v>1</v>
      </c>
    </row>
    <row r="163" spans="1:10" x14ac:dyDescent="0.2">
      <c r="A163" s="1">
        <v>984</v>
      </c>
      <c r="B163" s="1">
        <v>0</v>
      </c>
      <c r="C163" s="1">
        <v>18</v>
      </c>
      <c r="D163" s="1">
        <v>1</v>
      </c>
      <c r="E163" s="1">
        <v>1</v>
      </c>
      <c r="F163" s="1">
        <v>2</v>
      </c>
      <c r="G163" s="1">
        <v>4</v>
      </c>
      <c r="H163" s="1">
        <v>1</v>
      </c>
      <c r="I163" s="1">
        <v>2</v>
      </c>
      <c r="J163" s="1">
        <v>1</v>
      </c>
    </row>
    <row r="164" spans="1:10" x14ac:dyDescent="0.2">
      <c r="A164" s="1">
        <v>1955</v>
      </c>
      <c r="B164" s="1">
        <v>0</v>
      </c>
      <c r="C164" s="1">
        <v>5</v>
      </c>
      <c r="D164" s="1">
        <v>5</v>
      </c>
      <c r="E164" s="1">
        <v>2</v>
      </c>
      <c r="F164" s="1">
        <v>2</v>
      </c>
      <c r="G164" s="1">
        <v>4</v>
      </c>
      <c r="H164" s="1">
        <v>1</v>
      </c>
      <c r="I164" s="1">
        <v>0</v>
      </c>
      <c r="J164" s="1">
        <v>1</v>
      </c>
    </row>
    <row r="165" spans="1:10" x14ac:dyDescent="0.2">
      <c r="A165" s="1">
        <v>1355</v>
      </c>
      <c r="B165" s="1">
        <v>0</v>
      </c>
      <c r="C165" s="1">
        <v>7</v>
      </c>
      <c r="D165" s="1">
        <v>4</v>
      </c>
      <c r="E165" s="1">
        <v>2</v>
      </c>
      <c r="F165" s="1">
        <v>2</v>
      </c>
      <c r="G165" s="1">
        <v>4</v>
      </c>
      <c r="H165" s="1">
        <v>1</v>
      </c>
      <c r="I165" s="1">
        <v>2</v>
      </c>
      <c r="J165" s="1">
        <v>1</v>
      </c>
    </row>
    <row r="166" spans="1:10" x14ac:dyDescent="0.2">
      <c r="A166" s="1">
        <v>815</v>
      </c>
      <c r="B166" s="1">
        <v>0</v>
      </c>
      <c r="C166" s="1">
        <v>8</v>
      </c>
      <c r="D166" s="1">
        <v>2</v>
      </c>
      <c r="E166" s="1">
        <v>2</v>
      </c>
      <c r="F166" s="1">
        <v>2</v>
      </c>
      <c r="G166" s="1">
        <v>4</v>
      </c>
      <c r="H166" s="1">
        <v>0</v>
      </c>
      <c r="I166" s="1">
        <v>1</v>
      </c>
      <c r="J166" s="1">
        <v>1</v>
      </c>
    </row>
    <row r="167" spans="1:10" x14ac:dyDescent="0.2">
      <c r="A167" s="1">
        <v>276</v>
      </c>
      <c r="B167" s="1">
        <v>0</v>
      </c>
      <c r="C167" s="1">
        <v>15</v>
      </c>
      <c r="D167" s="1">
        <v>4</v>
      </c>
      <c r="E167" s="1">
        <v>3</v>
      </c>
      <c r="F167" s="1">
        <v>2</v>
      </c>
      <c r="G167" s="1">
        <v>4</v>
      </c>
      <c r="H167" s="1">
        <v>1</v>
      </c>
      <c r="I167" s="1">
        <v>1</v>
      </c>
      <c r="J167" s="1">
        <v>1</v>
      </c>
    </row>
    <row r="168" spans="1:10" x14ac:dyDescent="0.2">
      <c r="A168" s="1">
        <v>2001</v>
      </c>
      <c r="B168" s="1">
        <v>0</v>
      </c>
      <c r="C168" s="1">
        <v>15</v>
      </c>
      <c r="D168" s="1">
        <v>3</v>
      </c>
      <c r="E168" s="1">
        <v>3</v>
      </c>
      <c r="F168" s="1">
        <v>2</v>
      </c>
      <c r="G168" s="1">
        <v>4</v>
      </c>
      <c r="H168" s="1">
        <v>0</v>
      </c>
      <c r="I168" s="1">
        <v>1</v>
      </c>
      <c r="J168" s="1">
        <v>1</v>
      </c>
    </row>
    <row r="169" spans="1:10" x14ac:dyDescent="0.2">
      <c r="A169" s="1">
        <v>1496</v>
      </c>
      <c r="B169" s="1">
        <v>0</v>
      </c>
      <c r="C169" s="1">
        <v>8</v>
      </c>
      <c r="D169" s="1">
        <v>2</v>
      </c>
      <c r="E169" s="1">
        <v>3</v>
      </c>
      <c r="F169" s="1">
        <v>3</v>
      </c>
      <c r="G169" s="1">
        <v>4</v>
      </c>
      <c r="H169" s="1">
        <v>0</v>
      </c>
      <c r="I169" s="1">
        <v>2</v>
      </c>
      <c r="J169" s="1">
        <v>1</v>
      </c>
    </row>
    <row r="170" spans="1:10" x14ac:dyDescent="0.2">
      <c r="A170" s="1">
        <v>1660</v>
      </c>
      <c r="B170" s="1">
        <v>0</v>
      </c>
      <c r="C170" s="1">
        <v>17</v>
      </c>
      <c r="D170" s="1">
        <v>4</v>
      </c>
      <c r="E170" s="1">
        <v>3</v>
      </c>
      <c r="F170" s="1">
        <v>3</v>
      </c>
      <c r="G170" s="1">
        <v>4</v>
      </c>
      <c r="H170" s="1">
        <v>1</v>
      </c>
      <c r="I170" s="1">
        <v>1</v>
      </c>
      <c r="J170" s="1">
        <v>1</v>
      </c>
    </row>
    <row r="171" spans="1:10" x14ac:dyDescent="0.2">
      <c r="A171" s="1">
        <v>1769</v>
      </c>
      <c r="B171" s="1">
        <v>0</v>
      </c>
      <c r="C171" s="1">
        <v>20</v>
      </c>
      <c r="D171" s="1">
        <v>4</v>
      </c>
      <c r="E171" s="1">
        <v>3</v>
      </c>
      <c r="F171" s="1">
        <v>3</v>
      </c>
      <c r="G171" s="1">
        <v>4</v>
      </c>
      <c r="H171" s="1">
        <v>1</v>
      </c>
      <c r="I171" s="1">
        <v>2</v>
      </c>
      <c r="J171" s="1">
        <v>1</v>
      </c>
    </row>
    <row r="172" spans="1:10" x14ac:dyDescent="0.2">
      <c r="A172" s="1">
        <v>400</v>
      </c>
      <c r="B172" s="1">
        <v>0</v>
      </c>
      <c r="C172" s="1">
        <v>12</v>
      </c>
      <c r="D172" s="1">
        <v>2</v>
      </c>
      <c r="E172" s="1">
        <v>1</v>
      </c>
      <c r="F172" s="1">
        <v>4</v>
      </c>
      <c r="G172" s="1">
        <v>4</v>
      </c>
      <c r="H172" s="1">
        <v>1</v>
      </c>
      <c r="I172" s="1">
        <v>2</v>
      </c>
      <c r="J172" s="1">
        <v>1</v>
      </c>
    </row>
    <row r="173" spans="1:10" x14ac:dyDescent="0.2">
      <c r="A173" s="1">
        <v>1722</v>
      </c>
      <c r="B173" s="1">
        <v>0</v>
      </c>
      <c r="C173" s="1">
        <v>12</v>
      </c>
      <c r="D173" s="1">
        <v>1</v>
      </c>
      <c r="E173" s="1">
        <v>1</v>
      </c>
      <c r="F173" s="1">
        <v>4</v>
      </c>
      <c r="G173" s="1">
        <v>4</v>
      </c>
      <c r="H173" s="1">
        <v>1</v>
      </c>
      <c r="I173" s="1">
        <v>1</v>
      </c>
      <c r="J173" s="1">
        <v>1</v>
      </c>
    </row>
    <row r="174" spans="1:10" x14ac:dyDescent="0.2">
      <c r="A174" s="1">
        <v>1948</v>
      </c>
      <c r="B174" s="1">
        <v>0</v>
      </c>
      <c r="C174" s="1">
        <v>15</v>
      </c>
      <c r="D174" s="1">
        <v>5</v>
      </c>
      <c r="E174" s="1">
        <v>1</v>
      </c>
      <c r="F174" s="1">
        <v>4</v>
      </c>
      <c r="G174" s="1">
        <v>4</v>
      </c>
      <c r="H174" s="1">
        <v>1</v>
      </c>
      <c r="I174" s="1">
        <v>2</v>
      </c>
      <c r="J174" s="1">
        <v>1</v>
      </c>
    </row>
    <row r="175" spans="1:10" x14ac:dyDescent="0.2">
      <c r="A175" s="1">
        <v>1904</v>
      </c>
      <c r="B175" s="1">
        <v>0</v>
      </c>
      <c r="C175" s="1">
        <v>10</v>
      </c>
      <c r="D175" s="1">
        <v>4</v>
      </c>
      <c r="E175" s="1">
        <v>2</v>
      </c>
      <c r="F175" s="1">
        <v>4</v>
      </c>
      <c r="G175" s="1">
        <v>4</v>
      </c>
      <c r="H175" s="1">
        <v>0</v>
      </c>
      <c r="I175" s="1">
        <v>0</v>
      </c>
      <c r="J175" s="1">
        <v>1</v>
      </c>
    </row>
    <row r="176" spans="1:10" x14ac:dyDescent="0.2">
      <c r="A176" s="1">
        <v>1814</v>
      </c>
      <c r="B176" s="1">
        <v>0</v>
      </c>
      <c r="C176" s="1">
        <v>9</v>
      </c>
      <c r="D176" s="1">
        <v>1</v>
      </c>
      <c r="E176" s="1">
        <v>3</v>
      </c>
      <c r="F176" s="1">
        <v>4</v>
      </c>
      <c r="G176" s="1">
        <v>4</v>
      </c>
      <c r="H176" s="1">
        <v>1</v>
      </c>
      <c r="I176" s="1">
        <v>3</v>
      </c>
      <c r="J176" s="1">
        <v>1</v>
      </c>
    </row>
    <row r="177" spans="1:10" x14ac:dyDescent="0.2">
      <c r="A177" s="1">
        <v>1820</v>
      </c>
      <c r="B177" s="1">
        <v>0</v>
      </c>
      <c r="C177" s="1">
        <v>10</v>
      </c>
      <c r="D177" s="1">
        <v>4</v>
      </c>
      <c r="E177" s="1">
        <v>3</v>
      </c>
      <c r="F177" s="1">
        <v>4</v>
      </c>
      <c r="G177" s="1">
        <v>4</v>
      </c>
      <c r="H177" s="1">
        <v>1</v>
      </c>
      <c r="I177" s="1">
        <v>3</v>
      </c>
      <c r="J177" s="1">
        <v>1</v>
      </c>
    </row>
    <row r="178" spans="1:10" x14ac:dyDescent="0.2">
      <c r="A178" s="1">
        <v>1711</v>
      </c>
      <c r="B178" s="1">
        <v>0</v>
      </c>
      <c r="C178" s="1">
        <v>13</v>
      </c>
      <c r="D178" s="1">
        <v>1</v>
      </c>
      <c r="E178" s="1">
        <v>3</v>
      </c>
      <c r="F178" s="1">
        <v>4</v>
      </c>
      <c r="G178" s="1">
        <v>4</v>
      </c>
      <c r="H178" s="1">
        <v>1</v>
      </c>
      <c r="I178" s="1">
        <v>1</v>
      </c>
      <c r="J178" s="1">
        <v>1</v>
      </c>
    </row>
    <row r="179" spans="1:10" x14ac:dyDescent="0.2">
      <c r="A179" s="1">
        <v>1177</v>
      </c>
      <c r="B179" s="1">
        <v>0</v>
      </c>
      <c r="C179" s="1">
        <v>15</v>
      </c>
      <c r="D179" s="1">
        <v>4</v>
      </c>
      <c r="E179" s="1">
        <v>3</v>
      </c>
      <c r="F179" s="1">
        <v>4</v>
      </c>
      <c r="G179" s="1">
        <v>4</v>
      </c>
      <c r="H179" s="1">
        <v>0</v>
      </c>
      <c r="I179" s="1">
        <v>0</v>
      </c>
      <c r="J179" s="1">
        <v>1</v>
      </c>
    </row>
    <row r="180" spans="1:10" x14ac:dyDescent="0.2">
      <c r="A180" s="1">
        <v>1192</v>
      </c>
      <c r="B180" s="1">
        <v>0</v>
      </c>
      <c r="C180" s="1">
        <v>14</v>
      </c>
      <c r="D180" s="1">
        <v>4</v>
      </c>
      <c r="E180" s="1">
        <v>1</v>
      </c>
      <c r="F180" s="1">
        <v>5</v>
      </c>
      <c r="G180" s="1">
        <v>4</v>
      </c>
      <c r="H180" s="1">
        <v>0</v>
      </c>
      <c r="I180" s="1">
        <v>1</v>
      </c>
      <c r="J180" s="1">
        <v>1</v>
      </c>
    </row>
    <row r="181" spans="1:10" x14ac:dyDescent="0.2">
      <c r="A181" s="1">
        <v>1391</v>
      </c>
      <c r="B181" s="1">
        <v>0</v>
      </c>
      <c r="C181" s="1">
        <v>15</v>
      </c>
      <c r="D181" s="1">
        <v>2</v>
      </c>
      <c r="E181" s="1">
        <v>1</v>
      </c>
      <c r="F181" s="1">
        <v>5</v>
      </c>
      <c r="G181" s="1">
        <v>4</v>
      </c>
      <c r="H181" s="1">
        <v>0</v>
      </c>
      <c r="I181" s="1">
        <v>1</v>
      </c>
      <c r="J181" s="1">
        <v>1</v>
      </c>
    </row>
    <row r="182" spans="1:10" x14ac:dyDescent="0.2">
      <c r="A182" s="1">
        <v>1250</v>
      </c>
      <c r="B182" s="1">
        <v>0</v>
      </c>
      <c r="C182" s="1">
        <v>20</v>
      </c>
      <c r="D182" s="1">
        <v>4</v>
      </c>
      <c r="E182" s="1">
        <v>1</v>
      </c>
      <c r="F182" s="1">
        <v>5</v>
      </c>
      <c r="G182" s="1">
        <v>4</v>
      </c>
      <c r="H182" s="1">
        <v>1</v>
      </c>
      <c r="I182" s="1">
        <v>1</v>
      </c>
      <c r="J182" s="1">
        <v>1</v>
      </c>
    </row>
    <row r="183" spans="1:10" x14ac:dyDescent="0.2">
      <c r="A183" s="1">
        <v>2017</v>
      </c>
      <c r="B183" s="1">
        <v>0</v>
      </c>
      <c r="C183" s="1">
        <v>16</v>
      </c>
      <c r="D183" s="1">
        <v>2</v>
      </c>
      <c r="E183" s="1">
        <v>3</v>
      </c>
      <c r="F183" s="1">
        <v>5</v>
      </c>
      <c r="G183" s="1">
        <v>4</v>
      </c>
      <c r="H183" s="1">
        <v>1</v>
      </c>
      <c r="I183" s="1">
        <v>0</v>
      </c>
      <c r="J183" s="1">
        <v>1</v>
      </c>
    </row>
    <row r="184" spans="1:10" x14ac:dyDescent="0.2">
      <c r="A184" s="1">
        <v>408</v>
      </c>
      <c r="B184" s="1">
        <v>0</v>
      </c>
      <c r="C184" s="1">
        <v>19</v>
      </c>
      <c r="D184" s="1">
        <v>5</v>
      </c>
      <c r="E184" s="1">
        <v>3</v>
      </c>
      <c r="F184" s="1">
        <v>5</v>
      </c>
      <c r="G184" s="1">
        <v>4</v>
      </c>
      <c r="H184" s="1">
        <v>0</v>
      </c>
      <c r="I184" s="1">
        <v>3</v>
      </c>
      <c r="J184" s="1">
        <v>1</v>
      </c>
    </row>
    <row r="185" spans="1:10" x14ac:dyDescent="0.2">
      <c r="A185" s="1">
        <v>1450</v>
      </c>
      <c r="B185" s="1">
        <v>0</v>
      </c>
      <c r="C185" s="1">
        <v>13</v>
      </c>
      <c r="D185" s="1">
        <v>3</v>
      </c>
      <c r="E185" s="1">
        <v>1</v>
      </c>
      <c r="F185" s="1">
        <v>6</v>
      </c>
      <c r="G185" s="1">
        <v>4</v>
      </c>
      <c r="H185" s="1">
        <v>1</v>
      </c>
      <c r="I185" s="1">
        <v>2</v>
      </c>
      <c r="J185" s="1">
        <v>1</v>
      </c>
    </row>
    <row r="186" spans="1:10" x14ac:dyDescent="0.2">
      <c r="A186" s="1">
        <v>960</v>
      </c>
      <c r="B186" s="1">
        <v>0</v>
      </c>
      <c r="C186" s="1">
        <v>5</v>
      </c>
      <c r="D186" s="1">
        <v>4</v>
      </c>
      <c r="E186" s="1">
        <v>3</v>
      </c>
      <c r="F186" s="1">
        <v>6</v>
      </c>
      <c r="G186" s="1">
        <v>4</v>
      </c>
      <c r="H186" s="1">
        <v>0</v>
      </c>
      <c r="I186" s="1">
        <v>1</v>
      </c>
      <c r="J186" s="1">
        <v>1</v>
      </c>
    </row>
    <row r="187" spans="1:10" x14ac:dyDescent="0.2">
      <c r="A187" s="1">
        <v>302</v>
      </c>
      <c r="B187" s="1">
        <v>0</v>
      </c>
      <c r="C187" s="1">
        <v>5</v>
      </c>
      <c r="D187" s="1">
        <v>5</v>
      </c>
      <c r="E187" s="1">
        <v>1</v>
      </c>
      <c r="F187" s="1">
        <v>7</v>
      </c>
      <c r="G187" s="1">
        <v>4</v>
      </c>
      <c r="H187" s="1">
        <v>1</v>
      </c>
      <c r="I187" s="1">
        <v>1</v>
      </c>
      <c r="J187" s="1">
        <v>1</v>
      </c>
    </row>
    <row r="188" spans="1:10" x14ac:dyDescent="0.2">
      <c r="A188" s="1">
        <v>250</v>
      </c>
      <c r="B188" s="1">
        <v>0</v>
      </c>
      <c r="C188" s="1">
        <v>16</v>
      </c>
      <c r="D188" s="1">
        <v>2</v>
      </c>
      <c r="E188" s="1">
        <v>2</v>
      </c>
      <c r="F188" s="1">
        <v>7</v>
      </c>
      <c r="G188" s="1">
        <v>4</v>
      </c>
      <c r="H188" s="1">
        <v>0</v>
      </c>
      <c r="I188" s="1">
        <v>3</v>
      </c>
      <c r="J188" s="1">
        <v>1</v>
      </c>
    </row>
    <row r="189" spans="1:10" x14ac:dyDescent="0.2">
      <c r="A189" s="1">
        <v>366</v>
      </c>
      <c r="B189" s="1">
        <v>0</v>
      </c>
      <c r="C189" s="1">
        <v>16</v>
      </c>
      <c r="D189" s="1">
        <v>4</v>
      </c>
      <c r="E189" s="1">
        <v>2</v>
      </c>
      <c r="F189" s="1">
        <v>7</v>
      </c>
      <c r="G189" s="1">
        <v>4</v>
      </c>
      <c r="H189" s="1">
        <v>0</v>
      </c>
      <c r="I189" s="1">
        <v>1</v>
      </c>
      <c r="J189" s="1">
        <v>1</v>
      </c>
    </row>
    <row r="190" spans="1:10" x14ac:dyDescent="0.2">
      <c r="A190" s="1">
        <v>1340</v>
      </c>
      <c r="B190" s="1">
        <v>0</v>
      </c>
      <c r="C190" s="1">
        <v>20</v>
      </c>
      <c r="D190" s="1">
        <v>3</v>
      </c>
      <c r="E190" s="1">
        <v>2</v>
      </c>
      <c r="F190" s="1">
        <v>7</v>
      </c>
      <c r="G190" s="1">
        <v>4</v>
      </c>
      <c r="H190" s="1">
        <v>0</v>
      </c>
      <c r="I190" s="1">
        <v>0</v>
      </c>
      <c r="J190" s="1">
        <v>1</v>
      </c>
    </row>
    <row r="191" spans="1:10" x14ac:dyDescent="0.2">
      <c r="A191" s="1">
        <v>1264</v>
      </c>
      <c r="B191" s="1">
        <v>0</v>
      </c>
      <c r="C191" s="1">
        <v>18</v>
      </c>
      <c r="D191" s="1">
        <v>4</v>
      </c>
      <c r="E191" s="1">
        <v>3</v>
      </c>
      <c r="F191" s="1">
        <v>7</v>
      </c>
      <c r="G191" s="1">
        <v>4</v>
      </c>
      <c r="H191" s="1">
        <v>0</v>
      </c>
      <c r="I191" s="1">
        <v>2</v>
      </c>
      <c r="J191" s="1">
        <v>1</v>
      </c>
    </row>
    <row r="192" spans="1:10" x14ac:dyDescent="0.2">
      <c r="A192" s="1">
        <v>953</v>
      </c>
      <c r="B192" s="1">
        <v>0</v>
      </c>
      <c r="C192" s="1">
        <v>9</v>
      </c>
      <c r="D192" s="1">
        <v>4</v>
      </c>
      <c r="E192" s="1">
        <v>1</v>
      </c>
      <c r="F192" s="1">
        <v>8</v>
      </c>
      <c r="G192" s="1">
        <v>4</v>
      </c>
      <c r="H192" s="1">
        <v>1</v>
      </c>
      <c r="I192" s="1">
        <v>1</v>
      </c>
      <c r="J192" s="1">
        <v>1</v>
      </c>
    </row>
    <row r="193" spans="1:10" x14ac:dyDescent="0.2">
      <c r="A193" s="1">
        <v>768</v>
      </c>
      <c r="B193" s="1">
        <v>0</v>
      </c>
      <c r="C193" s="1">
        <v>9</v>
      </c>
      <c r="D193" s="1">
        <v>5</v>
      </c>
      <c r="E193" s="1">
        <v>3</v>
      </c>
      <c r="F193" s="1">
        <v>8</v>
      </c>
      <c r="G193" s="1">
        <v>4</v>
      </c>
      <c r="H193" s="1">
        <v>1</v>
      </c>
      <c r="I193" s="1">
        <v>0</v>
      </c>
      <c r="J193" s="1">
        <v>1</v>
      </c>
    </row>
    <row r="194" spans="1:10" x14ac:dyDescent="0.2">
      <c r="A194" s="1">
        <v>584</v>
      </c>
      <c r="B194" s="1">
        <v>0</v>
      </c>
      <c r="C194" s="1">
        <v>14</v>
      </c>
      <c r="D194" s="1">
        <v>4</v>
      </c>
      <c r="E194" s="1">
        <v>3</v>
      </c>
      <c r="F194" s="1">
        <v>8</v>
      </c>
      <c r="G194" s="1">
        <v>4</v>
      </c>
      <c r="H194" s="1">
        <v>0</v>
      </c>
      <c r="I194" s="1">
        <v>2</v>
      </c>
      <c r="J194" s="1">
        <v>1</v>
      </c>
    </row>
    <row r="195" spans="1:10" x14ac:dyDescent="0.2">
      <c r="A195" s="1">
        <v>874</v>
      </c>
      <c r="B195" s="1">
        <v>0</v>
      </c>
      <c r="C195" s="1">
        <v>5</v>
      </c>
      <c r="D195" s="1">
        <v>2</v>
      </c>
      <c r="E195" s="1">
        <v>3</v>
      </c>
      <c r="F195" s="1">
        <v>9</v>
      </c>
      <c r="G195" s="1">
        <v>4</v>
      </c>
      <c r="H195" s="1">
        <v>1</v>
      </c>
      <c r="I195" s="1">
        <v>0</v>
      </c>
      <c r="J195" s="1">
        <v>1</v>
      </c>
    </row>
    <row r="196" spans="1:10" x14ac:dyDescent="0.2">
      <c r="A196" s="1">
        <v>833</v>
      </c>
      <c r="B196" s="1">
        <v>0</v>
      </c>
      <c r="C196" s="1">
        <v>11</v>
      </c>
      <c r="D196" s="1">
        <v>1</v>
      </c>
      <c r="E196" s="1">
        <v>3</v>
      </c>
      <c r="F196" s="1">
        <v>9</v>
      </c>
      <c r="G196" s="1">
        <v>4</v>
      </c>
      <c r="H196" s="1">
        <v>0</v>
      </c>
      <c r="I196" s="1">
        <v>3</v>
      </c>
      <c r="J196" s="1">
        <v>1</v>
      </c>
    </row>
    <row r="197" spans="1:10" x14ac:dyDescent="0.2">
      <c r="A197" s="1">
        <v>845</v>
      </c>
      <c r="B197" s="1">
        <v>0</v>
      </c>
      <c r="C197" s="1">
        <v>18</v>
      </c>
      <c r="D197" s="1">
        <v>3</v>
      </c>
      <c r="E197" s="1">
        <v>3</v>
      </c>
      <c r="F197" s="1">
        <v>9</v>
      </c>
      <c r="G197" s="1">
        <v>4</v>
      </c>
      <c r="H197" s="1">
        <v>0</v>
      </c>
      <c r="I197" s="1">
        <v>0</v>
      </c>
      <c r="J197" s="1">
        <v>1</v>
      </c>
    </row>
    <row r="198" spans="1:10" x14ac:dyDescent="0.2">
      <c r="A198" s="1">
        <v>1833</v>
      </c>
      <c r="B198" s="1">
        <v>0</v>
      </c>
      <c r="C198" s="1">
        <v>16</v>
      </c>
      <c r="D198" s="1">
        <v>3</v>
      </c>
      <c r="E198" s="1">
        <v>1</v>
      </c>
      <c r="F198" s="1">
        <v>10</v>
      </c>
      <c r="G198" s="1">
        <v>4</v>
      </c>
      <c r="H198" s="1">
        <v>1</v>
      </c>
      <c r="I198" s="1">
        <v>1</v>
      </c>
      <c r="J198" s="1">
        <v>1</v>
      </c>
    </row>
    <row r="199" spans="1:10" x14ac:dyDescent="0.2">
      <c r="A199" s="1">
        <v>1936</v>
      </c>
      <c r="B199" s="1">
        <v>0</v>
      </c>
      <c r="C199" s="1">
        <v>5</v>
      </c>
      <c r="D199" s="1">
        <v>2</v>
      </c>
      <c r="E199" s="1">
        <v>2</v>
      </c>
      <c r="F199" s="1">
        <v>10</v>
      </c>
      <c r="G199" s="1">
        <v>4</v>
      </c>
      <c r="H199" s="1">
        <v>0</v>
      </c>
      <c r="I199" s="1">
        <v>2</v>
      </c>
      <c r="J199" s="1">
        <v>1</v>
      </c>
    </row>
    <row r="200" spans="1:10" x14ac:dyDescent="0.2">
      <c r="A200" s="1">
        <v>2078</v>
      </c>
      <c r="B200" s="1">
        <v>0</v>
      </c>
      <c r="C200" s="1">
        <v>5</v>
      </c>
      <c r="D200" s="1">
        <v>1</v>
      </c>
      <c r="E200" s="1">
        <v>3</v>
      </c>
      <c r="F200" s="1">
        <v>10</v>
      </c>
      <c r="G200" s="1">
        <v>4</v>
      </c>
      <c r="H200" s="1">
        <v>0</v>
      </c>
      <c r="I200" s="1">
        <v>0</v>
      </c>
      <c r="J200" s="1">
        <v>1</v>
      </c>
    </row>
    <row r="201" spans="1:10" x14ac:dyDescent="0.2">
      <c r="A201" s="1">
        <v>1571</v>
      </c>
      <c r="B201" s="1">
        <v>0</v>
      </c>
      <c r="C201" s="1">
        <v>6</v>
      </c>
      <c r="D201" s="1">
        <v>4</v>
      </c>
      <c r="E201" s="1">
        <v>3</v>
      </c>
      <c r="F201" s="1">
        <v>10</v>
      </c>
      <c r="G201" s="1">
        <v>4</v>
      </c>
      <c r="H201" s="1">
        <v>0</v>
      </c>
      <c r="I201" s="1">
        <v>2</v>
      </c>
      <c r="J201" s="1">
        <v>1</v>
      </c>
    </row>
    <row r="202" spans="1:10" x14ac:dyDescent="0.2">
      <c r="A202" s="1">
        <v>983</v>
      </c>
      <c r="B202" s="1">
        <v>0</v>
      </c>
      <c r="C202" s="1">
        <v>19</v>
      </c>
      <c r="D202" s="1">
        <v>3</v>
      </c>
      <c r="E202" s="1">
        <v>3</v>
      </c>
      <c r="F202" s="1">
        <v>10</v>
      </c>
      <c r="G202" s="1">
        <v>4</v>
      </c>
      <c r="H202" s="1">
        <v>1</v>
      </c>
      <c r="I202" s="1">
        <v>3</v>
      </c>
      <c r="J202" s="1">
        <v>1</v>
      </c>
    </row>
    <row r="203" spans="1:10" x14ac:dyDescent="0.2">
      <c r="A203" s="1">
        <v>2484</v>
      </c>
      <c r="B203" s="1">
        <v>0</v>
      </c>
      <c r="C203" s="1">
        <v>8</v>
      </c>
      <c r="D203" s="1">
        <v>4</v>
      </c>
      <c r="E203" s="1">
        <v>1</v>
      </c>
      <c r="F203" s="1">
        <v>1</v>
      </c>
      <c r="G203" s="1">
        <v>5</v>
      </c>
      <c r="H203" s="1">
        <v>0</v>
      </c>
      <c r="I203" s="1">
        <v>0</v>
      </c>
      <c r="J203" s="1">
        <v>1</v>
      </c>
    </row>
    <row r="204" spans="1:10" x14ac:dyDescent="0.2">
      <c r="A204" s="1">
        <v>2171</v>
      </c>
      <c r="B204" s="1">
        <v>0</v>
      </c>
      <c r="C204" s="1">
        <v>9</v>
      </c>
      <c r="D204" s="1">
        <v>5</v>
      </c>
      <c r="E204" s="1">
        <v>3</v>
      </c>
      <c r="F204" s="1">
        <v>1</v>
      </c>
      <c r="G204" s="1">
        <v>5</v>
      </c>
      <c r="H204" s="1">
        <v>1</v>
      </c>
      <c r="I204" s="1">
        <v>2</v>
      </c>
      <c r="J204" s="1">
        <v>1</v>
      </c>
    </row>
    <row r="205" spans="1:10" x14ac:dyDescent="0.2">
      <c r="A205" s="1">
        <v>1195</v>
      </c>
      <c r="B205" s="1">
        <v>0</v>
      </c>
      <c r="C205" s="1">
        <v>15</v>
      </c>
      <c r="D205" s="1">
        <v>2</v>
      </c>
      <c r="E205" s="1">
        <v>3</v>
      </c>
      <c r="F205" s="1">
        <v>1</v>
      </c>
      <c r="G205" s="1">
        <v>5</v>
      </c>
      <c r="H205" s="1">
        <v>0</v>
      </c>
      <c r="I205" s="1">
        <v>2</v>
      </c>
      <c r="J205" s="1">
        <v>1</v>
      </c>
    </row>
    <row r="206" spans="1:10" x14ac:dyDescent="0.2">
      <c r="A206" s="1">
        <v>1781</v>
      </c>
      <c r="B206" s="1">
        <v>0</v>
      </c>
      <c r="C206" s="1">
        <v>15</v>
      </c>
      <c r="D206" s="1">
        <v>1</v>
      </c>
      <c r="E206" s="1">
        <v>1</v>
      </c>
      <c r="F206" s="1">
        <v>2</v>
      </c>
      <c r="G206" s="1">
        <v>5</v>
      </c>
      <c r="H206" s="1">
        <v>1</v>
      </c>
      <c r="I206" s="1">
        <v>0</v>
      </c>
      <c r="J206" s="1">
        <v>1</v>
      </c>
    </row>
    <row r="207" spans="1:10" x14ac:dyDescent="0.2">
      <c r="A207" s="1">
        <v>1706</v>
      </c>
      <c r="B207" s="1">
        <v>0</v>
      </c>
      <c r="C207" s="1">
        <v>18</v>
      </c>
      <c r="D207" s="1">
        <v>3</v>
      </c>
      <c r="E207" s="1">
        <v>1</v>
      </c>
      <c r="F207" s="1">
        <v>2</v>
      </c>
      <c r="G207" s="1">
        <v>5</v>
      </c>
      <c r="H207" s="1">
        <v>1</v>
      </c>
      <c r="I207" s="1">
        <v>2</v>
      </c>
      <c r="J207" s="1">
        <v>1</v>
      </c>
    </row>
    <row r="208" spans="1:10" x14ac:dyDescent="0.2">
      <c r="A208" s="1">
        <v>1637</v>
      </c>
      <c r="B208" s="1">
        <v>0</v>
      </c>
      <c r="C208" s="1">
        <v>20</v>
      </c>
      <c r="D208" s="1">
        <v>2</v>
      </c>
      <c r="E208" s="1">
        <v>2</v>
      </c>
      <c r="F208" s="1">
        <v>2</v>
      </c>
      <c r="G208" s="1">
        <v>5</v>
      </c>
      <c r="H208" s="1">
        <v>0</v>
      </c>
      <c r="I208" s="1">
        <v>0</v>
      </c>
      <c r="J208" s="1">
        <v>1</v>
      </c>
    </row>
    <row r="209" spans="1:10" x14ac:dyDescent="0.2">
      <c r="A209" s="1">
        <v>1906</v>
      </c>
      <c r="B209" s="1">
        <v>0</v>
      </c>
      <c r="C209" s="1">
        <v>6</v>
      </c>
      <c r="D209" s="1">
        <v>5</v>
      </c>
      <c r="E209" s="1">
        <v>1</v>
      </c>
      <c r="F209" s="1">
        <v>3</v>
      </c>
      <c r="G209" s="1">
        <v>5</v>
      </c>
      <c r="H209" s="1">
        <v>0</v>
      </c>
      <c r="I209" s="1">
        <v>3</v>
      </c>
      <c r="J209" s="1">
        <v>1</v>
      </c>
    </row>
    <row r="210" spans="1:10" x14ac:dyDescent="0.2">
      <c r="A210" s="1">
        <v>719</v>
      </c>
      <c r="B210" s="1">
        <v>0</v>
      </c>
      <c r="C210" s="1">
        <v>14</v>
      </c>
      <c r="D210" s="1">
        <v>1</v>
      </c>
      <c r="E210" s="1">
        <v>1</v>
      </c>
      <c r="F210" s="1">
        <v>3</v>
      </c>
      <c r="G210" s="1">
        <v>5</v>
      </c>
      <c r="H210" s="1">
        <v>0</v>
      </c>
      <c r="I210" s="1">
        <v>0</v>
      </c>
      <c r="J210" s="1">
        <v>1</v>
      </c>
    </row>
    <row r="211" spans="1:10" x14ac:dyDescent="0.2">
      <c r="A211" s="1">
        <v>1041</v>
      </c>
      <c r="B211" s="1">
        <v>0</v>
      </c>
      <c r="C211" s="1">
        <v>14</v>
      </c>
      <c r="D211" s="1">
        <v>4</v>
      </c>
      <c r="E211" s="1">
        <v>1</v>
      </c>
      <c r="F211" s="1">
        <v>3</v>
      </c>
      <c r="G211" s="1">
        <v>5</v>
      </c>
      <c r="H211" s="1">
        <v>1</v>
      </c>
      <c r="I211" s="1">
        <v>3</v>
      </c>
      <c r="J211" s="1">
        <v>1</v>
      </c>
    </row>
    <row r="212" spans="1:10" x14ac:dyDescent="0.2">
      <c r="A212" s="1">
        <v>2059</v>
      </c>
      <c r="B212" s="1">
        <v>0</v>
      </c>
      <c r="C212" s="1">
        <v>20</v>
      </c>
      <c r="D212" s="1">
        <v>5</v>
      </c>
      <c r="E212" s="1">
        <v>1</v>
      </c>
      <c r="F212" s="1">
        <v>3</v>
      </c>
      <c r="G212" s="1">
        <v>5</v>
      </c>
      <c r="H212" s="1">
        <v>0</v>
      </c>
      <c r="I212" s="1">
        <v>0</v>
      </c>
      <c r="J212" s="1">
        <v>1</v>
      </c>
    </row>
    <row r="213" spans="1:10" x14ac:dyDescent="0.2">
      <c r="A213" s="1">
        <v>1669</v>
      </c>
      <c r="B213" s="1">
        <v>0</v>
      </c>
      <c r="C213" s="1">
        <v>19</v>
      </c>
      <c r="D213" s="1">
        <v>5</v>
      </c>
      <c r="E213" s="1">
        <v>2</v>
      </c>
      <c r="F213" s="1">
        <v>3</v>
      </c>
      <c r="G213" s="1">
        <v>5</v>
      </c>
      <c r="H213" s="1">
        <v>1</v>
      </c>
      <c r="I213" s="1">
        <v>0</v>
      </c>
      <c r="J213" s="1">
        <v>1</v>
      </c>
    </row>
    <row r="214" spans="1:10" x14ac:dyDescent="0.2">
      <c r="A214" s="1">
        <v>1240</v>
      </c>
      <c r="B214" s="1">
        <v>0</v>
      </c>
      <c r="C214" s="1">
        <v>11</v>
      </c>
      <c r="D214" s="1">
        <v>2</v>
      </c>
      <c r="E214" s="1">
        <v>1</v>
      </c>
      <c r="F214" s="1">
        <v>4</v>
      </c>
      <c r="G214" s="1">
        <v>5</v>
      </c>
      <c r="H214" s="1">
        <v>1</v>
      </c>
      <c r="I214" s="1">
        <v>2</v>
      </c>
      <c r="J214" s="1">
        <v>1</v>
      </c>
    </row>
    <row r="215" spans="1:10" x14ac:dyDescent="0.2">
      <c r="A215" s="1">
        <v>2145</v>
      </c>
      <c r="B215" s="1">
        <v>0</v>
      </c>
      <c r="C215" s="1">
        <v>16</v>
      </c>
      <c r="D215" s="1">
        <v>4</v>
      </c>
      <c r="E215" s="1">
        <v>2</v>
      </c>
      <c r="F215" s="1">
        <v>4</v>
      </c>
      <c r="G215" s="1">
        <v>5</v>
      </c>
      <c r="H215" s="1">
        <v>1</v>
      </c>
      <c r="I215" s="1">
        <v>2</v>
      </c>
      <c r="J215" s="1">
        <v>1</v>
      </c>
    </row>
    <row r="216" spans="1:10" x14ac:dyDescent="0.2">
      <c r="A216" s="1">
        <v>1392</v>
      </c>
      <c r="B216" s="1">
        <v>0</v>
      </c>
      <c r="C216" s="1">
        <v>8</v>
      </c>
      <c r="D216" s="1">
        <v>5</v>
      </c>
      <c r="E216" s="1">
        <v>3</v>
      </c>
      <c r="F216" s="1">
        <v>4</v>
      </c>
      <c r="G216" s="1">
        <v>5</v>
      </c>
      <c r="H216" s="1">
        <v>1</v>
      </c>
      <c r="I216" s="1">
        <v>1</v>
      </c>
      <c r="J216" s="1">
        <v>1</v>
      </c>
    </row>
    <row r="217" spans="1:10" x14ac:dyDescent="0.2">
      <c r="A217" s="1">
        <v>1373</v>
      </c>
      <c r="B217" s="1">
        <v>0</v>
      </c>
      <c r="C217" s="1">
        <v>15</v>
      </c>
      <c r="D217" s="1">
        <v>5</v>
      </c>
      <c r="E217" s="1">
        <v>3</v>
      </c>
      <c r="F217" s="1">
        <v>4</v>
      </c>
      <c r="G217" s="1">
        <v>5</v>
      </c>
      <c r="H217" s="1">
        <v>0</v>
      </c>
      <c r="I217" s="1">
        <v>0</v>
      </c>
      <c r="J217" s="1">
        <v>1</v>
      </c>
    </row>
    <row r="218" spans="1:10" x14ac:dyDescent="0.2">
      <c r="A218" s="1">
        <v>446</v>
      </c>
      <c r="B218" s="1">
        <v>0</v>
      </c>
      <c r="C218" s="1">
        <v>16</v>
      </c>
      <c r="D218" s="1">
        <v>4</v>
      </c>
      <c r="E218" s="1">
        <v>3</v>
      </c>
      <c r="F218" s="1">
        <v>4</v>
      </c>
      <c r="G218" s="1">
        <v>5</v>
      </c>
      <c r="H218" s="1">
        <v>1</v>
      </c>
      <c r="I218" s="1">
        <v>1</v>
      </c>
      <c r="J218" s="1">
        <v>1</v>
      </c>
    </row>
    <row r="219" spans="1:10" x14ac:dyDescent="0.2">
      <c r="A219" s="1">
        <v>168</v>
      </c>
      <c r="B219" s="1">
        <v>0</v>
      </c>
      <c r="C219" s="1">
        <v>19</v>
      </c>
      <c r="D219" s="1">
        <v>1</v>
      </c>
      <c r="E219" s="1">
        <v>3</v>
      </c>
      <c r="F219" s="1">
        <v>4</v>
      </c>
      <c r="G219" s="1">
        <v>5</v>
      </c>
      <c r="H219" s="1">
        <v>1</v>
      </c>
      <c r="I219" s="1">
        <v>3</v>
      </c>
      <c r="J219" s="1">
        <v>1</v>
      </c>
    </row>
    <row r="220" spans="1:10" x14ac:dyDescent="0.2">
      <c r="A220" s="1">
        <v>1999</v>
      </c>
      <c r="B220" s="1">
        <v>0</v>
      </c>
      <c r="C220" s="1">
        <v>12</v>
      </c>
      <c r="D220" s="1">
        <v>3</v>
      </c>
      <c r="E220" s="1">
        <v>1</v>
      </c>
      <c r="F220" s="1">
        <v>5</v>
      </c>
      <c r="G220" s="1">
        <v>5</v>
      </c>
      <c r="H220" s="1">
        <v>0</v>
      </c>
      <c r="I220" s="1">
        <v>1</v>
      </c>
      <c r="J220" s="1">
        <v>1</v>
      </c>
    </row>
    <row r="221" spans="1:10" x14ac:dyDescent="0.2">
      <c r="A221" s="1">
        <v>1376</v>
      </c>
      <c r="B221" s="1">
        <v>0</v>
      </c>
      <c r="C221" s="1">
        <v>18</v>
      </c>
      <c r="D221" s="1">
        <v>4</v>
      </c>
      <c r="E221" s="1">
        <v>1</v>
      </c>
      <c r="F221" s="1">
        <v>5</v>
      </c>
      <c r="G221" s="1">
        <v>5</v>
      </c>
      <c r="H221" s="1">
        <v>0</v>
      </c>
      <c r="I221" s="1">
        <v>3</v>
      </c>
      <c r="J221" s="1">
        <v>1</v>
      </c>
    </row>
    <row r="222" spans="1:10" x14ac:dyDescent="0.2">
      <c r="A222" s="1">
        <v>1922</v>
      </c>
      <c r="B222" s="1">
        <v>0</v>
      </c>
      <c r="C222" s="1">
        <v>11</v>
      </c>
      <c r="D222" s="1">
        <v>1</v>
      </c>
      <c r="E222" s="1">
        <v>2</v>
      </c>
      <c r="F222" s="1">
        <v>5</v>
      </c>
      <c r="G222" s="1">
        <v>5</v>
      </c>
      <c r="H222" s="1">
        <v>0</v>
      </c>
      <c r="I222" s="1">
        <v>2</v>
      </c>
      <c r="J222" s="1">
        <v>1</v>
      </c>
    </row>
    <row r="223" spans="1:10" x14ac:dyDescent="0.2">
      <c r="A223" s="1">
        <v>435</v>
      </c>
      <c r="B223" s="1">
        <v>0</v>
      </c>
      <c r="C223" s="1">
        <v>17</v>
      </c>
      <c r="D223" s="1">
        <v>1</v>
      </c>
      <c r="E223" s="1">
        <v>2</v>
      </c>
      <c r="F223" s="1">
        <v>5</v>
      </c>
      <c r="G223" s="1">
        <v>5</v>
      </c>
      <c r="H223" s="1">
        <v>1</v>
      </c>
      <c r="I223" s="1">
        <v>3</v>
      </c>
      <c r="J223" s="1">
        <v>1</v>
      </c>
    </row>
    <row r="224" spans="1:10" x14ac:dyDescent="0.2">
      <c r="A224" s="1">
        <v>1128</v>
      </c>
      <c r="B224" s="1">
        <v>0</v>
      </c>
      <c r="C224" s="1">
        <v>18</v>
      </c>
      <c r="D224" s="1">
        <v>1</v>
      </c>
      <c r="E224" s="1">
        <v>2</v>
      </c>
      <c r="F224" s="1">
        <v>5</v>
      </c>
      <c r="G224" s="1">
        <v>5</v>
      </c>
      <c r="H224" s="1">
        <v>0</v>
      </c>
      <c r="I224" s="1">
        <v>0</v>
      </c>
      <c r="J224" s="1">
        <v>1</v>
      </c>
    </row>
    <row r="225" spans="1:10" x14ac:dyDescent="0.2">
      <c r="A225" s="1">
        <v>2108</v>
      </c>
      <c r="B225" s="1">
        <v>0</v>
      </c>
      <c r="C225" s="1">
        <v>11</v>
      </c>
      <c r="D225" s="1">
        <v>4</v>
      </c>
      <c r="E225" s="1">
        <v>3</v>
      </c>
      <c r="F225" s="1">
        <v>5</v>
      </c>
      <c r="G225" s="1">
        <v>5</v>
      </c>
      <c r="H225" s="1">
        <v>1</v>
      </c>
      <c r="I225" s="1">
        <v>3</v>
      </c>
      <c r="J225" s="1">
        <v>1</v>
      </c>
    </row>
    <row r="226" spans="1:10" x14ac:dyDescent="0.2">
      <c r="A226" s="1">
        <v>2423</v>
      </c>
      <c r="B226" s="1">
        <v>0</v>
      </c>
      <c r="C226" s="1">
        <v>6</v>
      </c>
      <c r="D226" s="1">
        <v>4</v>
      </c>
      <c r="E226" s="1">
        <v>1</v>
      </c>
      <c r="F226" s="1">
        <v>6</v>
      </c>
      <c r="G226" s="1">
        <v>5</v>
      </c>
      <c r="H226" s="1">
        <v>0</v>
      </c>
      <c r="I226" s="1">
        <v>3</v>
      </c>
      <c r="J226" s="1">
        <v>1</v>
      </c>
    </row>
    <row r="227" spans="1:10" x14ac:dyDescent="0.2">
      <c r="A227" s="1">
        <v>1431</v>
      </c>
      <c r="B227" s="1">
        <v>0</v>
      </c>
      <c r="C227" s="1">
        <v>7</v>
      </c>
      <c r="D227" s="1">
        <v>2</v>
      </c>
      <c r="E227" s="1">
        <v>1</v>
      </c>
      <c r="F227" s="1">
        <v>6</v>
      </c>
      <c r="G227" s="1">
        <v>5</v>
      </c>
      <c r="H227" s="1">
        <v>1</v>
      </c>
      <c r="I227" s="1">
        <v>2</v>
      </c>
      <c r="J227" s="1">
        <v>1</v>
      </c>
    </row>
    <row r="228" spans="1:10" x14ac:dyDescent="0.2">
      <c r="A228" s="1">
        <v>1908</v>
      </c>
      <c r="B228" s="1">
        <v>0</v>
      </c>
      <c r="C228" s="1">
        <v>15</v>
      </c>
      <c r="D228" s="1">
        <v>5</v>
      </c>
      <c r="E228" s="1">
        <v>1</v>
      </c>
      <c r="F228" s="1">
        <v>6</v>
      </c>
      <c r="G228" s="1">
        <v>5</v>
      </c>
      <c r="H228" s="1">
        <v>0</v>
      </c>
      <c r="I228" s="1">
        <v>0</v>
      </c>
      <c r="J228" s="1">
        <v>1</v>
      </c>
    </row>
    <row r="229" spans="1:10" x14ac:dyDescent="0.2">
      <c r="A229" s="1">
        <v>1197</v>
      </c>
      <c r="B229" s="1">
        <v>0</v>
      </c>
      <c r="C229" s="1">
        <v>18</v>
      </c>
      <c r="D229" s="1">
        <v>5</v>
      </c>
      <c r="E229" s="1">
        <v>1</v>
      </c>
      <c r="F229" s="1">
        <v>6</v>
      </c>
      <c r="G229" s="1">
        <v>5</v>
      </c>
      <c r="H229" s="1">
        <v>1</v>
      </c>
      <c r="I229" s="1">
        <v>1</v>
      </c>
      <c r="J229" s="1">
        <v>1</v>
      </c>
    </row>
    <row r="230" spans="1:10" x14ac:dyDescent="0.2">
      <c r="A230" s="1">
        <v>1385</v>
      </c>
      <c r="B230" s="1">
        <v>0</v>
      </c>
      <c r="C230" s="1">
        <v>8</v>
      </c>
      <c r="D230" s="1">
        <v>2</v>
      </c>
      <c r="E230" s="1">
        <v>2</v>
      </c>
      <c r="F230" s="1">
        <v>6</v>
      </c>
      <c r="G230" s="1">
        <v>5</v>
      </c>
      <c r="H230" s="1">
        <v>0</v>
      </c>
      <c r="I230" s="1">
        <v>2</v>
      </c>
      <c r="J230" s="1">
        <v>1</v>
      </c>
    </row>
    <row r="231" spans="1:10" x14ac:dyDescent="0.2">
      <c r="A231" s="1">
        <v>1009</v>
      </c>
      <c r="B231" s="1">
        <v>0</v>
      </c>
      <c r="C231" s="1">
        <v>17</v>
      </c>
      <c r="D231" s="1">
        <v>5</v>
      </c>
      <c r="E231" s="1">
        <v>2</v>
      </c>
      <c r="F231" s="1">
        <v>6</v>
      </c>
      <c r="G231" s="1">
        <v>5</v>
      </c>
      <c r="H231" s="1">
        <v>0</v>
      </c>
      <c r="I231" s="1">
        <v>3</v>
      </c>
      <c r="J231" s="1">
        <v>1</v>
      </c>
    </row>
    <row r="232" spans="1:10" x14ac:dyDescent="0.2">
      <c r="A232" s="1">
        <v>1784</v>
      </c>
      <c r="B232" s="1">
        <v>0</v>
      </c>
      <c r="C232" s="1">
        <v>14</v>
      </c>
      <c r="D232" s="1">
        <v>4</v>
      </c>
      <c r="E232" s="1">
        <v>3</v>
      </c>
      <c r="F232" s="1">
        <v>6</v>
      </c>
      <c r="G232" s="1">
        <v>5</v>
      </c>
      <c r="H232" s="1">
        <v>0</v>
      </c>
      <c r="I232" s="1">
        <v>2</v>
      </c>
      <c r="J232" s="1">
        <v>1</v>
      </c>
    </row>
    <row r="233" spans="1:10" x14ac:dyDescent="0.2">
      <c r="A233" s="1">
        <v>252</v>
      </c>
      <c r="B233" s="1">
        <v>0</v>
      </c>
      <c r="C233" s="1">
        <v>16</v>
      </c>
      <c r="D233" s="1">
        <v>3</v>
      </c>
      <c r="E233" s="1">
        <v>1</v>
      </c>
      <c r="F233" s="1">
        <v>7</v>
      </c>
      <c r="G233" s="1">
        <v>5</v>
      </c>
      <c r="H233" s="1">
        <v>0</v>
      </c>
      <c r="I233" s="1">
        <v>1</v>
      </c>
      <c r="J233" s="1">
        <v>1</v>
      </c>
    </row>
    <row r="234" spans="1:10" x14ac:dyDescent="0.2">
      <c r="A234" s="1">
        <v>1466</v>
      </c>
      <c r="B234" s="1">
        <v>0</v>
      </c>
      <c r="C234" s="1">
        <v>15</v>
      </c>
      <c r="D234" s="1">
        <v>4</v>
      </c>
      <c r="E234" s="1">
        <v>2</v>
      </c>
      <c r="F234" s="1">
        <v>7</v>
      </c>
      <c r="G234" s="1">
        <v>5</v>
      </c>
      <c r="H234" s="1">
        <v>0</v>
      </c>
      <c r="I234" s="1">
        <v>1</v>
      </c>
      <c r="J234" s="1">
        <v>1</v>
      </c>
    </row>
    <row r="235" spans="1:10" x14ac:dyDescent="0.2">
      <c r="A235" s="1">
        <v>16</v>
      </c>
      <c r="B235" s="1">
        <v>0</v>
      </c>
      <c r="C235" s="1">
        <v>17</v>
      </c>
      <c r="D235" s="1">
        <v>3</v>
      </c>
      <c r="E235" s="1">
        <v>2</v>
      </c>
      <c r="F235" s="1">
        <v>7</v>
      </c>
      <c r="G235" s="1">
        <v>5</v>
      </c>
      <c r="H235" s="1">
        <v>1</v>
      </c>
      <c r="I235" s="1">
        <v>3</v>
      </c>
      <c r="J235" s="1">
        <v>1</v>
      </c>
    </row>
    <row r="236" spans="1:10" x14ac:dyDescent="0.2">
      <c r="A236" s="1">
        <v>1172</v>
      </c>
      <c r="B236" s="1">
        <v>0</v>
      </c>
      <c r="C236" s="1">
        <v>15</v>
      </c>
      <c r="D236" s="1">
        <v>4</v>
      </c>
      <c r="E236" s="1">
        <v>1</v>
      </c>
      <c r="F236" s="1">
        <v>8</v>
      </c>
      <c r="G236" s="1">
        <v>5</v>
      </c>
      <c r="H236" s="1">
        <v>1</v>
      </c>
      <c r="I236" s="1">
        <v>3</v>
      </c>
      <c r="J236" s="1">
        <v>1</v>
      </c>
    </row>
    <row r="237" spans="1:10" x14ac:dyDescent="0.2">
      <c r="A237" s="1">
        <v>2114</v>
      </c>
      <c r="B237" s="1">
        <v>0</v>
      </c>
      <c r="C237" s="1">
        <v>16</v>
      </c>
      <c r="D237" s="1">
        <v>2</v>
      </c>
      <c r="E237" s="1">
        <v>1</v>
      </c>
      <c r="F237" s="1">
        <v>8</v>
      </c>
      <c r="G237" s="1">
        <v>5</v>
      </c>
      <c r="H237" s="1">
        <v>0</v>
      </c>
      <c r="I237" s="1">
        <v>0</v>
      </c>
      <c r="J237" s="1">
        <v>1</v>
      </c>
    </row>
    <row r="238" spans="1:10" x14ac:dyDescent="0.2">
      <c r="A238" s="1">
        <v>205</v>
      </c>
      <c r="B238" s="1">
        <v>0</v>
      </c>
      <c r="C238" s="1">
        <v>5</v>
      </c>
      <c r="D238" s="1">
        <v>3</v>
      </c>
      <c r="E238" s="1">
        <v>2</v>
      </c>
      <c r="F238" s="1">
        <v>8</v>
      </c>
      <c r="G238" s="1">
        <v>5</v>
      </c>
      <c r="H238" s="1">
        <v>0</v>
      </c>
      <c r="I238" s="1">
        <v>3</v>
      </c>
      <c r="J238" s="1">
        <v>1</v>
      </c>
    </row>
    <row r="239" spans="1:10" x14ac:dyDescent="0.2">
      <c r="A239" s="1">
        <v>1122</v>
      </c>
      <c r="B239" s="1">
        <v>0</v>
      </c>
      <c r="C239" s="1">
        <v>5</v>
      </c>
      <c r="D239" s="1">
        <v>1</v>
      </c>
      <c r="E239" s="1">
        <v>2</v>
      </c>
      <c r="F239" s="1">
        <v>8</v>
      </c>
      <c r="G239" s="1">
        <v>5</v>
      </c>
      <c r="H239" s="1">
        <v>0</v>
      </c>
      <c r="I239" s="1">
        <v>1</v>
      </c>
      <c r="J239" s="1">
        <v>1</v>
      </c>
    </row>
    <row r="240" spans="1:10" x14ac:dyDescent="0.2">
      <c r="A240" s="1">
        <v>1015</v>
      </c>
      <c r="B240" s="1">
        <v>0</v>
      </c>
      <c r="C240" s="1">
        <v>9</v>
      </c>
      <c r="D240" s="1">
        <v>4</v>
      </c>
      <c r="E240" s="1">
        <v>2</v>
      </c>
      <c r="F240" s="1">
        <v>8</v>
      </c>
      <c r="G240" s="1">
        <v>5</v>
      </c>
      <c r="H240" s="1">
        <v>1</v>
      </c>
      <c r="I240" s="1">
        <v>2</v>
      </c>
      <c r="J240" s="1">
        <v>1</v>
      </c>
    </row>
    <row r="241" spans="1:10" x14ac:dyDescent="0.2">
      <c r="A241" s="1">
        <v>1873</v>
      </c>
      <c r="B241" s="1">
        <v>0</v>
      </c>
      <c r="C241" s="1">
        <v>12</v>
      </c>
      <c r="D241" s="1">
        <v>5</v>
      </c>
      <c r="E241" s="1">
        <v>2</v>
      </c>
      <c r="F241" s="1">
        <v>8</v>
      </c>
      <c r="G241" s="1">
        <v>5</v>
      </c>
      <c r="H241" s="1">
        <v>0</v>
      </c>
      <c r="I241" s="1">
        <v>0</v>
      </c>
      <c r="J241" s="1">
        <v>1</v>
      </c>
    </row>
    <row r="242" spans="1:10" x14ac:dyDescent="0.2">
      <c r="A242" s="1">
        <v>777</v>
      </c>
      <c r="B242" s="1">
        <v>0</v>
      </c>
      <c r="C242" s="1">
        <v>18</v>
      </c>
      <c r="D242" s="1">
        <v>1</v>
      </c>
      <c r="E242" s="1">
        <v>2</v>
      </c>
      <c r="F242" s="1">
        <v>8</v>
      </c>
      <c r="G242" s="1">
        <v>5</v>
      </c>
      <c r="H242" s="1">
        <v>0</v>
      </c>
      <c r="I242" s="1">
        <v>2</v>
      </c>
      <c r="J242" s="1">
        <v>1</v>
      </c>
    </row>
    <row r="243" spans="1:10" x14ac:dyDescent="0.2">
      <c r="A243" s="1">
        <v>2458</v>
      </c>
      <c r="B243" s="1">
        <v>0</v>
      </c>
      <c r="C243" s="1">
        <v>11</v>
      </c>
      <c r="D243" s="1">
        <v>3</v>
      </c>
      <c r="E243" s="1">
        <v>3</v>
      </c>
      <c r="F243" s="1">
        <v>8</v>
      </c>
      <c r="G243" s="1">
        <v>5</v>
      </c>
      <c r="H243" s="1">
        <v>0</v>
      </c>
      <c r="I243" s="1">
        <v>0</v>
      </c>
      <c r="J243" s="1">
        <v>1</v>
      </c>
    </row>
    <row r="244" spans="1:10" x14ac:dyDescent="0.2">
      <c r="A244" s="1">
        <v>453</v>
      </c>
      <c r="B244" s="1">
        <v>0</v>
      </c>
      <c r="C244" s="1">
        <v>13</v>
      </c>
      <c r="D244" s="1">
        <v>2</v>
      </c>
      <c r="E244" s="1">
        <v>3</v>
      </c>
      <c r="F244" s="1">
        <v>8</v>
      </c>
      <c r="G244" s="1">
        <v>5</v>
      </c>
      <c r="H244" s="1">
        <v>0</v>
      </c>
      <c r="I244" s="1">
        <v>0</v>
      </c>
      <c r="J244" s="1">
        <v>1</v>
      </c>
    </row>
    <row r="245" spans="1:10" x14ac:dyDescent="0.2">
      <c r="A245" s="1">
        <v>1498</v>
      </c>
      <c r="B245" s="1">
        <v>0</v>
      </c>
      <c r="C245" s="1">
        <v>18</v>
      </c>
      <c r="D245" s="1">
        <v>3</v>
      </c>
      <c r="E245" s="1">
        <v>3</v>
      </c>
      <c r="F245" s="1">
        <v>8</v>
      </c>
      <c r="G245" s="1">
        <v>5</v>
      </c>
      <c r="H245" s="1">
        <v>0</v>
      </c>
      <c r="I245" s="1">
        <v>1</v>
      </c>
      <c r="J245" s="1">
        <v>1</v>
      </c>
    </row>
    <row r="246" spans="1:10" x14ac:dyDescent="0.2">
      <c r="A246" s="1">
        <v>1997</v>
      </c>
      <c r="B246" s="1">
        <v>0</v>
      </c>
      <c r="C246" s="1">
        <v>5</v>
      </c>
      <c r="D246" s="1">
        <v>3</v>
      </c>
      <c r="E246" s="1">
        <v>2</v>
      </c>
      <c r="F246" s="1">
        <v>9</v>
      </c>
      <c r="G246" s="1">
        <v>5</v>
      </c>
      <c r="H246" s="1">
        <v>0</v>
      </c>
      <c r="I246" s="1">
        <v>3</v>
      </c>
      <c r="J246" s="1">
        <v>1</v>
      </c>
    </row>
    <row r="247" spans="1:10" x14ac:dyDescent="0.2">
      <c r="A247" s="1">
        <v>538</v>
      </c>
      <c r="B247" s="1">
        <v>0</v>
      </c>
      <c r="C247" s="1">
        <v>5</v>
      </c>
      <c r="D247" s="1">
        <v>1</v>
      </c>
      <c r="E247" s="1">
        <v>1</v>
      </c>
      <c r="F247" s="1">
        <v>10</v>
      </c>
      <c r="G247" s="1">
        <v>5</v>
      </c>
      <c r="H247" s="1">
        <v>1</v>
      </c>
      <c r="I247" s="1">
        <v>2</v>
      </c>
      <c r="J247" s="1">
        <v>1</v>
      </c>
    </row>
    <row r="248" spans="1:10" x14ac:dyDescent="0.2">
      <c r="A248" s="1">
        <v>1485</v>
      </c>
      <c r="B248" s="1">
        <v>0</v>
      </c>
      <c r="C248" s="1">
        <v>5</v>
      </c>
      <c r="D248" s="1">
        <v>1</v>
      </c>
      <c r="E248" s="1">
        <v>1</v>
      </c>
      <c r="F248" s="1">
        <v>10</v>
      </c>
      <c r="G248" s="1">
        <v>5</v>
      </c>
      <c r="H248" s="1">
        <v>1</v>
      </c>
      <c r="I248" s="1">
        <v>3</v>
      </c>
      <c r="J248" s="1">
        <v>1</v>
      </c>
    </row>
    <row r="249" spans="1:10" x14ac:dyDescent="0.2">
      <c r="A249" s="1">
        <v>705</v>
      </c>
      <c r="B249" s="1">
        <v>0</v>
      </c>
      <c r="C249" s="1">
        <v>10</v>
      </c>
      <c r="D249" s="1">
        <v>2</v>
      </c>
      <c r="E249" s="1">
        <v>1</v>
      </c>
      <c r="F249" s="1">
        <v>10</v>
      </c>
      <c r="G249" s="1">
        <v>5</v>
      </c>
      <c r="H249" s="1">
        <v>1</v>
      </c>
      <c r="I249" s="1">
        <v>1</v>
      </c>
      <c r="J249" s="1">
        <v>1</v>
      </c>
    </row>
    <row r="250" spans="1:10" x14ac:dyDescent="0.2">
      <c r="A250" s="1">
        <v>793</v>
      </c>
      <c r="B250" s="1">
        <v>0</v>
      </c>
      <c r="C250" s="1">
        <v>19</v>
      </c>
      <c r="D250" s="1">
        <v>5</v>
      </c>
      <c r="E250" s="1">
        <v>1</v>
      </c>
      <c r="F250" s="1">
        <v>10</v>
      </c>
      <c r="G250" s="1">
        <v>5</v>
      </c>
      <c r="H250" s="1">
        <v>0</v>
      </c>
      <c r="I250" s="1">
        <v>1</v>
      </c>
      <c r="J250" s="1">
        <v>1</v>
      </c>
    </row>
    <row r="251" spans="1:10" x14ac:dyDescent="0.2">
      <c r="A251" s="1">
        <v>210</v>
      </c>
      <c r="B251" s="1">
        <v>0</v>
      </c>
      <c r="C251" s="1">
        <v>7</v>
      </c>
      <c r="D251" s="1">
        <v>4</v>
      </c>
      <c r="E251" s="1">
        <v>2</v>
      </c>
      <c r="F251" s="1">
        <v>10</v>
      </c>
      <c r="G251" s="1">
        <v>5</v>
      </c>
      <c r="H251" s="1">
        <v>1</v>
      </c>
      <c r="I251" s="1">
        <v>2</v>
      </c>
      <c r="J251" s="1">
        <v>1</v>
      </c>
    </row>
    <row r="252" spans="1:10" x14ac:dyDescent="0.2">
      <c r="A252" s="1">
        <v>1480</v>
      </c>
      <c r="B252" s="1">
        <v>0</v>
      </c>
      <c r="C252" s="1">
        <v>8</v>
      </c>
      <c r="D252" s="1">
        <v>2</v>
      </c>
      <c r="E252" s="1">
        <v>2</v>
      </c>
      <c r="F252" s="1">
        <v>10</v>
      </c>
      <c r="G252" s="1">
        <v>5</v>
      </c>
      <c r="H252" s="1">
        <v>1</v>
      </c>
      <c r="I252" s="1">
        <v>0</v>
      </c>
      <c r="J252" s="1">
        <v>1</v>
      </c>
    </row>
    <row r="253" spans="1:10" x14ac:dyDescent="0.2">
      <c r="A253" s="1">
        <v>975</v>
      </c>
      <c r="B253" s="1">
        <v>0</v>
      </c>
      <c r="C253" s="1">
        <v>10</v>
      </c>
      <c r="D253" s="1">
        <v>2</v>
      </c>
      <c r="E253" s="1">
        <v>2</v>
      </c>
      <c r="F253" s="1">
        <v>10</v>
      </c>
      <c r="G253" s="1">
        <v>5</v>
      </c>
      <c r="H253" s="1">
        <v>0</v>
      </c>
      <c r="I253" s="1">
        <v>1</v>
      </c>
      <c r="J253" s="1">
        <v>1</v>
      </c>
    </row>
    <row r="254" spans="1:10" x14ac:dyDescent="0.2">
      <c r="A254" s="1">
        <v>280</v>
      </c>
      <c r="B254" s="1">
        <v>0</v>
      </c>
      <c r="C254" s="1">
        <v>8</v>
      </c>
      <c r="D254" s="1">
        <v>1</v>
      </c>
      <c r="E254" s="1">
        <v>3</v>
      </c>
      <c r="F254" s="1">
        <v>10</v>
      </c>
      <c r="G254" s="1">
        <v>5</v>
      </c>
      <c r="H254" s="1">
        <v>0</v>
      </c>
      <c r="I254" s="1">
        <v>3</v>
      </c>
      <c r="J254" s="1">
        <v>1</v>
      </c>
    </row>
    <row r="255" spans="1:10" x14ac:dyDescent="0.2">
      <c r="A255" s="1">
        <v>503</v>
      </c>
      <c r="B255" s="1">
        <v>0</v>
      </c>
      <c r="C255" s="1">
        <v>10</v>
      </c>
      <c r="D255" s="1">
        <v>3</v>
      </c>
      <c r="E255" s="1">
        <v>1</v>
      </c>
      <c r="F255" s="1">
        <v>1</v>
      </c>
      <c r="G255" s="1">
        <v>6</v>
      </c>
      <c r="H255" s="1">
        <v>0</v>
      </c>
      <c r="I255" s="1">
        <v>1</v>
      </c>
      <c r="J255" s="1">
        <v>1</v>
      </c>
    </row>
    <row r="256" spans="1:10" x14ac:dyDescent="0.2">
      <c r="A256" s="1">
        <v>885</v>
      </c>
      <c r="B256" s="1">
        <v>0</v>
      </c>
      <c r="C256" s="1">
        <v>6</v>
      </c>
      <c r="D256" s="1">
        <v>1</v>
      </c>
      <c r="E256" s="1">
        <v>2</v>
      </c>
      <c r="F256" s="1">
        <v>1</v>
      </c>
      <c r="G256" s="1">
        <v>6</v>
      </c>
      <c r="H256" s="1">
        <v>1</v>
      </c>
      <c r="I256" s="1">
        <v>3</v>
      </c>
      <c r="J256" s="1">
        <v>1</v>
      </c>
    </row>
    <row r="257" spans="1:10" x14ac:dyDescent="0.2">
      <c r="A257" s="1">
        <v>1058</v>
      </c>
      <c r="B257" s="1">
        <v>0</v>
      </c>
      <c r="C257" s="1">
        <v>9</v>
      </c>
      <c r="D257" s="1">
        <v>1</v>
      </c>
      <c r="E257" s="1">
        <v>2</v>
      </c>
      <c r="F257" s="1">
        <v>1</v>
      </c>
      <c r="G257" s="1">
        <v>6</v>
      </c>
      <c r="H257" s="1">
        <v>0</v>
      </c>
      <c r="I257" s="1">
        <v>2</v>
      </c>
      <c r="J257" s="1">
        <v>1</v>
      </c>
    </row>
    <row r="258" spans="1:10" x14ac:dyDescent="0.2">
      <c r="A258" s="1">
        <v>1399</v>
      </c>
      <c r="B258" s="1">
        <v>0</v>
      </c>
      <c r="C258" s="1">
        <v>6</v>
      </c>
      <c r="D258" s="1">
        <v>5</v>
      </c>
      <c r="E258" s="1">
        <v>3</v>
      </c>
      <c r="F258" s="1">
        <v>1</v>
      </c>
      <c r="G258" s="1">
        <v>6</v>
      </c>
      <c r="H258" s="1">
        <v>1</v>
      </c>
      <c r="I258" s="1">
        <v>3</v>
      </c>
      <c r="J258" s="1">
        <v>1</v>
      </c>
    </row>
    <row r="259" spans="1:10" x14ac:dyDescent="0.2">
      <c r="A259" s="1">
        <v>1454</v>
      </c>
      <c r="B259" s="1">
        <v>0</v>
      </c>
      <c r="C259" s="1">
        <v>6</v>
      </c>
      <c r="D259" s="1">
        <v>5</v>
      </c>
      <c r="E259" s="1">
        <v>3</v>
      </c>
      <c r="F259" s="1">
        <v>1</v>
      </c>
      <c r="G259" s="1">
        <v>6</v>
      </c>
      <c r="H259" s="1">
        <v>1</v>
      </c>
      <c r="I259" s="1">
        <v>2</v>
      </c>
      <c r="J259" s="1">
        <v>1</v>
      </c>
    </row>
    <row r="260" spans="1:10" x14ac:dyDescent="0.2">
      <c r="A260" s="1">
        <v>1982</v>
      </c>
      <c r="B260" s="1">
        <v>0</v>
      </c>
      <c r="C260" s="1">
        <v>14</v>
      </c>
      <c r="D260" s="1">
        <v>1</v>
      </c>
      <c r="E260" s="1">
        <v>1</v>
      </c>
      <c r="F260" s="1">
        <v>2</v>
      </c>
      <c r="G260" s="1">
        <v>6</v>
      </c>
      <c r="H260" s="1">
        <v>1</v>
      </c>
      <c r="I260" s="1">
        <v>3</v>
      </c>
      <c r="J260" s="1">
        <v>1</v>
      </c>
    </row>
    <row r="261" spans="1:10" x14ac:dyDescent="0.2">
      <c r="A261" s="1">
        <v>282</v>
      </c>
      <c r="B261" s="1">
        <v>0</v>
      </c>
      <c r="C261" s="1">
        <v>15</v>
      </c>
      <c r="D261" s="1">
        <v>4</v>
      </c>
      <c r="E261" s="1">
        <v>1</v>
      </c>
      <c r="F261" s="1">
        <v>2</v>
      </c>
      <c r="G261" s="1">
        <v>6</v>
      </c>
      <c r="H261" s="1">
        <v>0</v>
      </c>
      <c r="I261" s="1">
        <v>0</v>
      </c>
      <c r="J261" s="1">
        <v>1</v>
      </c>
    </row>
    <row r="262" spans="1:10" x14ac:dyDescent="0.2">
      <c r="A262" s="1">
        <v>914</v>
      </c>
      <c r="B262" s="1">
        <v>0</v>
      </c>
      <c r="C262" s="1">
        <v>17</v>
      </c>
      <c r="D262" s="1">
        <v>4</v>
      </c>
      <c r="E262" s="1">
        <v>1</v>
      </c>
      <c r="F262" s="1">
        <v>2</v>
      </c>
      <c r="G262" s="1">
        <v>6</v>
      </c>
      <c r="H262" s="1">
        <v>0</v>
      </c>
      <c r="I262" s="1">
        <v>1</v>
      </c>
      <c r="J262" s="1">
        <v>1</v>
      </c>
    </row>
    <row r="263" spans="1:10" x14ac:dyDescent="0.2">
      <c r="A263" s="1">
        <v>515</v>
      </c>
      <c r="B263" s="1">
        <v>0</v>
      </c>
      <c r="C263" s="1">
        <v>19</v>
      </c>
      <c r="D263" s="1">
        <v>1</v>
      </c>
      <c r="E263" s="1">
        <v>1</v>
      </c>
      <c r="F263" s="1">
        <v>2</v>
      </c>
      <c r="G263" s="1">
        <v>6</v>
      </c>
      <c r="H263" s="1">
        <v>1</v>
      </c>
      <c r="I263" s="1">
        <v>3</v>
      </c>
      <c r="J263" s="1">
        <v>1</v>
      </c>
    </row>
    <row r="264" spans="1:10" x14ac:dyDescent="0.2">
      <c r="A264" s="1">
        <v>2034</v>
      </c>
      <c r="B264" s="1">
        <v>0</v>
      </c>
      <c r="C264" s="1">
        <v>9</v>
      </c>
      <c r="D264" s="1">
        <v>4</v>
      </c>
      <c r="E264" s="1">
        <v>2</v>
      </c>
      <c r="F264" s="1">
        <v>2</v>
      </c>
      <c r="G264" s="1">
        <v>6</v>
      </c>
      <c r="H264" s="1">
        <v>0</v>
      </c>
      <c r="I264" s="1">
        <v>0</v>
      </c>
      <c r="J264" s="1">
        <v>1</v>
      </c>
    </row>
    <row r="265" spans="1:10" x14ac:dyDescent="0.2">
      <c r="A265" s="1">
        <v>1331</v>
      </c>
      <c r="B265" s="1">
        <v>0</v>
      </c>
      <c r="C265" s="1">
        <v>10</v>
      </c>
      <c r="D265" s="1">
        <v>5</v>
      </c>
      <c r="E265" s="1">
        <v>2</v>
      </c>
      <c r="F265" s="1">
        <v>2</v>
      </c>
      <c r="G265" s="1">
        <v>6</v>
      </c>
      <c r="H265" s="1">
        <v>0</v>
      </c>
      <c r="I265" s="1">
        <v>2</v>
      </c>
      <c r="J265" s="1">
        <v>1</v>
      </c>
    </row>
    <row r="266" spans="1:10" x14ac:dyDescent="0.2">
      <c r="A266" s="1">
        <v>8</v>
      </c>
      <c r="B266" s="1">
        <v>0</v>
      </c>
      <c r="C266" s="1">
        <v>13</v>
      </c>
      <c r="D266" s="1">
        <v>1</v>
      </c>
      <c r="E266" s="1">
        <v>2</v>
      </c>
      <c r="F266" s="1">
        <v>2</v>
      </c>
      <c r="G266" s="1">
        <v>6</v>
      </c>
      <c r="H266" s="1">
        <v>0</v>
      </c>
      <c r="I266" s="1">
        <v>1</v>
      </c>
      <c r="J266" s="1">
        <v>1</v>
      </c>
    </row>
    <row r="267" spans="1:10" x14ac:dyDescent="0.2">
      <c r="A267" s="1">
        <v>1396</v>
      </c>
      <c r="B267" s="1">
        <v>0</v>
      </c>
      <c r="C267" s="1">
        <v>18</v>
      </c>
      <c r="D267" s="1">
        <v>3</v>
      </c>
      <c r="E267" s="1">
        <v>2</v>
      </c>
      <c r="F267" s="1">
        <v>2</v>
      </c>
      <c r="G267" s="1">
        <v>6</v>
      </c>
      <c r="H267" s="1">
        <v>1</v>
      </c>
      <c r="I267" s="1">
        <v>0</v>
      </c>
      <c r="J267" s="1">
        <v>1</v>
      </c>
    </row>
    <row r="268" spans="1:10" x14ac:dyDescent="0.2">
      <c r="A268" s="1">
        <v>1456</v>
      </c>
      <c r="B268" s="1">
        <v>0</v>
      </c>
      <c r="C268" s="1">
        <v>5</v>
      </c>
      <c r="D268" s="1">
        <v>1</v>
      </c>
      <c r="E268" s="1">
        <v>3</v>
      </c>
      <c r="F268" s="1">
        <v>2</v>
      </c>
      <c r="G268" s="1">
        <v>6</v>
      </c>
      <c r="H268" s="1">
        <v>1</v>
      </c>
      <c r="I268" s="1">
        <v>1</v>
      </c>
      <c r="J268" s="1">
        <v>1</v>
      </c>
    </row>
    <row r="269" spans="1:10" x14ac:dyDescent="0.2">
      <c r="A269" s="1">
        <v>749</v>
      </c>
      <c r="B269" s="1">
        <v>0</v>
      </c>
      <c r="C269" s="1">
        <v>8</v>
      </c>
      <c r="D269" s="1">
        <v>4</v>
      </c>
      <c r="E269" s="1">
        <v>3</v>
      </c>
      <c r="F269" s="1">
        <v>2</v>
      </c>
      <c r="G269" s="1">
        <v>6</v>
      </c>
      <c r="H269" s="1">
        <v>0</v>
      </c>
      <c r="I269" s="1">
        <v>3</v>
      </c>
      <c r="J269" s="1">
        <v>1</v>
      </c>
    </row>
    <row r="270" spans="1:10" x14ac:dyDescent="0.2">
      <c r="A270" s="1">
        <v>2471</v>
      </c>
      <c r="B270" s="1">
        <v>0</v>
      </c>
      <c r="C270" s="1">
        <v>10</v>
      </c>
      <c r="D270" s="1">
        <v>2</v>
      </c>
      <c r="E270" s="1">
        <v>3</v>
      </c>
      <c r="F270" s="1">
        <v>2</v>
      </c>
      <c r="G270" s="1">
        <v>6</v>
      </c>
      <c r="H270" s="1">
        <v>0</v>
      </c>
      <c r="I270" s="1">
        <v>3</v>
      </c>
      <c r="J270" s="1">
        <v>1</v>
      </c>
    </row>
    <row r="271" spans="1:10" x14ac:dyDescent="0.2">
      <c r="A271" s="1">
        <v>304</v>
      </c>
      <c r="B271" s="1">
        <v>0</v>
      </c>
      <c r="C271" s="1">
        <v>18</v>
      </c>
      <c r="D271" s="1">
        <v>3</v>
      </c>
      <c r="E271" s="1">
        <v>3</v>
      </c>
      <c r="F271" s="1">
        <v>2</v>
      </c>
      <c r="G271" s="1">
        <v>6</v>
      </c>
      <c r="H271" s="1">
        <v>0</v>
      </c>
      <c r="I271" s="1">
        <v>1</v>
      </c>
      <c r="J271" s="1">
        <v>1</v>
      </c>
    </row>
    <row r="272" spans="1:10" x14ac:dyDescent="0.2">
      <c r="A272" s="1">
        <v>2181</v>
      </c>
      <c r="B272" s="1">
        <v>0</v>
      </c>
      <c r="C272" s="1">
        <v>20</v>
      </c>
      <c r="D272" s="1">
        <v>2</v>
      </c>
      <c r="E272" s="1">
        <v>3</v>
      </c>
      <c r="F272" s="1">
        <v>2</v>
      </c>
      <c r="G272" s="1">
        <v>6</v>
      </c>
      <c r="H272" s="1">
        <v>1</v>
      </c>
      <c r="I272" s="1">
        <v>1</v>
      </c>
      <c r="J272" s="1">
        <v>1</v>
      </c>
    </row>
    <row r="273" spans="1:10" x14ac:dyDescent="0.2">
      <c r="A273" s="1">
        <v>2048</v>
      </c>
      <c r="B273" s="1">
        <v>0</v>
      </c>
      <c r="C273" s="1">
        <v>8</v>
      </c>
      <c r="D273" s="1">
        <v>4</v>
      </c>
      <c r="E273" s="1">
        <v>1</v>
      </c>
      <c r="F273" s="1">
        <v>3</v>
      </c>
      <c r="G273" s="1">
        <v>6</v>
      </c>
      <c r="H273" s="1">
        <v>1</v>
      </c>
      <c r="I273" s="1">
        <v>0</v>
      </c>
      <c r="J273" s="1">
        <v>1</v>
      </c>
    </row>
    <row r="274" spans="1:10" x14ac:dyDescent="0.2">
      <c r="A274" s="1">
        <v>750</v>
      </c>
      <c r="B274" s="1">
        <v>0</v>
      </c>
      <c r="C274" s="1">
        <v>14</v>
      </c>
      <c r="D274" s="1">
        <v>3</v>
      </c>
      <c r="E274" s="1">
        <v>1</v>
      </c>
      <c r="F274" s="1">
        <v>3</v>
      </c>
      <c r="G274" s="1">
        <v>6</v>
      </c>
      <c r="H274" s="1">
        <v>0</v>
      </c>
      <c r="I274" s="1">
        <v>1</v>
      </c>
      <c r="J274" s="1">
        <v>1</v>
      </c>
    </row>
    <row r="275" spans="1:10" x14ac:dyDescent="0.2">
      <c r="A275" s="1">
        <v>99</v>
      </c>
      <c r="B275" s="1">
        <v>0</v>
      </c>
      <c r="C275" s="1">
        <v>18</v>
      </c>
      <c r="D275" s="1">
        <v>2</v>
      </c>
      <c r="E275" s="1">
        <v>1</v>
      </c>
      <c r="F275" s="1">
        <v>3</v>
      </c>
      <c r="G275" s="1">
        <v>6</v>
      </c>
      <c r="H275" s="1">
        <v>0</v>
      </c>
      <c r="I275" s="1">
        <v>3</v>
      </c>
      <c r="J275" s="1">
        <v>1</v>
      </c>
    </row>
    <row r="276" spans="1:10" x14ac:dyDescent="0.2">
      <c r="A276" s="1">
        <v>917</v>
      </c>
      <c r="B276" s="1">
        <v>0</v>
      </c>
      <c r="C276" s="1">
        <v>14</v>
      </c>
      <c r="D276" s="1">
        <v>2</v>
      </c>
      <c r="E276" s="1">
        <v>2</v>
      </c>
      <c r="F276" s="1">
        <v>3</v>
      </c>
      <c r="G276" s="1">
        <v>6</v>
      </c>
      <c r="H276" s="1">
        <v>1</v>
      </c>
      <c r="I276" s="1">
        <v>3</v>
      </c>
      <c r="J276" s="1">
        <v>1</v>
      </c>
    </row>
    <row r="277" spans="1:10" x14ac:dyDescent="0.2">
      <c r="A277" s="1">
        <v>1767</v>
      </c>
      <c r="B277" s="1">
        <v>0</v>
      </c>
      <c r="C277" s="1">
        <v>12</v>
      </c>
      <c r="D277" s="1">
        <v>3</v>
      </c>
      <c r="E277" s="1">
        <v>3</v>
      </c>
      <c r="F277" s="1">
        <v>3</v>
      </c>
      <c r="G277" s="1">
        <v>6</v>
      </c>
      <c r="H277" s="1">
        <v>1</v>
      </c>
      <c r="I277" s="1">
        <v>1</v>
      </c>
      <c r="J277" s="1">
        <v>1</v>
      </c>
    </row>
    <row r="278" spans="1:10" x14ac:dyDescent="0.2">
      <c r="A278" s="1">
        <v>324</v>
      </c>
      <c r="B278" s="1">
        <v>0</v>
      </c>
      <c r="C278" s="1">
        <v>14</v>
      </c>
      <c r="D278" s="1">
        <v>2</v>
      </c>
      <c r="E278" s="1">
        <v>1</v>
      </c>
      <c r="F278" s="1">
        <v>4</v>
      </c>
      <c r="G278" s="1">
        <v>6</v>
      </c>
      <c r="H278" s="1">
        <v>0</v>
      </c>
      <c r="I278" s="1">
        <v>1</v>
      </c>
      <c r="J278" s="1">
        <v>1</v>
      </c>
    </row>
    <row r="279" spans="1:10" x14ac:dyDescent="0.2">
      <c r="A279" s="1">
        <v>776</v>
      </c>
      <c r="B279" s="1">
        <v>0</v>
      </c>
      <c r="C279" s="1">
        <v>19</v>
      </c>
      <c r="D279" s="1">
        <v>4</v>
      </c>
      <c r="E279" s="1">
        <v>1</v>
      </c>
      <c r="F279" s="1">
        <v>4</v>
      </c>
      <c r="G279" s="1">
        <v>6</v>
      </c>
      <c r="H279" s="1">
        <v>0</v>
      </c>
      <c r="I279" s="1">
        <v>2</v>
      </c>
      <c r="J279" s="1">
        <v>1</v>
      </c>
    </row>
    <row r="280" spans="1:10" x14ac:dyDescent="0.2">
      <c r="A280" s="1">
        <v>1099</v>
      </c>
      <c r="B280" s="1">
        <v>0</v>
      </c>
      <c r="C280" s="1">
        <v>5</v>
      </c>
      <c r="D280" s="1">
        <v>5</v>
      </c>
      <c r="E280" s="1">
        <v>2</v>
      </c>
      <c r="F280" s="1">
        <v>4</v>
      </c>
      <c r="G280" s="1">
        <v>6</v>
      </c>
      <c r="H280" s="1">
        <v>1</v>
      </c>
      <c r="I280" s="1">
        <v>3</v>
      </c>
      <c r="J280" s="1">
        <v>1</v>
      </c>
    </row>
    <row r="281" spans="1:10" x14ac:dyDescent="0.2">
      <c r="A281" s="1">
        <v>1221</v>
      </c>
      <c r="B281" s="1">
        <v>0</v>
      </c>
      <c r="C281" s="1">
        <v>6</v>
      </c>
      <c r="D281" s="1">
        <v>4</v>
      </c>
      <c r="E281" s="1">
        <v>2</v>
      </c>
      <c r="F281" s="1">
        <v>4</v>
      </c>
      <c r="G281" s="1">
        <v>6</v>
      </c>
      <c r="H281" s="1">
        <v>0</v>
      </c>
      <c r="I281" s="1">
        <v>1</v>
      </c>
      <c r="J281" s="1">
        <v>1</v>
      </c>
    </row>
    <row r="282" spans="1:10" x14ac:dyDescent="0.2">
      <c r="A282" s="1">
        <v>922</v>
      </c>
      <c r="B282" s="1">
        <v>0</v>
      </c>
      <c r="C282" s="1">
        <v>13</v>
      </c>
      <c r="D282" s="1">
        <v>3</v>
      </c>
      <c r="E282" s="1">
        <v>2</v>
      </c>
      <c r="F282" s="1">
        <v>4</v>
      </c>
      <c r="G282" s="1">
        <v>6</v>
      </c>
      <c r="H282" s="1">
        <v>1</v>
      </c>
      <c r="I282" s="1">
        <v>3</v>
      </c>
      <c r="J282" s="1">
        <v>1</v>
      </c>
    </row>
    <row r="283" spans="1:10" x14ac:dyDescent="0.2">
      <c r="A283" s="1">
        <v>196</v>
      </c>
      <c r="B283" s="1">
        <v>0</v>
      </c>
      <c r="C283" s="1">
        <v>6</v>
      </c>
      <c r="D283" s="1">
        <v>5</v>
      </c>
      <c r="E283" s="1">
        <v>3</v>
      </c>
      <c r="F283" s="1">
        <v>4</v>
      </c>
      <c r="G283" s="1">
        <v>6</v>
      </c>
      <c r="H283" s="1">
        <v>0</v>
      </c>
      <c r="I283" s="1">
        <v>3</v>
      </c>
      <c r="J283" s="1">
        <v>1</v>
      </c>
    </row>
    <row r="284" spans="1:10" x14ac:dyDescent="0.2">
      <c r="A284" s="1">
        <v>1953</v>
      </c>
      <c r="B284" s="1">
        <v>0</v>
      </c>
      <c r="C284" s="1">
        <v>9</v>
      </c>
      <c r="D284" s="1">
        <v>5</v>
      </c>
      <c r="E284" s="1">
        <v>3</v>
      </c>
      <c r="F284" s="1">
        <v>4</v>
      </c>
      <c r="G284" s="1">
        <v>6</v>
      </c>
      <c r="H284" s="1">
        <v>0</v>
      </c>
      <c r="I284" s="1">
        <v>2</v>
      </c>
      <c r="J284" s="1">
        <v>1</v>
      </c>
    </row>
    <row r="285" spans="1:10" x14ac:dyDescent="0.2">
      <c r="A285" s="1">
        <v>340</v>
      </c>
      <c r="B285" s="1">
        <v>0</v>
      </c>
      <c r="C285" s="1">
        <v>13</v>
      </c>
      <c r="D285" s="1">
        <v>4</v>
      </c>
      <c r="E285" s="1">
        <v>3</v>
      </c>
      <c r="F285" s="1">
        <v>4</v>
      </c>
      <c r="G285" s="1">
        <v>6</v>
      </c>
      <c r="H285" s="1">
        <v>1</v>
      </c>
      <c r="I285" s="1">
        <v>3</v>
      </c>
      <c r="J285" s="1">
        <v>1</v>
      </c>
    </row>
    <row r="286" spans="1:10" x14ac:dyDescent="0.2">
      <c r="A286" s="1">
        <v>1766</v>
      </c>
      <c r="B286" s="1">
        <v>0</v>
      </c>
      <c r="C286" s="1">
        <v>18</v>
      </c>
      <c r="D286" s="1">
        <v>1</v>
      </c>
      <c r="E286" s="1">
        <v>1</v>
      </c>
      <c r="F286" s="1">
        <v>5</v>
      </c>
      <c r="G286" s="1">
        <v>6</v>
      </c>
      <c r="H286" s="1">
        <v>1</v>
      </c>
      <c r="I286" s="1">
        <v>3</v>
      </c>
      <c r="J286" s="1">
        <v>1</v>
      </c>
    </row>
    <row r="287" spans="1:10" x14ac:dyDescent="0.2">
      <c r="A287" s="1">
        <v>2235</v>
      </c>
      <c r="B287" s="1">
        <v>0</v>
      </c>
      <c r="C287" s="1">
        <v>10</v>
      </c>
      <c r="D287" s="1">
        <v>2</v>
      </c>
      <c r="E287" s="1">
        <v>2</v>
      </c>
      <c r="F287" s="1">
        <v>5</v>
      </c>
      <c r="G287" s="1">
        <v>6</v>
      </c>
      <c r="H287" s="1">
        <v>1</v>
      </c>
      <c r="I287" s="1">
        <v>3</v>
      </c>
      <c r="J287" s="1">
        <v>1</v>
      </c>
    </row>
    <row r="288" spans="1:10" x14ac:dyDescent="0.2">
      <c r="A288" s="1">
        <v>2384</v>
      </c>
      <c r="B288" s="1">
        <v>0</v>
      </c>
      <c r="C288" s="1">
        <v>7</v>
      </c>
      <c r="D288" s="1">
        <v>5</v>
      </c>
      <c r="E288" s="1">
        <v>3</v>
      </c>
      <c r="F288" s="1">
        <v>5</v>
      </c>
      <c r="G288" s="1">
        <v>6</v>
      </c>
      <c r="H288" s="1">
        <v>0</v>
      </c>
      <c r="I288" s="1">
        <v>0</v>
      </c>
      <c r="J288" s="1">
        <v>1</v>
      </c>
    </row>
    <row r="289" spans="1:10" x14ac:dyDescent="0.2">
      <c r="A289" s="1">
        <v>1624</v>
      </c>
      <c r="B289" s="1">
        <v>0</v>
      </c>
      <c r="C289" s="1">
        <v>19</v>
      </c>
      <c r="D289" s="1">
        <v>3</v>
      </c>
      <c r="E289" s="1">
        <v>3</v>
      </c>
      <c r="F289" s="1">
        <v>5</v>
      </c>
      <c r="G289" s="1">
        <v>6</v>
      </c>
      <c r="H289" s="1">
        <v>1</v>
      </c>
      <c r="I289" s="1">
        <v>0</v>
      </c>
      <c r="J289" s="1">
        <v>1</v>
      </c>
    </row>
    <row r="290" spans="1:10" x14ac:dyDescent="0.2">
      <c r="A290" s="1">
        <v>1102</v>
      </c>
      <c r="B290" s="1">
        <v>0</v>
      </c>
      <c r="C290" s="1">
        <v>5</v>
      </c>
      <c r="D290" s="1">
        <v>5</v>
      </c>
      <c r="E290" s="1">
        <v>1</v>
      </c>
      <c r="F290" s="1">
        <v>6</v>
      </c>
      <c r="G290" s="1">
        <v>6</v>
      </c>
      <c r="H290" s="1">
        <v>0</v>
      </c>
      <c r="I290" s="1">
        <v>0</v>
      </c>
      <c r="J290" s="1">
        <v>1</v>
      </c>
    </row>
    <row r="291" spans="1:10" x14ac:dyDescent="0.2">
      <c r="A291" s="1">
        <v>1847</v>
      </c>
      <c r="B291" s="1">
        <v>0</v>
      </c>
      <c r="C291" s="1">
        <v>14</v>
      </c>
      <c r="D291" s="1">
        <v>1</v>
      </c>
      <c r="E291" s="1">
        <v>1</v>
      </c>
      <c r="F291" s="1">
        <v>6</v>
      </c>
      <c r="G291" s="1">
        <v>6</v>
      </c>
      <c r="H291" s="1">
        <v>0</v>
      </c>
      <c r="I291" s="1">
        <v>2</v>
      </c>
      <c r="J291" s="1">
        <v>1</v>
      </c>
    </row>
    <row r="292" spans="1:10" x14ac:dyDescent="0.2">
      <c r="A292" s="1">
        <v>893</v>
      </c>
      <c r="B292" s="1">
        <v>0</v>
      </c>
      <c r="C292" s="1">
        <v>15</v>
      </c>
      <c r="D292" s="1">
        <v>2</v>
      </c>
      <c r="E292" s="1">
        <v>2</v>
      </c>
      <c r="F292" s="1">
        <v>6</v>
      </c>
      <c r="G292" s="1">
        <v>6</v>
      </c>
      <c r="H292" s="1">
        <v>1</v>
      </c>
      <c r="I292" s="1">
        <v>1</v>
      </c>
      <c r="J292" s="1">
        <v>1</v>
      </c>
    </row>
    <row r="293" spans="1:10" x14ac:dyDescent="0.2">
      <c r="A293" s="1">
        <v>2427</v>
      </c>
      <c r="B293" s="1">
        <v>0</v>
      </c>
      <c r="C293" s="1">
        <v>5</v>
      </c>
      <c r="D293" s="1">
        <v>2</v>
      </c>
      <c r="E293" s="1">
        <v>1</v>
      </c>
      <c r="F293" s="1">
        <v>7</v>
      </c>
      <c r="G293" s="1">
        <v>6</v>
      </c>
      <c r="H293" s="1">
        <v>1</v>
      </c>
      <c r="I293" s="1">
        <v>3</v>
      </c>
      <c r="J293" s="1">
        <v>1</v>
      </c>
    </row>
    <row r="294" spans="1:10" x14ac:dyDescent="0.2">
      <c r="A294" s="1">
        <v>2189</v>
      </c>
      <c r="B294" s="1">
        <v>0</v>
      </c>
      <c r="C294" s="1">
        <v>16</v>
      </c>
      <c r="D294" s="1">
        <v>3</v>
      </c>
      <c r="E294" s="1">
        <v>1</v>
      </c>
      <c r="F294" s="1">
        <v>7</v>
      </c>
      <c r="G294" s="1">
        <v>6</v>
      </c>
      <c r="H294" s="1">
        <v>0</v>
      </c>
      <c r="I294" s="1">
        <v>2</v>
      </c>
      <c r="J294" s="1">
        <v>1</v>
      </c>
    </row>
    <row r="295" spans="1:10" x14ac:dyDescent="0.2">
      <c r="A295" s="1">
        <v>1046</v>
      </c>
      <c r="B295" s="1">
        <v>0</v>
      </c>
      <c r="C295" s="1">
        <v>17</v>
      </c>
      <c r="D295" s="1">
        <v>5</v>
      </c>
      <c r="E295" s="1">
        <v>1</v>
      </c>
      <c r="F295" s="1">
        <v>7</v>
      </c>
      <c r="G295" s="1">
        <v>6</v>
      </c>
      <c r="H295" s="1">
        <v>1</v>
      </c>
      <c r="I295" s="1">
        <v>0</v>
      </c>
      <c r="J295" s="1">
        <v>1</v>
      </c>
    </row>
    <row r="296" spans="1:10" x14ac:dyDescent="0.2">
      <c r="A296" s="1">
        <v>655</v>
      </c>
      <c r="B296" s="1">
        <v>0</v>
      </c>
      <c r="C296" s="1">
        <v>12</v>
      </c>
      <c r="D296" s="1">
        <v>1</v>
      </c>
      <c r="E296" s="1">
        <v>2</v>
      </c>
      <c r="F296" s="1">
        <v>7</v>
      </c>
      <c r="G296" s="1">
        <v>6</v>
      </c>
      <c r="H296" s="1">
        <v>1</v>
      </c>
      <c r="I296" s="1">
        <v>2</v>
      </c>
      <c r="J296" s="1">
        <v>1</v>
      </c>
    </row>
    <row r="297" spans="1:10" x14ac:dyDescent="0.2">
      <c r="A297" s="1">
        <v>2271</v>
      </c>
      <c r="B297" s="1">
        <v>0</v>
      </c>
      <c r="C297" s="1">
        <v>5</v>
      </c>
      <c r="D297" s="1">
        <v>1</v>
      </c>
      <c r="E297" s="1">
        <v>1</v>
      </c>
      <c r="F297" s="1">
        <v>8</v>
      </c>
      <c r="G297" s="1">
        <v>6</v>
      </c>
      <c r="H297" s="1">
        <v>1</v>
      </c>
      <c r="I297" s="1">
        <v>1</v>
      </c>
      <c r="J297" s="1">
        <v>1</v>
      </c>
    </row>
    <row r="298" spans="1:10" x14ac:dyDescent="0.2">
      <c r="A298" s="1">
        <v>925</v>
      </c>
      <c r="B298" s="1">
        <v>0</v>
      </c>
      <c r="C298" s="1">
        <v>10</v>
      </c>
      <c r="D298" s="1">
        <v>2</v>
      </c>
      <c r="E298" s="1">
        <v>1</v>
      </c>
      <c r="F298" s="1">
        <v>8</v>
      </c>
      <c r="G298" s="1">
        <v>6</v>
      </c>
      <c r="H298" s="1">
        <v>1</v>
      </c>
      <c r="I298" s="1">
        <v>0</v>
      </c>
      <c r="J298" s="1">
        <v>1</v>
      </c>
    </row>
    <row r="299" spans="1:10" x14ac:dyDescent="0.2">
      <c r="A299" s="1">
        <v>956</v>
      </c>
      <c r="B299" s="1">
        <v>0</v>
      </c>
      <c r="C299" s="1">
        <v>16</v>
      </c>
      <c r="D299" s="1">
        <v>1</v>
      </c>
      <c r="E299" s="1">
        <v>1</v>
      </c>
      <c r="F299" s="1">
        <v>8</v>
      </c>
      <c r="G299" s="1">
        <v>6</v>
      </c>
      <c r="H299" s="1">
        <v>0</v>
      </c>
      <c r="I299" s="1">
        <v>0</v>
      </c>
      <c r="J299" s="1">
        <v>1</v>
      </c>
    </row>
    <row r="300" spans="1:10" x14ac:dyDescent="0.2">
      <c r="A300" s="1">
        <v>1716</v>
      </c>
      <c r="B300" s="1">
        <v>0</v>
      </c>
      <c r="C300" s="1">
        <v>12</v>
      </c>
      <c r="D300" s="1">
        <v>1</v>
      </c>
      <c r="E300" s="1">
        <v>2</v>
      </c>
      <c r="F300" s="1">
        <v>8</v>
      </c>
      <c r="G300" s="1">
        <v>6</v>
      </c>
      <c r="H300" s="1">
        <v>1</v>
      </c>
      <c r="I300" s="1">
        <v>0</v>
      </c>
      <c r="J300" s="1">
        <v>1</v>
      </c>
    </row>
    <row r="301" spans="1:10" x14ac:dyDescent="0.2">
      <c r="A301" s="1">
        <v>2005</v>
      </c>
      <c r="B301" s="1">
        <v>0</v>
      </c>
      <c r="C301" s="1">
        <v>18</v>
      </c>
      <c r="D301" s="1">
        <v>3</v>
      </c>
      <c r="E301" s="1">
        <v>3</v>
      </c>
      <c r="F301" s="1">
        <v>8</v>
      </c>
      <c r="G301" s="1">
        <v>6</v>
      </c>
      <c r="H301" s="1">
        <v>0</v>
      </c>
      <c r="I301" s="1">
        <v>3</v>
      </c>
      <c r="J301" s="1">
        <v>1</v>
      </c>
    </row>
    <row r="302" spans="1:10" x14ac:dyDescent="0.2">
      <c r="A302" s="1">
        <v>286</v>
      </c>
      <c r="B302" s="1">
        <v>0</v>
      </c>
      <c r="C302" s="1">
        <v>9</v>
      </c>
      <c r="D302" s="1">
        <v>4</v>
      </c>
      <c r="E302" s="1">
        <v>1</v>
      </c>
      <c r="F302" s="1">
        <v>9</v>
      </c>
      <c r="G302" s="1">
        <v>6</v>
      </c>
      <c r="H302" s="1">
        <v>1</v>
      </c>
      <c r="I302" s="1">
        <v>3</v>
      </c>
      <c r="J302" s="1">
        <v>1</v>
      </c>
    </row>
    <row r="303" spans="1:10" x14ac:dyDescent="0.2">
      <c r="A303" s="1">
        <v>2190</v>
      </c>
      <c r="B303" s="1">
        <v>0</v>
      </c>
      <c r="C303" s="1">
        <v>16</v>
      </c>
      <c r="D303" s="1">
        <v>1</v>
      </c>
      <c r="E303" s="1">
        <v>1</v>
      </c>
      <c r="F303" s="1">
        <v>9</v>
      </c>
      <c r="G303" s="1">
        <v>6</v>
      </c>
      <c r="H303" s="1">
        <v>0</v>
      </c>
      <c r="I303" s="1">
        <v>1</v>
      </c>
      <c r="J303" s="1">
        <v>1</v>
      </c>
    </row>
    <row r="304" spans="1:10" x14ac:dyDescent="0.2">
      <c r="A304" s="1">
        <v>601</v>
      </c>
      <c r="B304" s="1">
        <v>0</v>
      </c>
      <c r="C304" s="1">
        <v>19</v>
      </c>
      <c r="D304" s="1">
        <v>1</v>
      </c>
      <c r="E304" s="1">
        <v>1</v>
      </c>
      <c r="F304" s="1">
        <v>9</v>
      </c>
      <c r="G304" s="1">
        <v>6</v>
      </c>
      <c r="H304" s="1">
        <v>1</v>
      </c>
      <c r="I304" s="1">
        <v>3</v>
      </c>
      <c r="J304" s="1">
        <v>1</v>
      </c>
    </row>
    <row r="305" spans="1:10" x14ac:dyDescent="0.2">
      <c r="A305" s="1">
        <v>944</v>
      </c>
      <c r="B305" s="1">
        <v>0</v>
      </c>
      <c r="C305" s="1">
        <v>9</v>
      </c>
      <c r="D305" s="1">
        <v>5</v>
      </c>
      <c r="E305" s="1">
        <v>2</v>
      </c>
      <c r="F305" s="1">
        <v>9</v>
      </c>
      <c r="G305" s="1">
        <v>6</v>
      </c>
      <c r="H305" s="1">
        <v>1</v>
      </c>
      <c r="I305" s="1">
        <v>3</v>
      </c>
      <c r="J305" s="1">
        <v>1</v>
      </c>
    </row>
    <row r="306" spans="1:10" x14ac:dyDescent="0.2">
      <c r="A306" s="1">
        <v>428</v>
      </c>
      <c r="B306" s="1">
        <v>0</v>
      </c>
      <c r="C306" s="1">
        <v>5</v>
      </c>
      <c r="D306" s="1">
        <v>2</v>
      </c>
      <c r="E306" s="1">
        <v>1</v>
      </c>
      <c r="F306" s="1">
        <v>10</v>
      </c>
      <c r="G306" s="1">
        <v>6</v>
      </c>
      <c r="H306" s="1">
        <v>1</v>
      </c>
      <c r="I306" s="1">
        <v>1</v>
      </c>
      <c r="J306" s="1">
        <v>1</v>
      </c>
    </row>
    <row r="307" spans="1:10" x14ac:dyDescent="0.2">
      <c r="A307" s="1">
        <v>1652</v>
      </c>
      <c r="B307" s="1">
        <v>0</v>
      </c>
      <c r="C307" s="1">
        <v>9</v>
      </c>
      <c r="D307" s="1">
        <v>4</v>
      </c>
      <c r="E307" s="1">
        <v>2</v>
      </c>
      <c r="F307" s="1">
        <v>1</v>
      </c>
      <c r="G307" s="1">
        <v>7</v>
      </c>
      <c r="H307" s="1">
        <v>1</v>
      </c>
      <c r="I307" s="1">
        <v>1</v>
      </c>
      <c r="J307" s="1">
        <v>1</v>
      </c>
    </row>
    <row r="308" spans="1:10" x14ac:dyDescent="0.2">
      <c r="A308" s="1">
        <v>621</v>
      </c>
      <c r="B308" s="1">
        <v>0</v>
      </c>
      <c r="C308" s="1">
        <v>14</v>
      </c>
      <c r="D308" s="1">
        <v>3</v>
      </c>
      <c r="E308" s="1">
        <v>2</v>
      </c>
      <c r="F308" s="1">
        <v>1</v>
      </c>
      <c r="G308" s="1">
        <v>7</v>
      </c>
      <c r="H308" s="1">
        <v>0</v>
      </c>
      <c r="I308" s="1">
        <v>3</v>
      </c>
      <c r="J308" s="1">
        <v>1</v>
      </c>
    </row>
    <row r="309" spans="1:10" x14ac:dyDescent="0.2">
      <c r="A309" s="1">
        <v>770</v>
      </c>
      <c r="B309" s="1">
        <v>0</v>
      </c>
      <c r="C309" s="1">
        <v>16</v>
      </c>
      <c r="D309" s="1">
        <v>3</v>
      </c>
      <c r="E309" s="1">
        <v>2</v>
      </c>
      <c r="F309" s="1">
        <v>1</v>
      </c>
      <c r="G309" s="1">
        <v>7</v>
      </c>
      <c r="H309" s="1">
        <v>0</v>
      </c>
      <c r="I309" s="1">
        <v>3</v>
      </c>
      <c r="J309" s="1">
        <v>1</v>
      </c>
    </row>
    <row r="310" spans="1:10" x14ac:dyDescent="0.2">
      <c r="A310" s="1">
        <v>380</v>
      </c>
      <c r="B310" s="1">
        <v>0</v>
      </c>
      <c r="C310" s="1">
        <v>12</v>
      </c>
      <c r="D310" s="1">
        <v>2</v>
      </c>
      <c r="E310" s="1">
        <v>3</v>
      </c>
      <c r="F310" s="1">
        <v>1</v>
      </c>
      <c r="G310" s="1">
        <v>7</v>
      </c>
      <c r="H310" s="1">
        <v>0</v>
      </c>
      <c r="I310" s="1">
        <v>2</v>
      </c>
      <c r="J310" s="1">
        <v>1</v>
      </c>
    </row>
    <row r="311" spans="1:10" x14ac:dyDescent="0.2">
      <c r="A311" s="1">
        <v>2104</v>
      </c>
      <c r="B311" s="1">
        <v>0</v>
      </c>
      <c r="C311" s="1">
        <v>19</v>
      </c>
      <c r="D311" s="1">
        <v>4</v>
      </c>
      <c r="E311" s="1">
        <v>3</v>
      </c>
      <c r="F311" s="1">
        <v>1</v>
      </c>
      <c r="G311" s="1">
        <v>7</v>
      </c>
      <c r="H311" s="1">
        <v>0</v>
      </c>
      <c r="I311" s="1">
        <v>3</v>
      </c>
      <c r="J311" s="1">
        <v>1</v>
      </c>
    </row>
    <row r="312" spans="1:10" x14ac:dyDescent="0.2">
      <c r="A312" s="1">
        <v>2494</v>
      </c>
      <c r="B312" s="1">
        <v>0</v>
      </c>
      <c r="C312" s="1">
        <v>20</v>
      </c>
      <c r="D312" s="1">
        <v>4</v>
      </c>
      <c r="E312" s="1">
        <v>3</v>
      </c>
      <c r="F312" s="1">
        <v>1</v>
      </c>
      <c r="G312" s="1">
        <v>7</v>
      </c>
      <c r="H312" s="1">
        <v>1</v>
      </c>
      <c r="I312" s="1">
        <v>2</v>
      </c>
      <c r="J312" s="1">
        <v>1</v>
      </c>
    </row>
    <row r="313" spans="1:10" x14ac:dyDescent="0.2">
      <c r="A313" s="1">
        <v>2281</v>
      </c>
      <c r="B313" s="1">
        <v>0</v>
      </c>
      <c r="C313" s="1">
        <v>7</v>
      </c>
      <c r="D313" s="1">
        <v>4</v>
      </c>
      <c r="E313" s="1">
        <v>1</v>
      </c>
      <c r="F313" s="1">
        <v>2</v>
      </c>
      <c r="G313" s="1">
        <v>7</v>
      </c>
      <c r="H313" s="1">
        <v>1</v>
      </c>
      <c r="I313" s="1">
        <v>0</v>
      </c>
      <c r="J313" s="1">
        <v>1</v>
      </c>
    </row>
    <row r="314" spans="1:10" x14ac:dyDescent="0.2">
      <c r="A314" s="1">
        <v>1194</v>
      </c>
      <c r="B314" s="1">
        <v>0</v>
      </c>
      <c r="C314" s="1">
        <v>7</v>
      </c>
      <c r="D314" s="1">
        <v>1</v>
      </c>
      <c r="E314" s="1">
        <v>2</v>
      </c>
      <c r="F314" s="1">
        <v>2</v>
      </c>
      <c r="G314" s="1">
        <v>7</v>
      </c>
      <c r="H314" s="1">
        <v>1</v>
      </c>
      <c r="I314" s="1">
        <v>1</v>
      </c>
      <c r="J314" s="1">
        <v>1</v>
      </c>
    </row>
    <row r="315" spans="1:10" x14ac:dyDescent="0.2">
      <c r="A315" s="1">
        <v>1887</v>
      </c>
      <c r="B315" s="1">
        <v>0</v>
      </c>
      <c r="C315" s="1">
        <v>10</v>
      </c>
      <c r="D315" s="1">
        <v>3</v>
      </c>
      <c r="E315" s="1">
        <v>2</v>
      </c>
      <c r="F315" s="1">
        <v>2</v>
      </c>
      <c r="G315" s="1">
        <v>7</v>
      </c>
      <c r="H315" s="1">
        <v>1</v>
      </c>
      <c r="I315" s="1">
        <v>3</v>
      </c>
      <c r="J315" s="1">
        <v>1</v>
      </c>
    </row>
    <row r="316" spans="1:10" x14ac:dyDescent="0.2">
      <c r="A316" s="1">
        <v>22</v>
      </c>
      <c r="B316" s="1">
        <v>0</v>
      </c>
      <c r="C316" s="1">
        <v>16</v>
      </c>
      <c r="D316" s="1">
        <v>2</v>
      </c>
      <c r="E316" s="1">
        <v>2</v>
      </c>
      <c r="F316" s="1">
        <v>2</v>
      </c>
      <c r="G316" s="1">
        <v>7</v>
      </c>
      <c r="H316" s="1">
        <v>0</v>
      </c>
      <c r="I316" s="1">
        <v>0</v>
      </c>
      <c r="J316" s="1">
        <v>1</v>
      </c>
    </row>
    <row r="317" spans="1:10" x14ac:dyDescent="0.2">
      <c r="A317" s="1">
        <v>1773</v>
      </c>
      <c r="B317" s="1">
        <v>0</v>
      </c>
      <c r="C317" s="1">
        <v>7</v>
      </c>
      <c r="D317" s="1">
        <v>5</v>
      </c>
      <c r="E317" s="1">
        <v>3</v>
      </c>
      <c r="F317" s="1">
        <v>2</v>
      </c>
      <c r="G317" s="1">
        <v>7</v>
      </c>
      <c r="H317" s="1">
        <v>1</v>
      </c>
      <c r="I317" s="1">
        <v>0</v>
      </c>
      <c r="J317" s="1">
        <v>1</v>
      </c>
    </row>
    <row r="318" spans="1:10" x14ac:dyDescent="0.2">
      <c r="A318" s="1">
        <v>1497</v>
      </c>
      <c r="B318" s="1">
        <v>0</v>
      </c>
      <c r="C318" s="1">
        <v>20</v>
      </c>
      <c r="D318" s="1">
        <v>2</v>
      </c>
      <c r="E318" s="1">
        <v>1</v>
      </c>
      <c r="F318" s="1">
        <v>3</v>
      </c>
      <c r="G318" s="1">
        <v>7</v>
      </c>
      <c r="H318" s="1">
        <v>1</v>
      </c>
      <c r="I318" s="1">
        <v>0</v>
      </c>
      <c r="J318" s="1">
        <v>1</v>
      </c>
    </row>
    <row r="319" spans="1:10" x14ac:dyDescent="0.2">
      <c r="A319" s="1">
        <v>1594</v>
      </c>
      <c r="B319" s="1">
        <v>0</v>
      </c>
      <c r="C319" s="1">
        <v>8</v>
      </c>
      <c r="D319" s="1">
        <v>2</v>
      </c>
      <c r="E319" s="1">
        <v>2</v>
      </c>
      <c r="F319" s="1">
        <v>3</v>
      </c>
      <c r="G319" s="1">
        <v>7</v>
      </c>
      <c r="H319" s="1">
        <v>0</v>
      </c>
      <c r="I319" s="1">
        <v>3</v>
      </c>
      <c r="J319" s="1">
        <v>1</v>
      </c>
    </row>
    <row r="320" spans="1:10" x14ac:dyDescent="0.2">
      <c r="A320" s="1">
        <v>531</v>
      </c>
      <c r="B320" s="1">
        <v>0</v>
      </c>
      <c r="C320" s="1">
        <v>10</v>
      </c>
      <c r="D320" s="1">
        <v>4</v>
      </c>
      <c r="E320" s="1">
        <v>2</v>
      </c>
      <c r="F320" s="1">
        <v>3</v>
      </c>
      <c r="G320" s="1">
        <v>7</v>
      </c>
      <c r="H320" s="1">
        <v>0</v>
      </c>
      <c r="I320" s="1">
        <v>1</v>
      </c>
      <c r="J320" s="1">
        <v>1</v>
      </c>
    </row>
    <row r="321" spans="1:10" x14ac:dyDescent="0.2">
      <c r="A321" s="1">
        <v>906</v>
      </c>
      <c r="B321" s="1">
        <v>0</v>
      </c>
      <c r="C321" s="1">
        <v>13</v>
      </c>
      <c r="D321" s="1">
        <v>5</v>
      </c>
      <c r="E321" s="1">
        <v>2</v>
      </c>
      <c r="F321" s="1">
        <v>3</v>
      </c>
      <c r="G321" s="1">
        <v>7</v>
      </c>
      <c r="H321" s="1">
        <v>0</v>
      </c>
      <c r="I321" s="1">
        <v>2</v>
      </c>
      <c r="J321" s="1">
        <v>1</v>
      </c>
    </row>
    <row r="322" spans="1:10" x14ac:dyDescent="0.2">
      <c r="A322" s="1">
        <v>1362</v>
      </c>
      <c r="B322" s="1">
        <v>0</v>
      </c>
      <c r="C322" s="1">
        <v>18</v>
      </c>
      <c r="D322" s="1">
        <v>5</v>
      </c>
      <c r="E322" s="1">
        <v>2</v>
      </c>
      <c r="F322" s="1">
        <v>3</v>
      </c>
      <c r="G322" s="1">
        <v>7</v>
      </c>
      <c r="H322" s="1">
        <v>0</v>
      </c>
      <c r="I322" s="1">
        <v>0</v>
      </c>
      <c r="J322" s="1">
        <v>1</v>
      </c>
    </row>
    <row r="323" spans="1:10" x14ac:dyDescent="0.2">
      <c r="A323" s="1">
        <v>1925</v>
      </c>
      <c r="B323" s="1">
        <v>0</v>
      </c>
      <c r="C323" s="1">
        <v>13</v>
      </c>
      <c r="D323" s="1">
        <v>3</v>
      </c>
      <c r="E323" s="1">
        <v>3</v>
      </c>
      <c r="F323" s="1">
        <v>3</v>
      </c>
      <c r="G323" s="1">
        <v>7</v>
      </c>
      <c r="H323" s="1">
        <v>1</v>
      </c>
      <c r="I323" s="1">
        <v>1</v>
      </c>
      <c r="J323" s="1">
        <v>1</v>
      </c>
    </row>
    <row r="324" spans="1:10" x14ac:dyDescent="0.2">
      <c r="A324" s="1">
        <v>1206</v>
      </c>
      <c r="B324" s="1">
        <v>0</v>
      </c>
      <c r="C324" s="1">
        <v>15</v>
      </c>
      <c r="D324" s="1">
        <v>3</v>
      </c>
      <c r="E324" s="1">
        <v>3</v>
      </c>
      <c r="F324" s="1">
        <v>3</v>
      </c>
      <c r="G324" s="1">
        <v>7</v>
      </c>
      <c r="H324" s="1">
        <v>1</v>
      </c>
      <c r="I324" s="1">
        <v>2</v>
      </c>
      <c r="J324" s="1">
        <v>1</v>
      </c>
    </row>
    <row r="325" spans="1:10" x14ac:dyDescent="0.2">
      <c r="A325" s="1">
        <v>110</v>
      </c>
      <c r="B325" s="1">
        <v>0</v>
      </c>
      <c r="C325" s="1">
        <v>17</v>
      </c>
      <c r="D325" s="1">
        <v>3</v>
      </c>
      <c r="E325" s="1">
        <v>3</v>
      </c>
      <c r="F325" s="1">
        <v>3</v>
      </c>
      <c r="G325" s="1">
        <v>7</v>
      </c>
      <c r="H325" s="1">
        <v>1</v>
      </c>
      <c r="I325" s="1">
        <v>0</v>
      </c>
      <c r="J325" s="1">
        <v>1</v>
      </c>
    </row>
    <row r="326" spans="1:10" x14ac:dyDescent="0.2">
      <c r="A326" s="1">
        <v>1384</v>
      </c>
      <c r="B326" s="1">
        <v>0</v>
      </c>
      <c r="C326" s="1">
        <v>20</v>
      </c>
      <c r="D326" s="1">
        <v>3</v>
      </c>
      <c r="E326" s="1">
        <v>3</v>
      </c>
      <c r="F326" s="1">
        <v>3</v>
      </c>
      <c r="G326" s="1">
        <v>7</v>
      </c>
      <c r="H326" s="1">
        <v>1</v>
      </c>
      <c r="I326" s="1">
        <v>2</v>
      </c>
      <c r="J326" s="1">
        <v>1</v>
      </c>
    </row>
    <row r="327" spans="1:10" x14ac:dyDescent="0.2">
      <c r="A327" s="1">
        <v>236</v>
      </c>
      <c r="B327" s="1">
        <v>0</v>
      </c>
      <c r="C327" s="1">
        <v>10</v>
      </c>
      <c r="D327" s="1">
        <v>1</v>
      </c>
      <c r="E327" s="1">
        <v>1</v>
      </c>
      <c r="F327" s="1">
        <v>4</v>
      </c>
      <c r="G327" s="1">
        <v>7</v>
      </c>
      <c r="H327" s="1">
        <v>0</v>
      </c>
      <c r="I327" s="1">
        <v>3</v>
      </c>
      <c r="J327" s="1">
        <v>1</v>
      </c>
    </row>
    <row r="328" spans="1:10" x14ac:dyDescent="0.2">
      <c r="A328" s="1">
        <v>2191</v>
      </c>
      <c r="B328" s="1">
        <v>0</v>
      </c>
      <c r="C328" s="1">
        <v>13</v>
      </c>
      <c r="D328" s="1">
        <v>3</v>
      </c>
      <c r="E328" s="1">
        <v>1</v>
      </c>
      <c r="F328" s="1">
        <v>4</v>
      </c>
      <c r="G328" s="1">
        <v>7</v>
      </c>
      <c r="H328" s="1">
        <v>0</v>
      </c>
      <c r="I328" s="1">
        <v>1</v>
      </c>
      <c r="J328" s="1">
        <v>1</v>
      </c>
    </row>
    <row r="329" spans="1:10" x14ac:dyDescent="0.2">
      <c r="A329" s="1">
        <v>2234</v>
      </c>
      <c r="B329" s="1">
        <v>0</v>
      </c>
      <c r="C329" s="1">
        <v>20</v>
      </c>
      <c r="D329" s="1">
        <v>3</v>
      </c>
      <c r="E329" s="1">
        <v>1</v>
      </c>
      <c r="F329" s="1">
        <v>4</v>
      </c>
      <c r="G329" s="1">
        <v>7</v>
      </c>
      <c r="H329" s="1">
        <v>1</v>
      </c>
      <c r="I329" s="1">
        <v>1</v>
      </c>
      <c r="J329" s="1">
        <v>1</v>
      </c>
    </row>
    <row r="330" spans="1:10" x14ac:dyDescent="0.2">
      <c r="A330" s="1">
        <v>1663</v>
      </c>
      <c r="B330" s="1">
        <v>0</v>
      </c>
      <c r="C330" s="1">
        <v>18</v>
      </c>
      <c r="D330" s="1">
        <v>1</v>
      </c>
      <c r="E330" s="1">
        <v>2</v>
      </c>
      <c r="F330" s="1">
        <v>4</v>
      </c>
      <c r="G330" s="1">
        <v>7</v>
      </c>
      <c r="H330" s="1">
        <v>1</v>
      </c>
      <c r="I330" s="1">
        <v>2</v>
      </c>
      <c r="J330" s="1">
        <v>1</v>
      </c>
    </row>
    <row r="331" spans="1:10" x14ac:dyDescent="0.2">
      <c r="A331" s="1">
        <v>1700</v>
      </c>
      <c r="B331" s="1">
        <v>0</v>
      </c>
      <c r="C331" s="1">
        <v>19</v>
      </c>
      <c r="D331" s="1">
        <v>5</v>
      </c>
      <c r="E331" s="1">
        <v>2</v>
      </c>
      <c r="F331" s="1">
        <v>4</v>
      </c>
      <c r="G331" s="1">
        <v>7</v>
      </c>
      <c r="H331" s="1">
        <v>0</v>
      </c>
      <c r="I331" s="1">
        <v>1</v>
      </c>
      <c r="J331" s="1">
        <v>1</v>
      </c>
    </row>
    <row r="332" spans="1:10" x14ac:dyDescent="0.2">
      <c r="A332" s="1">
        <v>2021</v>
      </c>
      <c r="B332" s="1">
        <v>0</v>
      </c>
      <c r="C332" s="1">
        <v>20</v>
      </c>
      <c r="D332" s="1">
        <v>3</v>
      </c>
      <c r="E332" s="1">
        <v>2</v>
      </c>
      <c r="F332" s="1">
        <v>4</v>
      </c>
      <c r="G332" s="1">
        <v>7</v>
      </c>
      <c r="H332" s="1">
        <v>1</v>
      </c>
      <c r="I332" s="1">
        <v>2</v>
      </c>
      <c r="J332" s="1">
        <v>1</v>
      </c>
    </row>
    <row r="333" spans="1:10" x14ac:dyDescent="0.2">
      <c r="A333" s="1">
        <v>1191</v>
      </c>
      <c r="B333" s="1">
        <v>0</v>
      </c>
      <c r="C333" s="1">
        <v>13</v>
      </c>
      <c r="D333" s="1">
        <v>3</v>
      </c>
      <c r="E333" s="1">
        <v>3</v>
      </c>
      <c r="F333" s="1">
        <v>4</v>
      </c>
      <c r="G333" s="1">
        <v>7</v>
      </c>
      <c r="H333" s="1">
        <v>0</v>
      </c>
      <c r="I333" s="1">
        <v>1</v>
      </c>
      <c r="J333" s="1">
        <v>1</v>
      </c>
    </row>
    <row r="334" spans="1:10" x14ac:dyDescent="0.2">
      <c r="A334" s="1">
        <v>1236</v>
      </c>
      <c r="B334" s="1">
        <v>0</v>
      </c>
      <c r="C334" s="1">
        <v>20</v>
      </c>
      <c r="D334" s="1">
        <v>5</v>
      </c>
      <c r="E334" s="1">
        <v>3</v>
      </c>
      <c r="F334" s="1">
        <v>4</v>
      </c>
      <c r="G334" s="1">
        <v>7</v>
      </c>
      <c r="H334" s="1">
        <v>1</v>
      </c>
      <c r="I334" s="1">
        <v>2</v>
      </c>
      <c r="J334" s="1">
        <v>1</v>
      </c>
    </row>
    <row r="335" spans="1:10" x14ac:dyDescent="0.2">
      <c r="A335" s="1">
        <v>237</v>
      </c>
      <c r="B335" s="1">
        <v>0</v>
      </c>
      <c r="C335" s="1">
        <v>10</v>
      </c>
      <c r="D335" s="1">
        <v>3</v>
      </c>
      <c r="E335" s="1">
        <v>1</v>
      </c>
      <c r="F335" s="1">
        <v>5</v>
      </c>
      <c r="G335" s="1">
        <v>7</v>
      </c>
      <c r="H335" s="1">
        <v>0</v>
      </c>
      <c r="I335" s="1">
        <v>0</v>
      </c>
      <c r="J335" s="1">
        <v>1</v>
      </c>
    </row>
    <row r="336" spans="1:10" x14ac:dyDescent="0.2">
      <c r="A336" s="1">
        <v>1597</v>
      </c>
      <c r="B336" s="1">
        <v>0</v>
      </c>
      <c r="C336" s="1">
        <v>9</v>
      </c>
      <c r="D336" s="1">
        <v>2</v>
      </c>
      <c r="E336" s="1">
        <v>2</v>
      </c>
      <c r="F336" s="1">
        <v>5</v>
      </c>
      <c r="G336" s="1">
        <v>7</v>
      </c>
      <c r="H336" s="1">
        <v>1</v>
      </c>
      <c r="I336" s="1">
        <v>2</v>
      </c>
      <c r="J336" s="1">
        <v>1</v>
      </c>
    </row>
    <row r="337" spans="1:10" x14ac:dyDescent="0.2">
      <c r="A337" s="1">
        <v>57</v>
      </c>
      <c r="B337" s="1">
        <v>0</v>
      </c>
      <c r="C337" s="1">
        <v>14</v>
      </c>
      <c r="D337" s="1">
        <v>4</v>
      </c>
      <c r="E337" s="1">
        <v>2</v>
      </c>
      <c r="F337" s="1">
        <v>5</v>
      </c>
      <c r="G337" s="1">
        <v>7</v>
      </c>
      <c r="H337" s="1">
        <v>0</v>
      </c>
      <c r="I337" s="1">
        <v>0</v>
      </c>
      <c r="J337" s="1">
        <v>1</v>
      </c>
    </row>
    <row r="338" spans="1:10" x14ac:dyDescent="0.2">
      <c r="A338" s="1">
        <v>1589</v>
      </c>
      <c r="B338" s="1">
        <v>0</v>
      </c>
      <c r="C338" s="1">
        <v>14</v>
      </c>
      <c r="D338" s="1">
        <v>4</v>
      </c>
      <c r="E338" s="1">
        <v>2</v>
      </c>
      <c r="F338" s="1">
        <v>6</v>
      </c>
      <c r="G338" s="1">
        <v>7</v>
      </c>
      <c r="H338" s="1">
        <v>0</v>
      </c>
      <c r="I338" s="1">
        <v>1</v>
      </c>
      <c r="J338" s="1">
        <v>1</v>
      </c>
    </row>
    <row r="339" spans="1:10" x14ac:dyDescent="0.2">
      <c r="A339" s="1">
        <v>1249</v>
      </c>
      <c r="B339" s="1">
        <v>0</v>
      </c>
      <c r="C339" s="1">
        <v>20</v>
      </c>
      <c r="D339" s="1">
        <v>4</v>
      </c>
      <c r="E339" s="1">
        <v>3</v>
      </c>
      <c r="F339" s="1">
        <v>6</v>
      </c>
      <c r="G339" s="1">
        <v>7</v>
      </c>
      <c r="H339" s="1">
        <v>0</v>
      </c>
      <c r="I339" s="1">
        <v>2</v>
      </c>
      <c r="J339" s="1">
        <v>1</v>
      </c>
    </row>
    <row r="340" spans="1:10" x14ac:dyDescent="0.2">
      <c r="A340" s="1">
        <v>303</v>
      </c>
      <c r="B340" s="1">
        <v>0</v>
      </c>
      <c r="C340" s="1">
        <v>7</v>
      </c>
      <c r="D340" s="1">
        <v>2</v>
      </c>
      <c r="E340" s="1">
        <v>1</v>
      </c>
      <c r="F340" s="1">
        <v>7</v>
      </c>
      <c r="G340" s="1">
        <v>7</v>
      </c>
      <c r="H340" s="1">
        <v>1</v>
      </c>
      <c r="I340" s="1">
        <v>0</v>
      </c>
      <c r="J340" s="1">
        <v>1</v>
      </c>
    </row>
    <row r="341" spans="1:10" x14ac:dyDescent="0.2">
      <c r="A341" s="1">
        <v>97</v>
      </c>
      <c r="B341" s="1">
        <v>0</v>
      </c>
      <c r="C341" s="1">
        <v>5</v>
      </c>
      <c r="D341" s="1">
        <v>2</v>
      </c>
      <c r="E341" s="1">
        <v>2</v>
      </c>
      <c r="F341" s="1">
        <v>7</v>
      </c>
      <c r="G341" s="1">
        <v>7</v>
      </c>
      <c r="H341" s="1">
        <v>0</v>
      </c>
      <c r="I341" s="1">
        <v>2</v>
      </c>
      <c r="J341" s="1">
        <v>1</v>
      </c>
    </row>
    <row r="342" spans="1:10" x14ac:dyDescent="0.2">
      <c r="A342" s="1">
        <v>811</v>
      </c>
      <c r="B342" s="1">
        <v>0</v>
      </c>
      <c r="C342" s="1">
        <v>17</v>
      </c>
      <c r="D342" s="1">
        <v>3</v>
      </c>
      <c r="E342" s="1">
        <v>2</v>
      </c>
      <c r="F342" s="1">
        <v>7</v>
      </c>
      <c r="G342" s="1">
        <v>7</v>
      </c>
      <c r="H342" s="1">
        <v>1</v>
      </c>
      <c r="I342" s="1">
        <v>1</v>
      </c>
      <c r="J342" s="1">
        <v>1</v>
      </c>
    </row>
    <row r="343" spans="1:10" x14ac:dyDescent="0.2">
      <c r="A343" s="1">
        <v>1764</v>
      </c>
      <c r="B343" s="1">
        <v>0</v>
      </c>
      <c r="C343" s="1">
        <v>5</v>
      </c>
      <c r="D343" s="1">
        <v>2</v>
      </c>
      <c r="E343" s="1">
        <v>1</v>
      </c>
      <c r="F343" s="1">
        <v>8</v>
      </c>
      <c r="G343" s="1">
        <v>7</v>
      </c>
      <c r="H343" s="1">
        <v>0</v>
      </c>
      <c r="I343" s="1">
        <v>1</v>
      </c>
      <c r="J343" s="1">
        <v>1</v>
      </c>
    </row>
    <row r="344" spans="1:10" x14ac:dyDescent="0.2">
      <c r="A344" s="1">
        <v>470</v>
      </c>
      <c r="B344" s="1">
        <v>0</v>
      </c>
      <c r="C344" s="1">
        <v>7</v>
      </c>
      <c r="D344" s="1">
        <v>5</v>
      </c>
      <c r="E344" s="1">
        <v>1</v>
      </c>
      <c r="F344" s="1">
        <v>8</v>
      </c>
      <c r="G344" s="1">
        <v>7</v>
      </c>
      <c r="H344" s="1">
        <v>0</v>
      </c>
      <c r="I344" s="1">
        <v>1</v>
      </c>
      <c r="J344" s="1">
        <v>1</v>
      </c>
    </row>
    <row r="345" spans="1:10" x14ac:dyDescent="0.2">
      <c r="A345" s="1">
        <v>564</v>
      </c>
      <c r="B345" s="1">
        <v>0</v>
      </c>
      <c r="C345" s="1">
        <v>8</v>
      </c>
      <c r="D345" s="1">
        <v>5</v>
      </c>
      <c r="E345" s="1">
        <v>1</v>
      </c>
      <c r="F345" s="1">
        <v>8</v>
      </c>
      <c r="G345" s="1">
        <v>7</v>
      </c>
      <c r="H345" s="1">
        <v>0</v>
      </c>
      <c r="I345" s="1">
        <v>3</v>
      </c>
      <c r="J345" s="1">
        <v>1</v>
      </c>
    </row>
    <row r="346" spans="1:10" x14ac:dyDescent="0.2">
      <c r="A346" s="1">
        <v>2447</v>
      </c>
      <c r="B346" s="1">
        <v>0</v>
      </c>
      <c r="C346" s="1">
        <v>17</v>
      </c>
      <c r="D346" s="1">
        <v>4</v>
      </c>
      <c r="E346" s="1">
        <v>2</v>
      </c>
      <c r="F346" s="1">
        <v>8</v>
      </c>
      <c r="G346" s="1">
        <v>7</v>
      </c>
      <c r="H346" s="1">
        <v>1</v>
      </c>
      <c r="I346" s="1">
        <v>3</v>
      </c>
      <c r="J346" s="1">
        <v>1</v>
      </c>
    </row>
    <row r="347" spans="1:10" x14ac:dyDescent="0.2">
      <c r="A347" s="1">
        <v>1965</v>
      </c>
      <c r="B347" s="1">
        <v>0</v>
      </c>
      <c r="C347" s="1">
        <v>6</v>
      </c>
      <c r="D347" s="1">
        <v>5</v>
      </c>
      <c r="E347" s="1">
        <v>3</v>
      </c>
      <c r="F347" s="1">
        <v>8</v>
      </c>
      <c r="G347" s="1">
        <v>7</v>
      </c>
      <c r="H347" s="1">
        <v>0</v>
      </c>
      <c r="I347" s="1">
        <v>3</v>
      </c>
      <c r="J347" s="1">
        <v>1</v>
      </c>
    </row>
    <row r="348" spans="1:10" x14ac:dyDescent="0.2">
      <c r="A348" s="1">
        <v>2153</v>
      </c>
      <c r="B348" s="1">
        <v>0</v>
      </c>
      <c r="C348" s="1">
        <v>16</v>
      </c>
      <c r="D348" s="1">
        <v>4</v>
      </c>
      <c r="E348" s="1">
        <v>3</v>
      </c>
      <c r="F348" s="1">
        <v>8</v>
      </c>
      <c r="G348" s="1">
        <v>7</v>
      </c>
      <c r="H348" s="1">
        <v>0</v>
      </c>
      <c r="I348" s="1">
        <v>2</v>
      </c>
      <c r="J348" s="1">
        <v>1</v>
      </c>
    </row>
    <row r="349" spans="1:10" x14ac:dyDescent="0.2">
      <c r="A349" s="1">
        <v>639</v>
      </c>
      <c r="B349" s="1">
        <v>0</v>
      </c>
      <c r="C349" s="1">
        <v>5</v>
      </c>
      <c r="D349" s="1">
        <v>1</v>
      </c>
      <c r="E349" s="1">
        <v>1</v>
      </c>
      <c r="F349" s="1">
        <v>9</v>
      </c>
      <c r="G349" s="1">
        <v>7</v>
      </c>
      <c r="H349" s="1">
        <v>0</v>
      </c>
      <c r="I349" s="1">
        <v>2</v>
      </c>
      <c r="J349" s="1">
        <v>1</v>
      </c>
    </row>
    <row r="350" spans="1:10" x14ac:dyDescent="0.2">
      <c r="A350" s="1">
        <v>506</v>
      </c>
      <c r="B350" s="1">
        <v>0</v>
      </c>
      <c r="C350" s="1">
        <v>8</v>
      </c>
      <c r="D350" s="1">
        <v>5</v>
      </c>
      <c r="E350" s="1">
        <v>1</v>
      </c>
      <c r="F350" s="1">
        <v>9</v>
      </c>
      <c r="G350" s="1">
        <v>7</v>
      </c>
      <c r="H350" s="1">
        <v>0</v>
      </c>
      <c r="I350" s="1">
        <v>2</v>
      </c>
      <c r="J350" s="1">
        <v>1</v>
      </c>
    </row>
    <row r="351" spans="1:10" x14ac:dyDescent="0.2">
      <c r="A351" s="1">
        <v>1810</v>
      </c>
      <c r="B351" s="1">
        <v>0</v>
      </c>
      <c r="C351" s="1">
        <v>12</v>
      </c>
      <c r="D351" s="1">
        <v>4</v>
      </c>
      <c r="E351" s="1">
        <v>1</v>
      </c>
      <c r="F351" s="1">
        <v>9</v>
      </c>
      <c r="G351" s="1">
        <v>7</v>
      </c>
      <c r="H351" s="1">
        <v>0</v>
      </c>
      <c r="I351" s="1">
        <v>1</v>
      </c>
      <c r="J351" s="1">
        <v>1</v>
      </c>
    </row>
    <row r="352" spans="1:10" x14ac:dyDescent="0.2">
      <c r="A352" s="1">
        <v>1570</v>
      </c>
      <c r="B352" s="1">
        <v>0</v>
      </c>
      <c r="C352" s="1">
        <v>13</v>
      </c>
      <c r="D352" s="1">
        <v>2</v>
      </c>
      <c r="E352" s="1">
        <v>2</v>
      </c>
      <c r="F352" s="1">
        <v>9</v>
      </c>
      <c r="G352" s="1">
        <v>7</v>
      </c>
      <c r="H352" s="1">
        <v>1</v>
      </c>
      <c r="I352" s="1">
        <v>1</v>
      </c>
      <c r="J352" s="1">
        <v>1</v>
      </c>
    </row>
    <row r="353" spans="1:10" x14ac:dyDescent="0.2">
      <c r="A353" s="1">
        <v>2068</v>
      </c>
      <c r="B353" s="1">
        <v>0</v>
      </c>
      <c r="C353" s="1">
        <v>6</v>
      </c>
      <c r="D353" s="1">
        <v>5</v>
      </c>
      <c r="E353" s="1">
        <v>3</v>
      </c>
      <c r="F353" s="1">
        <v>9</v>
      </c>
      <c r="G353" s="1">
        <v>7</v>
      </c>
      <c r="H353" s="1">
        <v>1</v>
      </c>
      <c r="I353" s="1">
        <v>0</v>
      </c>
      <c r="J353" s="1">
        <v>1</v>
      </c>
    </row>
    <row r="354" spans="1:10" x14ac:dyDescent="0.2">
      <c r="A354" s="1">
        <v>1156</v>
      </c>
      <c r="B354" s="1">
        <v>0</v>
      </c>
      <c r="C354" s="1">
        <v>16</v>
      </c>
      <c r="D354" s="1">
        <v>5</v>
      </c>
      <c r="E354" s="1">
        <v>2</v>
      </c>
      <c r="F354" s="1">
        <v>10</v>
      </c>
      <c r="G354" s="1">
        <v>7</v>
      </c>
      <c r="H354" s="1">
        <v>0</v>
      </c>
      <c r="I354" s="1">
        <v>3</v>
      </c>
      <c r="J354" s="1">
        <v>1</v>
      </c>
    </row>
    <row r="355" spans="1:10" x14ac:dyDescent="0.2">
      <c r="A355" s="1">
        <v>1564</v>
      </c>
      <c r="B355" s="1">
        <v>0</v>
      </c>
      <c r="C355" s="1">
        <v>13</v>
      </c>
      <c r="D355" s="1">
        <v>1</v>
      </c>
      <c r="E355" s="1">
        <v>3</v>
      </c>
      <c r="F355" s="1">
        <v>10</v>
      </c>
      <c r="G355" s="1">
        <v>7</v>
      </c>
      <c r="H355" s="1">
        <v>1</v>
      </c>
      <c r="I355" s="1">
        <v>3</v>
      </c>
      <c r="J355" s="1">
        <v>1</v>
      </c>
    </row>
    <row r="356" spans="1:10" x14ac:dyDescent="0.2">
      <c r="A356" s="1">
        <v>824</v>
      </c>
      <c r="B356" s="1">
        <v>0</v>
      </c>
      <c r="C356" s="1">
        <v>20</v>
      </c>
      <c r="D356" s="1">
        <v>1</v>
      </c>
      <c r="E356" s="1">
        <v>3</v>
      </c>
      <c r="F356" s="1">
        <v>10</v>
      </c>
      <c r="G356" s="1">
        <v>7</v>
      </c>
      <c r="H356" s="1">
        <v>0</v>
      </c>
      <c r="I356" s="1">
        <v>0</v>
      </c>
      <c r="J356" s="1">
        <v>1</v>
      </c>
    </row>
    <row r="357" spans="1:10" x14ac:dyDescent="0.2">
      <c r="A357" s="1">
        <v>1835</v>
      </c>
      <c r="B357" s="1">
        <v>0</v>
      </c>
      <c r="C357" s="1">
        <v>20</v>
      </c>
      <c r="D357" s="1">
        <v>1</v>
      </c>
      <c r="E357" s="1">
        <v>1</v>
      </c>
      <c r="F357" s="1">
        <v>1</v>
      </c>
      <c r="G357" s="1">
        <v>8</v>
      </c>
      <c r="H357" s="1">
        <v>0</v>
      </c>
      <c r="I357" s="1">
        <v>2</v>
      </c>
      <c r="J357" s="1">
        <v>1</v>
      </c>
    </row>
    <row r="358" spans="1:10" x14ac:dyDescent="0.2">
      <c r="A358" s="1">
        <v>2335</v>
      </c>
      <c r="B358" s="1">
        <v>0</v>
      </c>
      <c r="C358" s="1">
        <v>16</v>
      </c>
      <c r="D358" s="1">
        <v>5</v>
      </c>
      <c r="E358" s="1">
        <v>2</v>
      </c>
      <c r="F358" s="1">
        <v>1</v>
      </c>
      <c r="G358" s="1">
        <v>8</v>
      </c>
      <c r="H358" s="1">
        <v>0</v>
      </c>
      <c r="I358" s="1">
        <v>2</v>
      </c>
      <c r="J358" s="1">
        <v>1</v>
      </c>
    </row>
    <row r="359" spans="1:10" x14ac:dyDescent="0.2">
      <c r="A359" s="1">
        <v>273</v>
      </c>
      <c r="B359" s="1">
        <v>0</v>
      </c>
      <c r="C359" s="1">
        <v>7</v>
      </c>
      <c r="D359" s="1">
        <v>1</v>
      </c>
      <c r="E359" s="1">
        <v>3</v>
      </c>
      <c r="F359" s="1">
        <v>1</v>
      </c>
      <c r="G359" s="1">
        <v>8</v>
      </c>
      <c r="H359" s="1">
        <v>1</v>
      </c>
      <c r="I359" s="1">
        <v>1</v>
      </c>
      <c r="J359" s="1">
        <v>1</v>
      </c>
    </row>
    <row r="360" spans="1:10" x14ac:dyDescent="0.2">
      <c r="A360" s="1">
        <v>1878</v>
      </c>
      <c r="B360" s="1">
        <v>0</v>
      </c>
      <c r="C360" s="1">
        <v>13</v>
      </c>
      <c r="D360" s="1">
        <v>1</v>
      </c>
      <c r="E360" s="1">
        <v>3</v>
      </c>
      <c r="F360" s="1">
        <v>1</v>
      </c>
      <c r="G360" s="1">
        <v>8</v>
      </c>
      <c r="H360" s="1">
        <v>0</v>
      </c>
      <c r="I360" s="1">
        <v>3</v>
      </c>
      <c r="J360" s="1">
        <v>1</v>
      </c>
    </row>
    <row r="361" spans="1:10" x14ac:dyDescent="0.2">
      <c r="A361" s="1">
        <v>756</v>
      </c>
      <c r="B361" s="1">
        <v>0</v>
      </c>
      <c r="C361" s="1">
        <v>15</v>
      </c>
      <c r="D361" s="1">
        <v>3</v>
      </c>
      <c r="E361" s="1">
        <v>3</v>
      </c>
      <c r="F361" s="1">
        <v>1</v>
      </c>
      <c r="G361" s="1">
        <v>8</v>
      </c>
      <c r="H361" s="1">
        <v>0</v>
      </c>
      <c r="I361" s="1">
        <v>3</v>
      </c>
      <c r="J361" s="1">
        <v>1</v>
      </c>
    </row>
    <row r="362" spans="1:10" x14ac:dyDescent="0.2">
      <c r="A362" s="1">
        <v>2187</v>
      </c>
      <c r="B362" s="1">
        <v>0</v>
      </c>
      <c r="C362" s="1">
        <v>13</v>
      </c>
      <c r="D362" s="1">
        <v>4</v>
      </c>
      <c r="E362" s="1">
        <v>1</v>
      </c>
      <c r="F362" s="1">
        <v>2</v>
      </c>
      <c r="G362" s="1">
        <v>8</v>
      </c>
      <c r="H362" s="1">
        <v>0</v>
      </c>
      <c r="I362" s="1">
        <v>3</v>
      </c>
      <c r="J362" s="1">
        <v>1</v>
      </c>
    </row>
    <row r="363" spans="1:10" x14ac:dyDescent="0.2">
      <c r="A363" s="1">
        <v>559</v>
      </c>
      <c r="B363" s="1">
        <v>0</v>
      </c>
      <c r="C363" s="1">
        <v>11</v>
      </c>
      <c r="D363" s="1">
        <v>5</v>
      </c>
      <c r="E363" s="1">
        <v>2</v>
      </c>
      <c r="F363" s="1">
        <v>2</v>
      </c>
      <c r="G363" s="1">
        <v>8</v>
      </c>
      <c r="H363" s="1">
        <v>0</v>
      </c>
      <c r="I363" s="1">
        <v>2</v>
      </c>
      <c r="J363" s="1">
        <v>1</v>
      </c>
    </row>
    <row r="364" spans="1:10" x14ac:dyDescent="0.2">
      <c r="A364" s="1">
        <v>1538</v>
      </c>
      <c r="B364" s="1">
        <v>0</v>
      </c>
      <c r="C364" s="1">
        <v>13</v>
      </c>
      <c r="D364" s="1">
        <v>5</v>
      </c>
      <c r="E364" s="1">
        <v>2</v>
      </c>
      <c r="F364" s="1">
        <v>2</v>
      </c>
      <c r="G364" s="1">
        <v>8</v>
      </c>
      <c r="H364" s="1">
        <v>0</v>
      </c>
      <c r="I364" s="1">
        <v>3</v>
      </c>
      <c r="J364" s="1">
        <v>1</v>
      </c>
    </row>
    <row r="365" spans="1:10" x14ac:dyDescent="0.2">
      <c r="A365" s="1">
        <v>890</v>
      </c>
      <c r="B365" s="1">
        <v>0</v>
      </c>
      <c r="C365" s="1">
        <v>19</v>
      </c>
      <c r="D365" s="1">
        <v>4</v>
      </c>
      <c r="E365" s="1">
        <v>2</v>
      </c>
      <c r="F365" s="1">
        <v>2</v>
      </c>
      <c r="G365" s="1">
        <v>8</v>
      </c>
      <c r="H365" s="1">
        <v>1</v>
      </c>
      <c r="I365" s="1">
        <v>1</v>
      </c>
      <c r="J365" s="1">
        <v>1</v>
      </c>
    </row>
    <row r="366" spans="1:10" x14ac:dyDescent="0.2">
      <c r="A366" s="1">
        <v>1580</v>
      </c>
      <c r="B366" s="1">
        <v>0</v>
      </c>
      <c r="C366" s="1">
        <v>8</v>
      </c>
      <c r="D366" s="1">
        <v>2</v>
      </c>
      <c r="E366" s="1">
        <v>3</v>
      </c>
      <c r="F366" s="1">
        <v>2</v>
      </c>
      <c r="G366" s="1">
        <v>8</v>
      </c>
      <c r="H366" s="1">
        <v>1</v>
      </c>
      <c r="I366" s="1">
        <v>1</v>
      </c>
      <c r="J366" s="1">
        <v>1</v>
      </c>
    </row>
    <row r="367" spans="1:10" x14ac:dyDescent="0.2">
      <c r="A367" s="1">
        <v>66</v>
      </c>
      <c r="B367" s="1">
        <v>0</v>
      </c>
      <c r="C367" s="1">
        <v>10</v>
      </c>
      <c r="D367" s="1">
        <v>4</v>
      </c>
      <c r="E367" s="1">
        <v>3</v>
      </c>
      <c r="F367" s="1">
        <v>2</v>
      </c>
      <c r="G367" s="1">
        <v>8</v>
      </c>
      <c r="H367" s="1">
        <v>1</v>
      </c>
      <c r="I367" s="1">
        <v>3</v>
      </c>
      <c r="J367" s="1">
        <v>1</v>
      </c>
    </row>
    <row r="368" spans="1:10" x14ac:dyDescent="0.2">
      <c r="A368" s="1">
        <v>691</v>
      </c>
      <c r="B368" s="1">
        <v>0</v>
      </c>
      <c r="C368" s="1">
        <v>18</v>
      </c>
      <c r="D368" s="1">
        <v>2</v>
      </c>
      <c r="E368" s="1">
        <v>3</v>
      </c>
      <c r="F368" s="1">
        <v>2</v>
      </c>
      <c r="G368" s="1">
        <v>8</v>
      </c>
      <c r="H368" s="1">
        <v>1</v>
      </c>
      <c r="I368" s="1">
        <v>0</v>
      </c>
      <c r="J368" s="1">
        <v>1</v>
      </c>
    </row>
    <row r="369" spans="1:10" x14ac:dyDescent="0.2">
      <c r="A369" s="1">
        <v>1768</v>
      </c>
      <c r="B369" s="1">
        <v>0</v>
      </c>
      <c r="C369" s="1">
        <v>9</v>
      </c>
      <c r="D369" s="1">
        <v>3</v>
      </c>
      <c r="E369" s="1">
        <v>1</v>
      </c>
      <c r="F369" s="1">
        <v>3</v>
      </c>
      <c r="G369" s="1">
        <v>8</v>
      </c>
      <c r="H369" s="1">
        <v>0</v>
      </c>
      <c r="I369" s="1">
        <v>0</v>
      </c>
      <c r="J369" s="1">
        <v>1</v>
      </c>
    </row>
    <row r="370" spans="1:10" x14ac:dyDescent="0.2">
      <c r="A370" s="1">
        <v>1689</v>
      </c>
      <c r="B370" s="1">
        <v>0</v>
      </c>
      <c r="C370" s="1">
        <v>10</v>
      </c>
      <c r="D370" s="1">
        <v>3</v>
      </c>
      <c r="E370" s="1">
        <v>2</v>
      </c>
      <c r="F370" s="1">
        <v>3</v>
      </c>
      <c r="G370" s="1">
        <v>8</v>
      </c>
      <c r="H370" s="1">
        <v>1</v>
      </c>
      <c r="I370" s="1">
        <v>1</v>
      </c>
      <c r="J370" s="1">
        <v>1</v>
      </c>
    </row>
    <row r="371" spans="1:10" x14ac:dyDescent="0.2">
      <c r="A371" s="1">
        <v>220</v>
      </c>
      <c r="B371" s="1">
        <v>0</v>
      </c>
      <c r="C371" s="1">
        <v>15</v>
      </c>
      <c r="D371" s="1">
        <v>2</v>
      </c>
      <c r="E371" s="1">
        <v>2</v>
      </c>
      <c r="F371" s="1">
        <v>3</v>
      </c>
      <c r="G371" s="1">
        <v>8</v>
      </c>
      <c r="H371" s="1">
        <v>1</v>
      </c>
      <c r="I371" s="1">
        <v>0</v>
      </c>
      <c r="J371" s="1">
        <v>1</v>
      </c>
    </row>
    <row r="372" spans="1:10" x14ac:dyDescent="0.2">
      <c r="A372" s="1">
        <v>1585</v>
      </c>
      <c r="B372" s="1">
        <v>0</v>
      </c>
      <c r="C372" s="1">
        <v>15</v>
      </c>
      <c r="D372" s="1">
        <v>1</v>
      </c>
      <c r="E372" s="1">
        <v>2</v>
      </c>
      <c r="F372" s="1">
        <v>3</v>
      </c>
      <c r="G372" s="1">
        <v>8</v>
      </c>
      <c r="H372" s="1">
        <v>1</v>
      </c>
      <c r="I372" s="1">
        <v>0</v>
      </c>
      <c r="J372" s="1">
        <v>1</v>
      </c>
    </row>
    <row r="373" spans="1:10" x14ac:dyDescent="0.2">
      <c r="A373" s="1">
        <v>931</v>
      </c>
      <c r="B373" s="1">
        <v>0</v>
      </c>
      <c r="C373" s="1">
        <v>5</v>
      </c>
      <c r="D373" s="1">
        <v>4</v>
      </c>
      <c r="E373" s="1">
        <v>3</v>
      </c>
      <c r="F373" s="1">
        <v>3</v>
      </c>
      <c r="G373" s="1">
        <v>8</v>
      </c>
      <c r="H373" s="1">
        <v>0</v>
      </c>
      <c r="I373" s="1">
        <v>3</v>
      </c>
      <c r="J373" s="1">
        <v>1</v>
      </c>
    </row>
    <row r="374" spans="1:10" x14ac:dyDescent="0.2">
      <c r="A374" s="1">
        <v>2361</v>
      </c>
      <c r="B374" s="1">
        <v>0</v>
      </c>
      <c r="C374" s="1">
        <v>8</v>
      </c>
      <c r="D374" s="1">
        <v>2</v>
      </c>
      <c r="E374" s="1">
        <v>1</v>
      </c>
      <c r="F374" s="1">
        <v>4</v>
      </c>
      <c r="G374" s="1">
        <v>8</v>
      </c>
      <c r="H374" s="1">
        <v>1</v>
      </c>
      <c r="I374" s="1">
        <v>0</v>
      </c>
      <c r="J374" s="1">
        <v>1</v>
      </c>
    </row>
    <row r="375" spans="1:10" x14ac:dyDescent="0.2">
      <c r="A375" s="1">
        <v>2143</v>
      </c>
      <c r="B375" s="1">
        <v>0</v>
      </c>
      <c r="C375" s="1">
        <v>13</v>
      </c>
      <c r="D375" s="1">
        <v>1</v>
      </c>
      <c r="E375" s="1">
        <v>1</v>
      </c>
      <c r="F375" s="1">
        <v>4</v>
      </c>
      <c r="G375" s="1">
        <v>8</v>
      </c>
      <c r="H375" s="1">
        <v>1</v>
      </c>
      <c r="I375" s="1">
        <v>3</v>
      </c>
      <c r="J375" s="1">
        <v>1</v>
      </c>
    </row>
    <row r="376" spans="1:10" x14ac:dyDescent="0.2">
      <c r="A376" s="1">
        <v>238</v>
      </c>
      <c r="B376" s="1">
        <v>0</v>
      </c>
      <c r="C376" s="1">
        <v>16</v>
      </c>
      <c r="D376" s="1">
        <v>3</v>
      </c>
      <c r="E376" s="1">
        <v>1</v>
      </c>
      <c r="F376" s="1">
        <v>4</v>
      </c>
      <c r="G376" s="1">
        <v>8</v>
      </c>
      <c r="H376" s="1">
        <v>1</v>
      </c>
      <c r="I376" s="1">
        <v>3</v>
      </c>
      <c r="J376" s="1">
        <v>1</v>
      </c>
    </row>
    <row r="377" spans="1:10" x14ac:dyDescent="0.2">
      <c r="A377" s="1">
        <v>1371</v>
      </c>
      <c r="B377" s="1">
        <v>0</v>
      </c>
      <c r="C377" s="1">
        <v>17</v>
      </c>
      <c r="D377" s="1">
        <v>2</v>
      </c>
      <c r="E377" s="1">
        <v>1</v>
      </c>
      <c r="F377" s="1">
        <v>4</v>
      </c>
      <c r="G377" s="1">
        <v>8</v>
      </c>
      <c r="H377" s="1">
        <v>1</v>
      </c>
      <c r="I377" s="1">
        <v>0</v>
      </c>
      <c r="J377" s="1">
        <v>1</v>
      </c>
    </row>
    <row r="378" spans="1:10" x14ac:dyDescent="0.2">
      <c r="A378" s="1">
        <v>1151</v>
      </c>
      <c r="B378" s="1">
        <v>0</v>
      </c>
      <c r="C378" s="1">
        <v>18</v>
      </c>
      <c r="D378" s="1">
        <v>3</v>
      </c>
      <c r="E378" s="1">
        <v>1</v>
      </c>
      <c r="F378" s="1">
        <v>4</v>
      </c>
      <c r="G378" s="1">
        <v>8</v>
      </c>
      <c r="H378" s="1">
        <v>1</v>
      </c>
      <c r="I378" s="1">
        <v>1</v>
      </c>
      <c r="J378" s="1">
        <v>1</v>
      </c>
    </row>
    <row r="379" spans="1:10" x14ac:dyDescent="0.2">
      <c r="A379" s="1">
        <v>1688</v>
      </c>
      <c r="B379" s="1">
        <v>0</v>
      </c>
      <c r="C379" s="1">
        <v>8</v>
      </c>
      <c r="D379" s="1">
        <v>5</v>
      </c>
      <c r="E379" s="1">
        <v>2</v>
      </c>
      <c r="F379" s="1">
        <v>4</v>
      </c>
      <c r="G379" s="1">
        <v>8</v>
      </c>
      <c r="H379" s="1">
        <v>1</v>
      </c>
      <c r="I379" s="1">
        <v>0</v>
      </c>
      <c r="J379" s="1">
        <v>1</v>
      </c>
    </row>
    <row r="380" spans="1:10" x14ac:dyDescent="0.2">
      <c r="A380" s="1">
        <v>1476</v>
      </c>
      <c r="B380" s="1">
        <v>0</v>
      </c>
      <c r="C380" s="1">
        <v>10</v>
      </c>
      <c r="D380" s="1">
        <v>4</v>
      </c>
      <c r="E380" s="1">
        <v>2</v>
      </c>
      <c r="F380" s="1">
        <v>4</v>
      </c>
      <c r="G380" s="1">
        <v>8</v>
      </c>
      <c r="H380" s="1">
        <v>0</v>
      </c>
      <c r="I380" s="1">
        <v>0</v>
      </c>
      <c r="J380" s="1">
        <v>1</v>
      </c>
    </row>
    <row r="381" spans="1:10" x14ac:dyDescent="0.2">
      <c r="A381" s="1">
        <v>1526</v>
      </c>
      <c r="B381" s="1">
        <v>0</v>
      </c>
      <c r="C381" s="1">
        <v>16</v>
      </c>
      <c r="D381" s="1">
        <v>1</v>
      </c>
      <c r="E381" s="1">
        <v>2</v>
      </c>
      <c r="F381" s="1">
        <v>4</v>
      </c>
      <c r="G381" s="1">
        <v>8</v>
      </c>
      <c r="H381" s="1">
        <v>1</v>
      </c>
      <c r="I381" s="1">
        <v>0</v>
      </c>
      <c r="J381" s="1">
        <v>1</v>
      </c>
    </row>
    <row r="382" spans="1:10" x14ac:dyDescent="0.2">
      <c r="A382" s="1">
        <v>1963</v>
      </c>
      <c r="B382" s="1">
        <v>0</v>
      </c>
      <c r="C382" s="1">
        <v>6</v>
      </c>
      <c r="D382" s="1">
        <v>5</v>
      </c>
      <c r="E382" s="1">
        <v>3</v>
      </c>
      <c r="F382" s="1">
        <v>4</v>
      </c>
      <c r="G382" s="1">
        <v>8</v>
      </c>
      <c r="H382" s="1">
        <v>0</v>
      </c>
      <c r="I382" s="1">
        <v>2</v>
      </c>
      <c r="J382" s="1">
        <v>1</v>
      </c>
    </row>
    <row r="383" spans="1:10" x14ac:dyDescent="0.2">
      <c r="A383" s="1">
        <v>351</v>
      </c>
      <c r="B383" s="1">
        <v>0</v>
      </c>
      <c r="C383" s="1">
        <v>14</v>
      </c>
      <c r="D383" s="1">
        <v>3</v>
      </c>
      <c r="E383" s="1">
        <v>3</v>
      </c>
      <c r="F383" s="1">
        <v>4</v>
      </c>
      <c r="G383" s="1">
        <v>8</v>
      </c>
      <c r="H383" s="1">
        <v>0</v>
      </c>
      <c r="I383" s="1">
        <v>1</v>
      </c>
      <c r="J383" s="1">
        <v>1</v>
      </c>
    </row>
    <row r="384" spans="1:10" x14ac:dyDescent="0.2">
      <c r="A384" s="1">
        <v>1530</v>
      </c>
      <c r="B384" s="1">
        <v>0</v>
      </c>
      <c r="C384" s="1">
        <v>9</v>
      </c>
      <c r="D384" s="1">
        <v>1</v>
      </c>
      <c r="E384" s="1">
        <v>2</v>
      </c>
      <c r="F384" s="1">
        <v>5</v>
      </c>
      <c r="G384" s="1">
        <v>8</v>
      </c>
      <c r="H384" s="1">
        <v>0</v>
      </c>
      <c r="I384" s="1">
        <v>2</v>
      </c>
      <c r="J384" s="1">
        <v>1</v>
      </c>
    </row>
    <row r="385" spans="1:10" x14ac:dyDescent="0.2">
      <c r="A385" s="1">
        <v>1821</v>
      </c>
      <c r="B385" s="1">
        <v>0</v>
      </c>
      <c r="C385" s="1">
        <v>16</v>
      </c>
      <c r="D385" s="1">
        <v>2</v>
      </c>
      <c r="E385" s="1">
        <v>2</v>
      </c>
      <c r="F385" s="1">
        <v>5</v>
      </c>
      <c r="G385" s="1">
        <v>8</v>
      </c>
      <c r="H385" s="1">
        <v>1</v>
      </c>
      <c r="I385" s="1">
        <v>1</v>
      </c>
      <c r="J385" s="1">
        <v>1</v>
      </c>
    </row>
    <row r="386" spans="1:10" x14ac:dyDescent="0.2">
      <c r="A386" s="1">
        <v>1142</v>
      </c>
      <c r="B386" s="1">
        <v>0</v>
      </c>
      <c r="C386" s="1">
        <v>18</v>
      </c>
      <c r="D386" s="1">
        <v>2</v>
      </c>
      <c r="E386" s="1">
        <v>2</v>
      </c>
      <c r="F386" s="1">
        <v>5</v>
      </c>
      <c r="G386" s="1">
        <v>8</v>
      </c>
      <c r="H386" s="1">
        <v>1</v>
      </c>
      <c r="I386" s="1">
        <v>1</v>
      </c>
      <c r="J386" s="1">
        <v>1</v>
      </c>
    </row>
    <row r="387" spans="1:10" x14ac:dyDescent="0.2">
      <c r="A387" s="1">
        <v>1212</v>
      </c>
      <c r="B387" s="1">
        <v>0</v>
      </c>
      <c r="C387" s="1">
        <v>15</v>
      </c>
      <c r="D387" s="1">
        <v>2</v>
      </c>
      <c r="E387" s="1">
        <v>3</v>
      </c>
      <c r="F387" s="1">
        <v>5</v>
      </c>
      <c r="G387" s="1">
        <v>8</v>
      </c>
      <c r="H387" s="1">
        <v>1</v>
      </c>
      <c r="I387" s="1">
        <v>0</v>
      </c>
      <c r="J387" s="1">
        <v>1</v>
      </c>
    </row>
    <row r="388" spans="1:10" x14ac:dyDescent="0.2">
      <c r="A388" s="1">
        <v>1647</v>
      </c>
      <c r="B388" s="1">
        <v>0</v>
      </c>
      <c r="C388" s="1">
        <v>19</v>
      </c>
      <c r="D388" s="1">
        <v>2</v>
      </c>
      <c r="E388" s="1">
        <v>3</v>
      </c>
      <c r="F388" s="1">
        <v>5</v>
      </c>
      <c r="G388" s="1">
        <v>8</v>
      </c>
      <c r="H388" s="1">
        <v>1</v>
      </c>
      <c r="I388" s="1">
        <v>1</v>
      </c>
      <c r="J388" s="1">
        <v>1</v>
      </c>
    </row>
    <row r="389" spans="1:10" x14ac:dyDescent="0.2">
      <c r="A389" s="1">
        <v>745</v>
      </c>
      <c r="B389" s="1">
        <v>0</v>
      </c>
      <c r="C389" s="1">
        <v>20</v>
      </c>
      <c r="D389" s="1">
        <v>1</v>
      </c>
      <c r="E389" s="1">
        <v>3</v>
      </c>
      <c r="F389" s="1">
        <v>5</v>
      </c>
      <c r="G389" s="1">
        <v>8</v>
      </c>
      <c r="H389" s="1">
        <v>0</v>
      </c>
      <c r="I389" s="1">
        <v>2</v>
      </c>
      <c r="J389" s="1">
        <v>1</v>
      </c>
    </row>
    <row r="390" spans="1:10" x14ac:dyDescent="0.2">
      <c r="A390" s="1">
        <v>1726</v>
      </c>
      <c r="B390" s="1">
        <v>0</v>
      </c>
      <c r="C390" s="1">
        <v>13</v>
      </c>
      <c r="D390" s="1">
        <v>5</v>
      </c>
      <c r="E390" s="1">
        <v>1</v>
      </c>
      <c r="F390" s="1">
        <v>6</v>
      </c>
      <c r="G390" s="1">
        <v>8</v>
      </c>
      <c r="H390" s="1">
        <v>0</v>
      </c>
      <c r="I390" s="1">
        <v>3</v>
      </c>
      <c r="J390" s="1">
        <v>1</v>
      </c>
    </row>
    <row r="391" spans="1:10" x14ac:dyDescent="0.2">
      <c r="A391" s="1">
        <v>1453</v>
      </c>
      <c r="B391" s="1">
        <v>0</v>
      </c>
      <c r="C391" s="1">
        <v>9</v>
      </c>
      <c r="D391" s="1">
        <v>2</v>
      </c>
      <c r="E391" s="1">
        <v>2</v>
      </c>
      <c r="F391" s="1">
        <v>6</v>
      </c>
      <c r="G391" s="1">
        <v>8</v>
      </c>
      <c r="H391" s="1">
        <v>1</v>
      </c>
      <c r="I391" s="1">
        <v>3</v>
      </c>
      <c r="J391" s="1">
        <v>1</v>
      </c>
    </row>
    <row r="392" spans="1:10" x14ac:dyDescent="0.2">
      <c r="A392" s="1">
        <v>365</v>
      </c>
      <c r="B392" s="1">
        <v>0</v>
      </c>
      <c r="C392" s="1">
        <v>20</v>
      </c>
      <c r="D392" s="1">
        <v>3</v>
      </c>
      <c r="E392" s="1">
        <v>2</v>
      </c>
      <c r="F392" s="1">
        <v>6</v>
      </c>
      <c r="G392" s="1">
        <v>8</v>
      </c>
      <c r="H392" s="1">
        <v>0</v>
      </c>
      <c r="I392" s="1">
        <v>2</v>
      </c>
      <c r="J392" s="1">
        <v>1</v>
      </c>
    </row>
    <row r="393" spans="1:10" x14ac:dyDescent="0.2">
      <c r="A393" s="1">
        <v>1858</v>
      </c>
      <c r="B393" s="1">
        <v>0</v>
      </c>
      <c r="C393" s="1">
        <v>6</v>
      </c>
      <c r="D393" s="1">
        <v>3</v>
      </c>
      <c r="E393" s="1">
        <v>3</v>
      </c>
      <c r="F393" s="1">
        <v>6</v>
      </c>
      <c r="G393" s="1">
        <v>8</v>
      </c>
      <c r="H393" s="1">
        <v>0</v>
      </c>
      <c r="I393" s="1">
        <v>2</v>
      </c>
      <c r="J393" s="1">
        <v>1</v>
      </c>
    </row>
    <row r="394" spans="1:10" x14ac:dyDescent="0.2">
      <c r="A394" s="1">
        <v>2266</v>
      </c>
      <c r="B394" s="1">
        <v>0</v>
      </c>
      <c r="C394" s="1">
        <v>14</v>
      </c>
      <c r="D394" s="1">
        <v>3</v>
      </c>
      <c r="E394" s="1">
        <v>3</v>
      </c>
      <c r="F394" s="1">
        <v>6</v>
      </c>
      <c r="G394" s="1">
        <v>8</v>
      </c>
      <c r="H394" s="1">
        <v>0</v>
      </c>
      <c r="I394" s="1">
        <v>2</v>
      </c>
      <c r="J394" s="1">
        <v>1</v>
      </c>
    </row>
    <row r="395" spans="1:10" x14ac:dyDescent="0.2">
      <c r="A395" s="1">
        <v>1398</v>
      </c>
      <c r="B395" s="1">
        <v>0</v>
      </c>
      <c r="C395" s="1">
        <v>15</v>
      </c>
      <c r="D395" s="1">
        <v>1</v>
      </c>
      <c r="E395" s="1">
        <v>3</v>
      </c>
      <c r="F395" s="1">
        <v>6</v>
      </c>
      <c r="G395" s="1">
        <v>8</v>
      </c>
      <c r="H395" s="1">
        <v>1</v>
      </c>
      <c r="I395" s="1">
        <v>1</v>
      </c>
      <c r="J395" s="1">
        <v>1</v>
      </c>
    </row>
    <row r="396" spans="1:10" x14ac:dyDescent="0.2">
      <c r="A396" s="1">
        <v>825</v>
      </c>
      <c r="B396" s="1">
        <v>0</v>
      </c>
      <c r="C396" s="1">
        <v>5</v>
      </c>
      <c r="D396" s="1">
        <v>3</v>
      </c>
      <c r="E396" s="1">
        <v>2</v>
      </c>
      <c r="F396" s="1">
        <v>7</v>
      </c>
      <c r="G396" s="1">
        <v>8</v>
      </c>
      <c r="H396" s="1">
        <v>1</v>
      </c>
      <c r="I396" s="1">
        <v>0</v>
      </c>
      <c r="J396" s="1">
        <v>1</v>
      </c>
    </row>
    <row r="397" spans="1:10" x14ac:dyDescent="0.2">
      <c r="A397" s="1">
        <v>818</v>
      </c>
      <c r="B397" s="1">
        <v>0</v>
      </c>
      <c r="C397" s="1">
        <v>6</v>
      </c>
      <c r="D397" s="1">
        <v>4</v>
      </c>
      <c r="E397" s="1">
        <v>3</v>
      </c>
      <c r="F397" s="1">
        <v>7</v>
      </c>
      <c r="G397" s="1">
        <v>8</v>
      </c>
      <c r="H397" s="1">
        <v>0</v>
      </c>
      <c r="I397" s="1">
        <v>1</v>
      </c>
      <c r="J397" s="1">
        <v>1</v>
      </c>
    </row>
    <row r="398" spans="1:10" x14ac:dyDescent="0.2">
      <c r="A398" s="1">
        <v>961</v>
      </c>
      <c r="B398" s="1">
        <v>0</v>
      </c>
      <c r="C398" s="1">
        <v>7</v>
      </c>
      <c r="D398" s="1">
        <v>5</v>
      </c>
      <c r="E398" s="1">
        <v>3</v>
      </c>
      <c r="F398" s="1">
        <v>7</v>
      </c>
      <c r="G398" s="1">
        <v>8</v>
      </c>
      <c r="H398" s="1">
        <v>1</v>
      </c>
      <c r="I398" s="1">
        <v>1</v>
      </c>
      <c r="J398" s="1">
        <v>1</v>
      </c>
    </row>
    <row r="399" spans="1:10" x14ac:dyDescent="0.2">
      <c r="A399" s="1">
        <v>1087</v>
      </c>
      <c r="B399" s="1">
        <v>0</v>
      </c>
      <c r="C399" s="1">
        <v>10</v>
      </c>
      <c r="D399" s="1">
        <v>4</v>
      </c>
      <c r="E399" s="1">
        <v>3</v>
      </c>
      <c r="F399" s="1">
        <v>7</v>
      </c>
      <c r="G399" s="1">
        <v>8</v>
      </c>
      <c r="H399" s="1">
        <v>1</v>
      </c>
      <c r="I399" s="1">
        <v>1</v>
      </c>
      <c r="J399" s="1">
        <v>1</v>
      </c>
    </row>
    <row r="400" spans="1:10" x14ac:dyDescent="0.2">
      <c r="A400" s="1">
        <v>1344</v>
      </c>
      <c r="B400" s="1">
        <v>0</v>
      </c>
      <c r="C400" s="1">
        <v>6</v>
      </c>
      <c r="D400" s="1">
        <v>5</v>
      </c>
      <c r="E400" s="1">
        <v>1</v>
      </c>
      <c r="F400" s="1">
        <v>8</v>
      </c>
      <c r="G400" s="1">
        <v>8</v>
      </c>
      <c r="H400" s="1">
        <v>1</v>
      </c>
      <c r="I400" s="1">
        <v>2</v>
      </c>
      <c r="J400" s="1">
        <v>1</v>
      </c>
    </row>
    <row r="401" spans="1:10" x14ac:dyDescent="0.2">
      <c r="A401" s="1">
        <v>652</v>
      </c>
      <c r="B401" s="1">
        <v>0</v>
      </c>
      <c r="C401" s="1">
        <v>14</v>
      </c>
      <c r="D401" s="1">
        <v>2</v>
      </c>
      <c r="E401" s="1">
        <v>1</v>
      </c>
      <c r="F401" s="1">
        <v>8</v>
      </c>
      <c r="G401" s="1">
        <v>8</v>
      </c>
      <c r="H401" s="1">
        <v>1</v>
      </c>
      <c r="I401" s="1">
        <v>2</v>
      </c>
      <c r="J401" s="1">
        <v>1</v>
      </c>
    </row>
    <row r="402" spans="1:10" x14ac:dyDescent="0.2">
      <c r="A402" s="1">
        <v>1960</v>
      </c>
      <c r="B402" s="1">
        <v>0</v>
      </c>
      <c r="C402" s="1">
        <v>13</v>
      </c>
      <c r="D402" s="1">
        <v>3</v>
      </c>
      <c r="E402" s="1">
        <v>3</v>
      </c>
      <c r="F402" s="1">
        <v>8</v>
      </c>
      <c r="G402" s="1">
        <v>8</v>
      </c>
      <c r="H402" s="1">
        <v>0</v>
      </c>
      <c r="I402" s="1">
        <v>0</v>
      </c>
      <c r="J402" s="1">
        <v>1</v>
      </c>
    </row>
    <row r="403" spans="1:10" x14ac:dyDescent="0.2">
      <c r="A403" s="1">
        <v>480</v>
      </c>
      <c r="B403" s="1">
        <v>0</v>
      </c>
      <c r="C403" s="1">
        <v>17</v>
      </c>
      <c r="D403" s="1">
        <v>2</v>
      </c>
      <c r="E403" s="1">
        <v>3</v>
      </c>
      <c r="F403" s="1">
        <v>8</v>
      </c>
      <c r="G403" s="1">
        <v>8</v>
      </c>
      <c r="H403" s="1">
        <v>1</v>
      </c>
      <c r="I403" s="1">
        <v>3</v>
      </c>
      <c r="J403" s="1">
        <v>1</v>
      </c>
    </row>
    <row r="404" spans="1:10" x14ac:dyDescent="0.2">
      <c r="A404" s="1">
        <v>1353</v>
      </c>
      <c r="B404" s="1">
        <v>0</v>
      </c>
      <c r="C404" s="1">
        <v>7</v>
      </c>
      <c r="D404" s="1">
        <v>3</v>
      </c>
      <c r="E404" s="1">
        <v>1</v>
      </c>
      <c r="F404" s="1">
        <v>9</v>
      </c>
      <c r="G404" s="1">
        <v>8</v>
      </c>
      <c r="H404" s="1">
        <v>1</v>
      </c>
      <c r="I404" s="1">
        <v>3</v>
      </c>
      <c r="J404" s="1">
        <v>1</v>
      </c>
    </row>
    <row r="405" spans="1:10" x14ac:dyDescent="0.2">
      <c r="A405" s="1">
        <v>320</v>
      </c>
      <c r="B405" s="1">
        <v>0</v>
      </c>
      <c r="C405" s="1">
        <v>11</v>
      </c>
      <c r="D405" s="1">
        <v>4</v>
      </c>
      <c r="E405" s="1">
        <v>1</v>
      </c>
      <c r="F405" s="1">
        <v>9</v>
      </c>
      <c r="G405" s="1">
        <v>8</v>
      </c>
      <c r="H405" s="1">
        <v>1</v>
      </c>
      <c r="I405" s="1">
        <v>1</v>
      </c>
      <c r="J405" s="1">
        <v>1</v>
      </c>
    </row>
    <row r="406" spans="1:10" x14ac:dyDescent="0.2">
      <c r="A406" s="1">
        <v>2067</v>
      </c>
      <c r="B406" s="1">
        <v>0</v>
      </c>
      <c r="C406" s="1">
        <v>20</v>
      </c>
      <c r="D406" s="1">
        <v>5</v>
      </c>
      <c r="E406" s="1">
        <v>3</v>
      </c>
      <c r="F406" s="1">
        <v>9</v>
      </c>
      <c r="G406" s="1">
        <v>8</v>
      </c>
      <c r="H406" s="1">
        <v>0</v>
      </c>
      <c r="I406" s="1">
        <v>1</v>
      </c>
      <c r="J406" s="1">
        <v>1</v>
      </c>
    </row>
    <row r="407" spans="1:10" x14ac:dyDescent="0.2">
      <c r="A407" s="1">
        <v>229</v>
      </c>
      <c r="B407" s="1">
        <v>0</v>
      </c>
      <c r="C407" s="1">
        <v>16</v>
      </c>
      <c r="D407" s="1">
        <v>2</v>
      </c>
      <c r="E407" s="1">
        <v>2</v>
      </c>
      <c r="F407" s="1">
        <v>10</v>
      </c>
      <c r="G407" s="1">
        <v>8</v>
      </c>
      <c r="H407" s="1">
        <v>0</v>
      </c>
      <c r="I407" s="1">
        <v>0</v>
      </c>
      <c r="J407" s="1">
        <v>1</v>
      </c>
    </row>
    <row r="408" spans="1:10" x14ac:dyDescent="0.2">
      <c r="A408" s="1">
        <v>1027</v>
      </c>
      <c r="B408" s="1">
        <v>0</v>
      </c>
      <c r="C408" s="1">
        <v>6</v>
      </c>
      <c r="D408" s="1">
        <v>3</v>
      </c>
      <c r="E408" s="1">
        <v>3</v>
      </c>
      <c r="F408" s="1">
        <v>10</v>
      </c>
      <c r="G408" s="1">
        <v>8</v>
      </c>
      <c r="H408" s="1">
        <v>1</v>
      </c>
      <c r="I408" s="1">
        <v>2</v>
      </c>
      <c r="J408" s="1">
        <v>1</v>
      </c>
    </row>
    <row r="409" spans="1:10" x14ac:dyDescent="0.2">
      <c r="A409" s="1">
        <v>1555</v>
      </c>
      <c r="B409" s="1">
        <v>0</v>
      </c>
      <c r="C409" s="1">
        <v>20</v>
      </c>
      <c r="D409" s="1">
        <v>2</v>
      </c>
      <c r="E409" s="1">
        <v>3</v>
      </c>
      <c r="F409" s="1">
        <v>10</v>
      </c>
      <c r="G409" s="1">
        <v>8</v>
      </c>
      <c r="H409" s="1">
        <v>0</v>
      </c>
      <c r="I409" s="1">
        <v>1</v>
      </c>
      <c r="J409" s="1">
        <v>1</v>
      </c>
    </row>
    <row r="410" spans="1:10" x14ac:dyDescent="0.2">
      <c r="A410" s="1">
        <v>1827</v>
      </c>
      <c r="B410" s="1">
        <v>0</v>
      </c>
      <c r="C410" s="1">
        <v>11</v>
      </c>
      <c r="D410" s="1">
        <v>5</v>
      </c>
      <c r="E410" s="1">
        <v>1</v>
      </c>
      <c r="F410" s="1">
        <v>1</v>
      </c>
      <c r="G410" s="1">
        <v>9</v>
      </c>
      <c r="H410" s="1">
        <v>0</v>
      </c>
      <c r="I410" s="1">
        <v>0</v>
      </c>
      <c r="J410" s="1">
        <v>1</v>
      </c>
    </row>
    <row r="411" spans="1:10" x14ac:dyDescent="0.2">
      <c r="A411" s="1">
        <v>1024</v>
      </c>
      <c r="B411" s="1">
        <v>0</v>
      </c>
      <c r="C411" s="1">
        <v>14</v>
      </c>
      <c r="D411" s="1">
        <v>3</v>
      </c>
      <c r="E411" s="1">
        <v>1</v>
      </c>
      <c r="F411" s="1">
        <v>1</v>
      </c>
      <c r="G411" s="1">
        <v>9</v>
      </c>
      <c r="H411" s="1">
        <v>0</v>
      </c>
      <c r="I411" s="1">
        <v>3</v>
      </c>
      <c r="J411" s="1">
        <v>1</v>
      </c>
    </row>
    <row r="412" spans="1:10" x14ac:dyDescent="0.2">
      <c r="A412" s="1">
        <v>1365</v>
      </c>
      <c r="B412" s="1">
        <v>0</v>
      </c>
      <c r="C412" s="1">
        <v>14</v>
      </c>
      <c r="D412" s="1">
        <v>2</v>
      </c>
      <c r="E412" s="1">
        <v>1</v>
      </c>
      <c r="F412" s="1">
        <v>1</v>
      </c>
      <c r="G412" s="1">
        <v>9</v>
      </c>
      <c r="H412" s="1">
        <v>0</v>
      </c>
      <c r="I412" s="1">
        <v>1</v>
      </c>
      <c r="J412" s="1">
        <v>1</v>
      </c>
    </row>
    <row r="413" spans="1:10" x14ac:dyDescent="0.2">
      <c r="A413" s="1">
        <v>779</v>
      </c>
      <c r="B413" s="1">
        <v>0</v>
      </c>
      <c r="C413" s="1">
        <v>17</v>
      </c>
      <c r="D413" s="1">
        <v>1</v>
      </c>
      <c r="E413" s="1">
        <v>1</v>
      </c>
      <c r="F413" s="1">
        <v>1</v>
      </c>
      <c r="G413" s="1">
        <v>9</v>
      </c>
      <c r="H413" s="1">
        <v>0</v>
      </c>
      <c r="I413" s="1">
        <v>0</v>
      </c>
      <c r="J413" s="1">
        <v>1</v>
      </c>
    </row>
    <row r="414" spans="1:10" x14ac:dyDescent="0.2">
      <c r="A414" s="1">
        <v>2360</v>
      </c>
      <c r="B414" s="1">
        <v>0</v>
      </c>
      <c r="C414" s="1">
        <v>5</v>
      </c>
      <c r="D414" s="1">
        <v>2</v>
      </c>
      <c r="E414" s="1">
        <v>2</v>
      </c>
      <c r="F414" s="1">
        <v>1</v>
      </c>
      <c r="G414" s="1">
        <v>9</v>
      </c>
      <c r="H414" s="1">
        <v>1</v>
      </c>
      <c r="I414" s="1">
        <v>2</v>
      </c>
      <c r="J414" s="1">
        <v>1</v>
      </c>
    </row>
    <row r="415" spans="1:10" x14ac:dyDescent="0.2">
      <c r="A415" s="1">
        <v>2473</v>
      </c>
      <c r="B415" s="1">
        <v>0</v>
      </c>
      <c r="C415" s="1">
        <v>8</v>
      </c>
      <c r="D415" s="1">
        <v>4</v>
      </c>
      <c r="E415" s="1">
        <v>2</v>
      </c>
      <c r="F415" s="1">
        <v>1</v>
      </c>
      <c r="G415" s="1">
        <v>9</v>
      </c>
      <c r="H415" s="1">
        <v>0</v>
      </c>
      <c r="I415" s="1">
        <v>1</v>
      </c>
      <c r="J415" s="1">
        <v>1</v>
      </c>
    </row>
    <row r="416" spans="1:10" x14ac:dyDescent="0.2">
      <c r="A416" s="1">
        <v>993</v>
      </c>
      <c r="B416" s="1">
        <v>0</v>
      </c>
      <c r="C416" s="1">
        <v>11</v>
      </c>
      <c r="D416" s="1">
        <v>3</v>
      </c>
      <c r="E416" s="1">
        <v>3</v>
      </c>
      <c r="F416" s="1">
        <v>1</v>
      </c>
      <c r="G416" s="1">
        <v>9</v>
      </c>
      <c r="H416" s="1">
        <v>1</v>
      </c>
      <c r="I416" s="1">
        <v>2</v>
      </c>
      <c r="J416" s="1">
        <v>1</v>
      </c>
    </row>
    <row r="417" spans="1:10" x14ac:dyDescent="0.2">
      <c r="A417" s="1">
        <v>2140</v>
      </c>
      <c r="B417" s="1">
        <v>0</v>
      </c>
      <c r="C417" s="1">
        <v>16</v>
      </c>
      <c r="D417" s="1">
        <v>1</v>
      </c>
      <c r="E417" s="1">
        <v>3</v>
      </c>
      <c r="F417" s="1">
        <v>1</v>
      </c>
      <c r="G417" s="1">
        <v>9</v>
      </c>
      <c r="H417" s="1">
        <v>0</v>
      </c>
      <c r="I417" s="1">
        <v>0</v>
      </c>
      <c r="J417" s="1">
        <v>1</v>
      </c>
    </row>
    <row r="418" spans="1:10" x14ac:dyDescent="0.2">
      <c r="A418" s="1">
        <v>919</v>
      </c>
      <c r="B418" s="1">
        <v>0</v>
      </c>
      <c r="C418" s="1">
        <v>19</v>
      </c>
      <c r="D418" s="1">
        <v>3</v>
      </c>
      <c r="E418" s="1">
        <v>3</v>
      </c>
      <c r="F418" s="1">
        <v>1</v>
      </c>
      <c r="G418" s="1">
        <v>9</v>
      </c>
      <c r="H418" s="1">
        <v>0</v>
      </c>
      <c r="I418" s="1">
        <v>0</v>
      </c>
      <c r="J418" s="1">
        <v>1</v>
      </c>
    </row>
    <row r="419" spans="1:10" x14ac:dyDescent="0.2">
      <c r="A419" s="1">
        <v>455</v>
      </c>
      <c r="B419" s="1">
        <v>0</v>
      </c>
      <c r="C419" s="1">
        <v>8</v>
      </c>
      <c r="D419" s="1">
        <v>3</v>
      </c>
      <c r="E419" s="1">
        <v>1</v>
      </c>
      <c r="F419" s="1">
        <v>2</v>
      </c>
      <c r="G419" s="1">
        <v>9</v>
      </c>
      <c r="H419" s="1">
        <v>1</v>
      </c>
      <c r="I419" s="1">
        <v>3</v>
      </c>
      <c r="J419" s="1">
        <v>1</v>
      </c>
    </row>
    <row r="420" spans="1:10" x14ac:dyDescent="0.2">
      <c r="A420" s="1">
        <v>585</v>
      </c>
      <c r="B420" s="1">
        <v>0</v>
      </c>
      <c r="C420" s="1">
        <v>11</v>
      </c>
      <c r="D420" s="1">
        <v>5</v>
      </c>
      <c r="E420" s="1">
        <v>1</v>
      </c>
      <c r="F420" s="1">
        <v>2</v>
      </c>
      <c r="G420" s="1">
        <v>9</v>
      </c>
      <c r="H420" s="1">
        <v>0</v>
      </c>
      <c r="I420" s="1">
        <v>2</v>
      </c>
      <c r="J420" s="1">
        <v>1</v>
      </c>
    </row>
    <row r="421" spans="1:10" x14ac:dyDescent="0.2">
      <c r="A421" s="1">
        <v>246</v>
      </c>
      <c r="B421" s="1">
        <v>0</v>
      </c>
      <c r="C421" s="1">
        <v>18</v>
      </c>
      <c r="D421" s="1">
        <v>2</v>
      </c>
      <c r="E421" s="1">
        <v>1</v>
      </c>
      <c r="F421" s="1">
        <v>2</v>
      </c>
      <c r="G421" s="1">
        <v>9</v>
      </c>
      <c r="H421" s="1">
        <v>1</v>
      </c>
      <c r="I421" s="1">
        <v>2</v>
      </c>
      <c r="J421" s="1">
        <v>1</v>
      </c>
    </row>
    <row r="422" spans="1:10" x14ac:dyDescent="0.2">
      <c r="A422" s="1">
        <v>844</v>
      </c>
      <c r="B422" s="1">
        <v>0</v>
      </c>
      <c r="C422" s="1">
        <v>10</v>
      </c>
      <c r="D422" s="1">
        <v>5</v>
      </c>
      <c r="E422" s="1">
        <v>2</v>
      </c>
      <c r="F422" s="1">
        <v>2</v>
      </c>
      <c r="G422" s="1">
        <v>9</v>
      </c>
      <c r="H422" s="1">
        <v>0</v>
      </c>
      <c r="I422" s="1">
        <v>2</v>
      </c>
      <c r="J422" s="1">
        <v>1</v>
      </c>
    </row>
    <row r="423" spans="1:10" x14ac:dyDescent="0.2">
      <c r="A423" s="1">
        <v>317</v>
      </c>
      <c r="B423" s="1">
        <v>0</v>
      </c>
      <c r="C423" s="1">
        <v>11</v>
      </c>
      <c r="D423" s="1">
        <v>1</v>
      </c>
      <c r="E423" s="1">
        <v>3</v>
      </c>
      <c r="F423" s="1">
        <v>2</v>
      </c>
      <c r="G423" s="1">
        <v>9</v>
      </c>
      <c r="H423" s="1">
        <v>1</v>
      </c>
      <c r="I423" s="1">
        <v>1</v>
      </c>
      <c r="J423" s="1">
        <v>1</v>
      </c>
    </row>
    <row r="424" spans="1:10" x14ac:dyDescent="0.2">
      <c r="A424" s="1">
        <v>743</v>
      </c>
      <c r="B424" s="1">
        <v>0</v>
      </c>
      <c r="C424" s="1">
        <v>14</v>
      </c>
      <c r="D424" s="1">
        <v>1</v>
      </c>
      <c r="E424" s="1">
        <v>3</v>
      </c>
      <c r="F424" s="1">
        <v>2</v>
      </c>
      <c r="G424" s="1">
        <v>9</v>
      </c>
      <c r="H424" s="1">
        <v>0</v>
      </c>
      <c r="I424" s="1">
        <v>3</v>
      </c>
      <c r="J424" s="1">
        <v>1</v>
      </c>
    </row>
    <row r="425" spans="1:10" x14ac:dyDescent="0.2">
      <c r="A425" s="1">
        <v>1144</v>
      </c>
      <c r="B425" s="1">
        <v>0</v>
      </c>
      <c r="C425" s="1">
        <v>19</v>
      </c>
      <c r="D425" s="1">
        <v>3</v>
      </c>
      <c r="E425" s="1">
        <v>1</v>
      </c>
      <c r="F425" s="1">
        <v>3</v>
      </c>
      <c r="G425" s="1">
        <v>9</v>
      </c>
      <c r="H425" s="1">
        <v>1</v>
      </c>
      <c r="I425" s="1">
        <v>2</v>
      </c>
      <c r="J425" s="1">
        <v>1</v>
      </c>
    </row>
    <row r="426" spans="1:10" x14ac:dyDescent="0.2">
      <c r="A426" s="1">
        <v>1737</v>
      </c>
      <c r="B426" s="1">
        <v>0</v>
      </c>
      <c r="C426" s="1">
        <v>6</v>
      </c>
      <c r="D426" s="1">
        <v>1</v>
      </c>
      <c r="E426" s="1">
        <v>2</v>
      </c>
      <c r="F426" s="1">
        <v>3</v>
      </c>
      <c r="G426" s="1">
        <v>9</v>
      </c>
      <c r="H426" s="1">
        <v>0</v>
      </c>
      <c r="I426" s="1">
        <v>1</v>
      </c>
      <c r="J426" s="1">
        <v>1</v>
      </c>
    </row>
    <row r="427" spans="1:10" x14ac:dyDescent="0.2">
      <c r="A427" s="1">
        <v>1956</v>
      </c>
      <c r="B427" s="1">
        <v>0</v>
      </c>
      <c r="C427" s="1">
        <v>7</v>
      </c>
      <c r="D427" s="1">
        <v>5</v>
      </c>
      <c r="E427" s="1">
        <v>2</v>
      </c>
      <c r="F427" s="1">
        <v>3</v>
      </c>
      <c r="G427" s="1">
        <v>9</v>
      </c>
      <c r="H427" s="1">
        <v>0</v>
      </c>
      <c r="I427" s="1">
        <v>2</v>
      </c>
      <c r="J427" s="1">
        <v>1</v>
      </c>
    </row>
    <row r="428" spans="1:10" x14ac:dyDescent="0.2">
      <c r="A428" s="1">
        <v>2062</v>
      </c>
      <c r="B428" s="1">
        <v>0</v>
      </c>
      <c r="C428" s="1">
        <v>11</v>
      </c>
      <c r="D428" s="1">
        <v>3</v>
      </c>
      <c r="E428" s="1">
        <v>2</v>
      </c>
      <c r="F428" s="1">
        <v>3</v>
      </c>
      <c r="G428" s="1">
        <v>9</v>
      </c>
      <c r="H428" s="1">
        <v>0</v>
      </c>
      <c r="I428" s="1">
        <v>2</v>
      </c>
      <c r="J428" s="1">
        <v>1</v>
      </c>
    </row>
    <row r="429" spans="1:10" x14ac:dyDescent="0.2">
      <c r="A429" s="1">
        <v>796</v>
      </c>
      <c r="B429" s="1">
        <v>0</v>
      </c>
      <c r="C429" s="1">
        <v>14</v>
      </c>
      <c r="D429" s="1">
        <v>5</v>
      </c>
      <c r="E429" s="1">
        <v>2</v>
      </c>
      <c r="F429" s="1">
        <v>3</v>
      </c>
      <c r="G429" s="1">
        <v>9</v>
      </c>
      <c r="H429" s="1">
        <v>1</v>
      </c>
      <c r="I429" s="1">
        <v>2</v>
      </c>
      <c r="J429" s="1">
        <v>1</v>
      </c>
    </row>
    <row r="430" spans="1:10" x14ac:dyDescent="0.2">
      <c r="A430" s="1">
        <v>723</v>
      </c>
      <c r="B430" s="1">
        <v>0</v>
      </c>
      <c r="C430" s="1">
        <v>19</v>
      </c>
      <c r="D430" s="1">
        <v>4</v>
      </c>
      <c r="E430" s="1">
        <v>2</v>
      </c>
      <c r="F430" s="1">
        <v>3</v>
      </c>
      <c r="G430" s="1">
        <v>9</v>
      </c>
      <c r="H430" s="1">
        <v>1</v>
      </c>
      <c r="I430" s="1">
        <v>0</v>
      </c>
      <c r="J430" s="1">
        <v>1</v>
      </c>
    </row>
    <row r="431" spans="1:10" x14ac:dyDescent="0.2">
      <c r="A431" s="1">
        <v>2259</v>
      </c>
      <c r="B431" s="1">
        <v>0</v>
      </c>
      <c r="C431" s="1">
        <v>18</v>
      </c>
      <c r="D431" s="1">
        <v>5</v>
      </c>
      <c r="E431" s="1">
        <v>3</v>
      </c>
      <c r="F431" s="1">
        <v>3</v>
      </c>
      <c r="G431" s="1">
        <v>9</v>
      </c>
      <c r="H431" s="1">
        <v>0</v>
      </c>
      <c r="I431" s="1">
        <v>1</v>
      </c>
      <c r="J431" s="1">
        <v>1</v>
      </c>
    </row>
    <row r="432" spans="1:10" x14ac:dyDescent="0.2">
      <c r="A432" s="1">
        <v>2479</v>
      </c>
      <c r="B432" s="1">
        <v>0</v>
      </c>
      <c r="C432" s="1">
        <v>19</v>
      </c>
      <c r="D432" s="1">
        <v>5</v>
      </c>
      <c r="E432" s="1">
        <v>3</v>
      </c>
      <c r="F432" s="1">
        <v>3</v>
      </c>
      <c r="G432" s="1">
        <v>9</v>
      </c>
      <c r="H432" s="1">
        <v>1</v>
      </c>
      <c r="I432" s="1">
        <v>0</v>
      </c>
      <c r="J432" s="1">
        <v>1</v>
      </c>
    </row>
    <row r="433" spans="1:10" x14ac:dyDescent="0.2">
      <c r="A433" s="1">
        <v>1788</v>
      </c>
      <c r="B433" s="1">
        <v>0</v>
      </c>
      <c r="C433" s="1">
        <v>18</v>
      </c>
      <c r="D433" s="1">
        <v>4</v>
      </c>
      <c r="E433" s="1">
        <v>1</v>
      </c>
      <c r="F433" s="1">
        <v>4</v>
      </c>
      <c r="G433" s="1">
        <v>9</v>
      </c>
      <c r="H433" s="1">
        <v>0</v>
      </c>
      <c r="I433" s="1">
        <v>1</v>
      </c>
      <c r="J433" s="1">
        <v>1</v>
      </c>
    </row>
    <row r="434" spans="1:10" x14ac:dyDescent="0.2">
      <c r="A434" s="1">
        <v>2277</v>
      </c>
      <c r="B434" s="1">
        <v>0</v>
      </c>
      <c r="C434" s="1">
        <v>19</v>
      </c>
      <c r="D434" s="1">
        <v>5</v>
      </c>
      <c r="E434" s="1">
        <v>1</v>
      </c>
      <c r="F434" s="1">
        <v>4</v>
      </c>
      <c r="G434" s="1">
        <v>9</v>
      </c>
      <c r="H434" s="1">
        <v>0</v>
      </c>
      <c r="I434" s="1">
        <v>2</v>
      </c>
      <c r="J434" s="1">
        <v>1</v>
      </c>
    </row>
    <row r="435" spans="1:10" x14ac:dyDescent="0.2">
      <c r="A435" s="1">
        <v>2362</v>
      </c>
      <c r="B435" s="1">
        <v>0</v>
      </c>
      <c r="C435" s="1">
        <v>20</v>
      </c>
      <c r="D435" s="1">
        <v>4</v>
      </c>
      <c r="E435" s="1">
        <v>1</v>
      </c>
      <c r="F435" s="1">
        <v>4</v>
      </c>
      <c r="G435" s="1">
        <v>9</v>
      </c>
      <c r="H435" s="1">
        <v>0</v>
      </c>
      <c r="I435" s="1">
        <v>1</v>
      </c>
      <c r="J435" s="1">
        <v>1</v>
      </c>
    </row>
    <row r="436" spans="1:10" x14ac:dyDescent="0.2">
      <c r="A436" s="1">
        <v>206</v>
      </c>
      <c r="B436" s="1">
        <v>0</v>
      </c>
      <c r="C436" s="1">
        <v>13</v>
      </c>
      <c r="D436" s="1">
        <v>2</v>
      </c>
      <c r="E436" s="1">
        <v>2</v>
      </c>
      <c r="F436" s="1">
        <v>4</v>
      </c>
      <c r="G436" s="1">
        <v>9</v>
      </c>
      <c r="H436" s="1">
        <v>1</v>
      </c>
      <c r="I436" s="1">
        <v>0</v>
      </c>
      <c r="J436" s="1">
        <v>1</v>
      </c>
    </row>
    <row r="437" spans="1:10" x14ac:dyDescent="0.2">
      <c r="A437" s="1">
        <v>732</v>
      </c>
      <c r="B437" s="1">
        <v>0</v>
      </c>
      <c r="C437" s="1">
        <v>15</v>
      </c>
      <c r="D437" s="1">
        <v>4</v>
      </c>
      <c r="E437" s="1">
        <v>2</v>
      </c>
      <c r="F437" s="1">
        <v>4</v>
      </c>
      <c r="G437" s="1">
        <v>9</v>
      </c>
      <c r="H437" s="1">
        <v>1</v>
      </c>
      <c r="I437" s="1">
        <v>1</v>
      </c>
      <c r="J437" s="1">
        <v>1</v>
      </c>
    </row>
    <row r="438" spans="1:10" x14ac:dyDescent="0.2">
      <c r="A438" s="1">
        <v>2369</v>
      </c>
      <c r="B438" s="1">
        <v>0</v>
      </c>
      <c r="C438" s="1">
        <v>18</v>
      </c>
      <c r="D438" s="1">
        <v>5</v>
      </c>
      <c r="E438" s="1">
        <v>2</v>
      </c>
      <c r="F438" s="1">
        <v>4</v>
      </c>
      <c r="G438" s="1">
        <v>9</v>
      </c>
      <c r="H438" s="1">
        <v>1</v>
      </c>
      <c r="I438" s="1">
        <v>0</v>
      </c>
      <c r="J438" s="1">
        <v>1</v>
      </c>
    </row>
    <row r="439" spans="1:10" x14ac:dyDescent="0.2">
      <c r="A439" s="1">
        <v>287</v>
      </c>
      <c r="B439" s="1">
        <v>0</v>
      </c>
      <c r="C439" s="1">
        <v>5</v>
      </c>
      <c r="D439" s="1">
        <v>1</v>
      </c>
      <c r="E439" s="1">
        <v>3</v>
      </c>
      <c r="F439" s="1">
        <v>4</v>
      </c>
      <c r="G439" s="1">
        <v>9</v>
      </c>
      <c r="H439" s="1">
        <v>1</v>
      </c>
      <c r="I439" s="1">
        <v>2</v>
      </c>
      <c r="J439" s="1">
        <v>1</v>
      </c>
    </row>
    <row r="440" spans="1:10" x14ac:dyDescent="0.2">
      <c r="A440" s="1">
        <v>1104</v>
      </c>
      <c r="B440" s="1">
        <v>0</v>
      </c>
      <c r="C440" s="1">
        <v>12</v>
      </c>
      <c r="D440" s="1">
        <v>5</v>
      </c>
      <c r="E440" s="1">
        <v>1</v>
      </c>
      <c r="F440" s="1">
        <v>5</v>
      </c>
      <c r="G440" s="1">
        <v>9</v>
      </c>
      <c r="H440" s="1">
        <v>1</v>
      </c>
      <c r="I440" s="1">
        <v>0</v>
      </c>
      <c r="J440" s="1">
        <v>1</v>
      </c>
    </row>
    <row r="441" spans="1:10" x14ac:dyDescent="0.2">
      <c r="A441" s="1">
        <v>1203</v>
      </c>
      <c r="B441" s="1">
        <v>0</v>
      </c>
      <c r="C441" s="1">
        <v>15</v>
      </c>
      <c r="D441" s="1">
        <v>2</v>
      </c>
      <c r="E441" s="1">
        <v>1</v>
      </c>
      <c r="F441" s="1">
        <v>5</v>
      </c>
      <c r="G441" s="1">
        <v>9</v>
      </c>
      <c r="H441" s="1">
        <v>0</v>
      </c>
      <c r="I441" s="1">
        <v>0</v>
      </c>
      <c r="J441" s="1">
        <v>1</v>
      </c>
    </row>
    <row r="442" spans="1:10" x14ac:dyDescent="0.2">
      <c r="A442" s="1">
        <v>2404</v>
      </c>
      <c r="B442" s="1">
        <v>0</v>
      </c>
      <c r="C442" s="1">
        <v>7</v>
      </c>
      <c r="D442" s="1">
        <v>3</v>
      </c>
      <c r="E442" s="1">
        <v>2</v>
      </c>
      <c r="F442" s="1">
        <v>5</v>
      </c>
      <c r="G442" s="1">
        <v>9</v>
      </c>
      <c r="H442" s="1">
        <v>1</v>
      </c>
      <c r="I442" s="1">
        <v>2</v>
      </c>
      <c r="J442" s="1">
        <v>1</v>
      </c>
    </row>
    <row r="443" spans="1:10" x14ac:dyDescent="0.2">
      <c r="A443" s="1">
        <v>221</v>
      </c>
      <c r="B443" s="1">
        <v>0</v>
      </c>
      <c r="C443" s="1">
        <v>8</v>
      </c>
      <c r="D443" s="1">
        <v>5</v>
      </c>
      <c r="E443" s="1">
        <v>2</v>
      </c>
      <c r="F443" s="1">
        <v>5</v>
      </c>
      <c r="G443" s="1">
        <v>9</v>
      </c>
      <c r="H443" s="1">
        <v>0</v>
      </c>
      <c r="I443" s="1">
        <v>2</v>
      </c>
      <c r="J443" s="1">
        <v>1</v>
      </c>
    </row>
    <row r="444" spans="1:10" x14ac:dyDescent="0.2">
      <c r="A444" s="1">
        <v>1787</v>
      </c>
      <c r="B444" s="1">
        <v>0</v>
      </c>
      <c r="C444" s="1">
        <v>15</v>
      </c>
      <c r="D444" s="1">
        <v>1</v>
      </c>
      <c r="E444" s="1">
        <v>2</v>
      </c>
      <c r="F444" s="1">
        <v>5</v>
      </c>
      <c r="G444" s="1">
        <v>9</v>
      </c>
      <c r="H444" s="1">
        <v>0</v>
      </c>
      <c r="I444" s="1">
        <v>0</v>
      </c>
      <c r="J444" s="1">
        <v>1</v>
      </c>
    </row>
    <row r="445" spans="1:10" x14ac:dyDescent="0.2">
      <c r="A445" s="1">
        <v>758</v>
      </c>
      <c r="B445" s="1">
        <v>0</v>
      </c>
      <c r="C445" s="1">
        <v>17</v>
      </c>
      <c r="D445" s="1">
        <v>3</v>
      </c>
      <c r="E445" s="1">
        <v>2</v>
      </c>
      <c r="F445" s="1">
        <v>5</v>
      </c>
      <c r="G445" s="1">
        <v>9</v>
      </c>
      <c r="H445" s="1">
        <v>0</v>
      </c>
      <c r="I445" s="1">
        <v>0</v>
      </c>
      <c r="J445" s="1">
        <v>1</v>
      </c>
    </row>
    <row r="446" spans="1:10" x14ac:dyDescent="0.2">
      <c r="A446" s="1">
        <v>460</v>
      </c>
      <c r="B446" s="1">
        <v>0</v>
      </c>
      <c r="C446" s="1">
        <v>5</v>
      </c>
      <c r="D446" s="1">
        <v>5</v>
      </c>
      <c r="E446" s="1">
        <v>3</v>
      </c>
      <c r="F446" s="1">
        <v>5</v>
      </c>
      <c r="G446" s="1">
        <v>9</v>
      </c>
      <c r="H446" s="1">
        <v>0</v>
      </c>
      <c r="I446" s="1">
        <v>0</v>
      </c>
      <c r="J446" s="1">
        <v>1</v>
      </c>
    </row>
    <row r="447" spans="1:10" x14ac:dyDescent="0.2">
      <c r="A447" s="1">
        <v>1546</v>
      </c>
      <c r="B447" s="1">
        <v>0</v>
      </c>
      <c r="C447" s="1">
        <v>7</v>
      </c>
      <c r="D447" s="1">
        <v>4</v>
      </c>
      <c r="E447" s="1">
        <v>3</v>
      </c>
      <c r="F447" s="1">
        <v>5</v>
      </c>
      <c r="G447" s="1">
        <v>9</v>
      </c>
      <c r="H447" s="1">
        <v>0</v>
      </c>
      <c r="I447" s="1">
        <v>0</v>
      </c>
      <c r="J447" s="1">
        <v>1</v>
      </c>
    </row>
    <row r="448" spans="1:10" x14ac:dyDescent="0.2">
      <c r="A448" s="1">
        <v>1044</v>
      </c>
      <c r="B448" s="1">
        <v>0</v>
      </c>
      <c r="C448" s="1">
        <v>13</v>
      </c>
      <c r="D448" s="1">
        <v>2</v>
      </c>
      <c r="E448" s="1">
        <v>3</v>
      </c>
      <c r="F448" s="1">
        <v>5</v>
      </c>
      <c r="G448" s="1">
        <v>9</v>
      </c>
      <c r="H448" s="1">
        <v>1</v>
      </c>
      <c r="I448" s="1">
        <v>2</v>
      </c>
      <c r="J448" s="1">
        <v>1</v>
      </c>
    </row>
    <row r="449" spans="1:10" x14ac:dyDescent="0.2">
      <c r="A449" s="1">
        <v>1443</v>
      </c>
      <c r="B449" s="1">
        <v>0</v>
      </c>
      <c r="C449" s="1">
        <v>19</v>
      </c>
      <c r="D449" s="1">
        <v>3</v>
      </c>
      <c r="E449" s="1">
        <v>1</v>
      </c>
      <c r="F449" s="1">
        <v>6</v>
      </c>
      <c r="G449" s="1">
        <v>9</v>
      </c>
      <c r="H449" s="1">
        <v>1</v>
      </c>
      <c r="I449" s="1">
        <v>1</v>
      </c>
      <c r="J449" s="1">
        <v>1</v>
      </c>
    </row>
    <row r="450" spans="1:10" x14ac:dyDescent="0.2">
      <c r="A450" s="1">
        <v>1843</v>
      </c>
      <c r="B450" s="1">
        <v>0</v>
      </c>
      <c r="C450" s="1">
        <v>5</v>
      </c>
      <c r="D450" s="1">
        <v>5</v>
      </c>
      <c r="E450" s="1">
        <v>3</v>
      </c>
      <c r="F450" s="1">
        <v>6</v>
      </c>
      <c r="G450" s="1">
        <v>9</v>
      </c>
      <c r="H450" s="1">
        <v>1</v>
      </c>
      <c r="I450" s="1">
        <v>2</v>
      </c>
      <c r="J450" s="1">
        <v>1</v>
      </c>
    </row>
    <row r="451" spans="1:10" x14ac:dyDescent="0.2">
      <c r="A451" s="1">
        <v>936</v>
      </c>
      <c r="B451" s="1">
        <v>0</v>
      </c>
      <c r="C451" s="1">
        <v>12</v>
      </c>
      <c r="D451" s="1">
        <v>2</v>
      </c>
      <c r="E451" s="1">
        <v>3</v>
      </c>
      <c r="F451" s="1">
        <v>6</v>
      </c>
      <c r="G451" s="1">
        <v>9</v>
      </c>
      <c r="H451" s="1">
        <v>1</v>
      </c>
      <c r="I451" s="1">
        <v>1</v>
      </c>
      <c r="J451" s="1">
        <v>1</v>
      </c>
    </row>
    <row r="452" spans="1:10" x14ac:dyDescent="0.2">
      <c r="A452" s="1">
        <v>886</v>
      </c>
      <c r="B452" s="1">
        <v>0</v>
      </c>
      <c r="C452" s="1">
        <v>15</v>
      </c>
      <c r="D452" s="1">
        <v>2</v>
      </c>
      <c r="E452" s="1">
        <v>1</v>
      </c>
      <c r="F452" s="1">
        <v>7</v>
      </c>
      <c r="G452" s="1">
        <v>9</v>
      </c>
      <c r="H452" s="1">
        <v>1</v>
      </c>
      <c r="I452" s="1">
        <v>1</v>
      </c>
      <c r="J452" s="1">
        <v>1</v>
      </c>
    </row>
    <row r="453" spans="1:10" x14ac:dyDescent="0.2">
      <c r="A453" s="1">
        <v>909</v>
      </c>
      <c r="B453" s="1">
        <v>0</v>
      </c>
      <c r="C453" s="1">
        <v>17</v>
      </c>
      <c r="D453" s="1">
        <v>4</v>
      </c>
      <c r="E453" s="1">
        <v>2</v>
      </c>
      <c r="F453" s="1">
        <v>7</v>
      </c>
      <c r="G453" s="1">
        <v>9</v>
      </c>
      <c r="H453" s="1">
        <v>0</v>
      </c>
      <c r="I453" s="1">
        <v>3</v>
      </c>
      <c r="J453" s="1">
        <v>1</v>
      </c>
    </row>
    <row r="454" spans="1:10" x14ac:dyDescent="0.2">
      <c r="A454" s="1">
        <v>497</v>
      </c>
      <c r="B454" s="1">
        <v>0</v>
      </c>
      <c r="C454" s="1">
        <v>8</v>
      </c>
      <c r="D454" s="1">
        <v>2</v>
      </c>
      <c r="E454" s="1">
        <v>3</v>
      </c>
      <c r="F454" s="1">
        <v>7</v>
      </c>
      <c r="G454" s="1">
        <v>9</v>
      </c>
      <c r="H454" s="1">
        <v>1</v>
      </c>
      <c r="I454" s="1">
        <v>2</v>
      </c>
      <c r="J454" s="1">
        <v>1</v>
      </c>
    </row>
    <row r="455" spans="1:10" x14ac:dyDescent="0.2">
      <c r="A455" s="1">
        <v>1499</v>
      </c>
      <c r="B455" s="1">
        <v>0</v>
      </c>
      <c r="C455" s="1">
        <v>8</v>
      </c>
      <c r="D455" s="1">
        <v>3</v>
      </c>
      <c r="E455" s="1">
        <v>3</v>
      </c>
      <c r="F455" s="1">
        <v>7</v>
      </c>
      <c r="G455" s="1">
        <v>9</v>
      </c>
      <c r="H455" s="1">
        <v>0</v>
      </c>
      <c r="I455" s="1">
        <v>0</v>
      </c>
      <c r="J455" s="1">
        <v>1</v>
      </c>
    </row>
    <row r="456" spans="1:10" x14ac:dyDescent="0.2">
      <c r="A456" s="1">
        <v>328</v>
      </c>
      <c r="B456" s="1">
        <v>0</v>
      </c>
      <c r="C456" s="1">
        <v>10</v>
      </c>
      <c r="D456" s="1">
        <v>5</v>
      </c>
      <c r="E456" s="1">
        <v>3</v>
      </c>
      <c r="F456" s="1">
        <v>7</v>
      </c>
      <c r="G456" s="1">
        <v>9</v>
      </c>
      <c r="H456" s="1">
        <v>1</v>
      </c>
      <c r="I456" s="1">
        <v>1</v>
      </c>
      <c r="J456" s="1">
        <v>1</v>
      </c>
    </row>
    <row r="457" spans="1:10" x14ac:dyDescent="0.2">
      <c r="A457" s="1">
        <v>1285</v>
      </c>
      <c r="B457" s="1">
        <v>0</v>
      </c>
      <c r="C457" s="1">
        <v>14</v>
      </c>
      <c r="D457" s="1">
        <v>2</v>
      </c>
      <c r="E457" s="1">
        <v>3</v>
      </c>
      <c r="F457" s="1">
        <v>7</v>
      </c>
      <c r="G457" s="1">
        <v>9</v>
      </c>
      <c r="H457" s="1">
        <v>0</v>
      </c>
      <c r="I457" s="1">
        <v>1</v>
      </c>
      <c r="J457" s="1">
        <v>1</v>
      </c>
    </row>
    <row r="458" spans="1:10" x14ac:dyDescent="0.2">
      <c r="A458" s="1">
        <v>2403</v>
      </c>
      <c r="B458" s="1">
        <v>0</v>
      </c>
      <c r="C458" s="1">
        <v>9</v>
      </c>
      <c r="D458" s="1">
        <v>5</v>
      </c>
      <c r="E458" s="1">
        <v>2</v>
      </c>
      <c r="F458" s="1">
        <v>8</v>
      </c>
      <c r="G458" s="1">
        <v>9</v>
      </c>
      <c r="H458" s="1">
        <v>1</v>
      </c>
      <c r="I458" s="1">
        <v>2</v>
      </c>
      <c r="J458" s="1">
        <v>1</v>
      </c>
    </row>
    <row r="459" spans="1:10" x14ac:dyDescent="0.2">
      <c r="A459" s="1">
        <v>1493</v>
      </c>
      <c r="B459" s="1">
        <v>0</v>
      </c>
      <c r="C459" s="1">
        <v>11</v>
      </c>
      <c r="D459" s="1">
        <v>2</v>
      </c>
      <c r="E459" s="1">
        <v>3</v>
      </c>
      <c r="F459" s="1">
        <v>8</v>
      </c>
      <c r="G459" s="1">
        <v>9</v>
      </c>
      <c r="H459" s="1">
        <v>0</v>
      </c>
      <c r="I459" s="1">
        <v>2</v>
      </c>
      <c r="J459" s="1">
        <v>1</v>
      </c>
    </row>
    <row r="460" spans="1:10" x14ac:dyDescent="0.2">
      <c r="A460" s="1">
        <v>830</v>
      </c>
      <c r="B460" s="1">
        <v>0</v>
      </c>
      <c r="C460" s="1">
        <v>5</v>
      </c>
      <c r="D460" s="1">
        <v>4</v>
      </c>
      <c r="E460" s="1">
        <v>1</v>
      </c>
      <c r="F460" s="1">
        <v>9</v>
      </c>
      <c r="G460" s="1">
        <v>9</v>
      </c>
      <c r="H460" s="1">
        <v>0</v>
      </c>
      <c r="I460" s="1">
        <v>1</v>
      </c>
      <c r="J460" s="1">
        <v>1</v>
      </c>
    </row>
    <row r="461" spans="1:10" x14ac:dyDescent="0.2">
      <c r="A461" s="1">
        <v>769</v>
      </c>
      <c r="B461" s="1">
        <v>0</v>
      </c>
      <c r="C461" s="1">
        <v>8</v>
      </c>
      <c r="D461" s="1">
        <v>2</v>
      </c>
      <c r="E461" s="1">
        <v>3</v>
      </c>
      <c r="F461" s="1">
        <v>9</v>
      </c>
      <c r="G461" s="1">
        <v>9</v>
      </c>
      <c r="H461" s="1">
        <v>1</v>
      </c>
      <c r="I461" s="1">
        <v>1</v>
      </c>
      <c r="J461" s="1">
        <v>1</v>
      </c>
    </row>
    <row r="462" spans="1:10" x14ac:dyDescent="0.2">
      <c r="A462" s="1">
        <v>587</v>
      </c>
      <c r="B462" s="1">
        <v>0</v>
      </c>
      <c r="C462" s="1">
        <v>5</v>
      </c>
      <c r="D462" s="1">
        <v>5</v>
      </c>
      <c r="E462" s="1">
        <v>2</v>
      </c>
      <c r="F462" s="1">
        <v>10</v>
      </c>
      <c r="G462" s="1">
        <v>9</v>
      </c>
      <c r="H462" s="1">
        <v>1</v>
      </c>
      <c r="I462" s="1">
        <v>3</v>
      </c>
      <c r="J462" s="1">
        <v>1</v>
      </c>
    </row>
    <row r="463" spans="1:10" x14ac:dyDescent="0.2">
      <c r="A463" s="1">
        <v>2425</v>
      </c>
      <c r="B463" s="1">
        <v>0</v>
      </c>
      <c r="C463" s="1">
        <v>19</v>
      </c>
      <c r="D463" s="1">
        <v>4</v>
      </c>
      <c r="E463" s="1">
        <v>3</v>
      </c>
      <c r="F463" s="1">
        <v>10</v>
      </c>
      <c r="G463" s="1">
        <v>9</v>
      </c>
      <c r="H463" s="1">
        <v>0</v>
      </c>
      <c r="I463" s="1">
        <v>1</v>
      </c>
      <c r="J463" s="1">
        <v>1</v>
      </c>
    </row>
    <row r="464" spans="1:10" x14ac:dyDescent="0.2">
      <c r="A464" s="1">
        <v>2156</v>
      </c>
      <c r="B464" s="1">
        <v>0</v>
      </c>
      <c r="C464" s="1">
        <v>7</v>
      </c>
      <c r="D464" s="1">
        <v>4</v>
      </c>
      <c r="E464" s="1">
        <v>1</v>
      </c>
      <c r="F464" s="1">
        <v>1</v>
      </c>
      <c r="G464" s="1">
        <v>10</v>
      </c>
      <c r="H464" s="1">
        <v>0</v>
      </c>
      <c r="I464" s="1">
        <v>1</v>
      </c>
      <c r="J464" s="1">
        <v>1</v>
      </c>
    </row>
    <row r="465" spans="1:10" x14ac:dyDescent="0.2">
      <c r="A465" s="1">
        <v>1587</v>
      </c>
      <c r="B465" s="1">
        <v>0</v>
      </c>
      <c r="C465" s="1">
        <v>6</v>
      </c>
      <c r="D465" s="1">
        <v>3</v>
      </c>
      <c r="E465" s="1">
        <v>2</v>
      </c>
      <c r="F465" s="1">
        <v>1</v>
      </c>
      <c r="G465" s="1">
        <v>10</v>
      </c>
      <c r="H465" s="1">
        <v>1</v>
      </c>
      <c r="I465" s="1">
        <v>0</v>
      </c>
      <c r="J465" s="1">
        <v>1</v>
      </c>
    </row>
    <row r="466" spans="1:10" x14ac:dyDescent="0.2">
      <c r="A466" s="1">
        <v>83</v>
      </c>
      <c r="B466" s="1">
        <v>0</v>
      </c>
      <c r="C466" s="1">
        <v>7</v>
      </c>
      <c r="D466" s="1">
        <v>4</v>
      </c>
      <c r="E466" s="1">
        <v>2</v>
      </c>
      <c r="F466" s="1">
        <v>1</v>
      </c>
      <c r="G466" s="1">
        <v>10</v>
      </c>
      <c r="H466" s="1">
        <v>1</v>
      </c>
      <c r="I466" s="1">
        <v>2</v>
      </c>
      <c r="J466" s="1">
        <v>1</v>
      </c>
    </row>
    <row r="467" spans="1:10" x14ac:dyDescent="0.2">
      <c r="A467" s="1">
        <v>1252</v>
      </c>
      <c r="B467" s="1">
        <v>0</v>
      </c>
      <c r="C467" s="1">
        <v>18</v>
      </c>
      <c r="D467" s="1">
        <v>1</v>
      </c>
      <c r="E467" s="1">
        <v>2</v>
      </c>
      <c r="F467" s="1">
        <v>1</v>
      </c>
      <c r="G467" s="1">
        <v>10</v>
      </c>
      <c r="H467" s="1">
        <v>0</v>
      </c>
      <c r="I467" s="1">
        <v>1</v>
      </c>
      <c r="J467" s="1">
        <v>1</v>
      </c>
    </row>
    <row r="468" spans="1:10" x14ac:dyDescent="0.2">
      <c r="A468" s="1">
        <v>714</v>
      </c>
      <c r="B468" s="1">
        <v>0</v>
      </c>
      <c r="C468" s="1">
        <v>10</v>
      </c>
      <c r="D468" s="1">
        <v>2</v>
      </c>
      <c r="E468" s="1">
        <v>3</v>
      </c>
      <c r="F468" s="1">
        <v>1</v>
      </c>
      <c r="G468" s="1">
        <v>10</v>
      </c>
      <c r="H468" s="1">
        <v>1</v>
      </c>
      <c r="I468" s="1">
        <v>3</v>
      </c>
      <c r="J468" s="1">
        <v>1</v>
      </c>
    </row>
    <row r="469" spans="1:10" x14ac:dyDescent="0.2">
      <c r="A469" s="1">
        <v>620</v>
      </c>
      <c r="B469" s="1">
        <v>0</v>
      </c>
      <c r="C469" s="1">
        <v>20</v>
      </c>
      <c r="D469" s="1">
        <v>2</v>
      </c>
      <c r="E469" s="1">
        <v>3</v>
      </c>
      <c r="F469" s="1">
        <v>1</v>
      </c>
      <c r="G469" s="1">
        <v>10</v>
      </c>
      <c r="H469" s="1">
        <v>0</v>
      </c>
      <c r="I469" s="1">
        <v>3</v>
      </c>
      <c r="J469" s="1">
        <v>1</v>
      </c>
    </row>
    <row r="470" spans="1:10" x14ac:dyDescent="0.2">
      <c r="A470" s="1">
        <v>1077</v>
      </c>
      <c r="B470" s="1">
        <v>0</v>
      </c>
      <c r="C470" s="1">
        <v>20</v>
      </c>
      <c r="D470" s="1">
        <v>2</v>
      </c>
      <c r="E470" s="1">
        <v>3</v>
      </c>
      <c r="F470" s="1">
        <v>1</v>
      </c>
      <c r="G470" s="1">
        <v>10</v>
      </c>
      <c r="H470" s="1">
        <v>1</v>
      </c>
      <c r="I470" s="1">
        <v>3</v>
      </c>
      <c r="J470" s="1">
        <v>1</v>
      </c>
    </row>
    <row r="471" spans="1:10" x14ac:dyDescent="0.2">
      <c r="A471" s="1">
        <v>1615</v>
      </c>
      <c r="B471" s="1">
        <v>0</v>
      </c>
      <c r="C471" s="1">
        <v>16</v>
      </c>
      <c r="D471" s="1">
        <v>5</v>
      </c>
      <c r="E471" s="1">
        <v>1</v>
      </c>
      <c r="F471" s="1">
        <v>2</v>
      </c>
      <c r="G471" s="1">
        <v>10</v>
      </c>
      <c r="H471" s="1">
        <v>1</v>
      </c>
      <c r="I471" s="1">
        <v>1</v>
      </c>
      <c r="J471" s="1">
        <v>1</v>
      </c>
    </row>
    <row r="472" spans="1:10" x14ac:dyDescent="0.2">
      <c r="A472" s="1">
        <v>554</v>
      </c>
      <c r="B472" s="1">
        <v>0</v>
      </c>
      <c r="C472" s="1">
        <v>13</v>
      </c>
      <c r="D472" s="1">
        <v>5</v>
      </c>
      <c r="E472" s="1">
        <v>2</v>
      </c>
      <c r="F472" s="1">
        <v>2</v>
      </c>
      <c r="G472" s="1">
        <v>10</v>
      </c>
      <c r="H472" s="1">
        <v>1</v>
      </c>
      <c r="I472" s="1">
        <v>2</v>
      </c>
      <c r="J472" s="1">
        <v>1</v>
      </c>
    </row>
    <row r="473" spans="1:10" x14ac:dyDescent="0.2">
      <c r="A473" s="1">
        <v>1516</v>
      </c>
      <c r="B473" s="1">
        <v>0</v>
      </c>
      <c r="C473" s="1">
        <v>9</v>
      </c>
      <c r="D473" s="1">
        <v>3</v>
      </c>
      <c r="E473" s="1">
        <v>3</v>
      </c>
      <c r="F473" s="1">
        <v>2</v>
      </c>
      <c r="G473" s="1">
        <v>10</v>
      </c>
      <c r="H473" s="1">
        <v>0</v>
      </c>
      <c r="I473" s="1">
        <v>1</v>
      </c>
      <c r="J473" s="1">
        <v>1</v>
      </c>
    </row>
    <row r="474" spans="1:10" x14ac:dyDescent="0.2">
      <c r="A474" s="1">
        <v>1565</v>
      </c>
      <c r="B474" s="1">
        <v>0</v>
      </c>
      <c r="C474" s="1">
        <v>11</v>
      </c>
      <c r="D474" s="1">
        <v>3</v>
      </c>
      <c r="E474" s="1">
        <v>3</v>
      </c>
      <c r="F474" s="1">
        <v>2</v>
      </c>
      <c r="G474" s="1">
        <v>10</v>
      </c>
      <c r="H474" s="1">
        <v>0</v>
      </c>
      <c r="I474" s="1">
        <v>2</v>
      </c>
      <c r="J474" s="1">
        <v>1</v>
      </c>
    </row>
    <row r="475" spans="1:10" x14ac:dyDescent="0.2">
      <c r="A475" s="1">
        <v>1560</v>
      </c>
      <c r="B475" s="1">
        <v>0</v>
      </c>
      <c r="C475" s="1">
        <v>15</v>
      </c>
      <c r="D475" s="1">
        <v>4</v>
      </c>
      <c r="E475" s="1">
        <v>3</v>
      </c>
      <c r="F475" s="1">
        <v>2</v>
      </c>
      <c r="G475" s="1">
        <v>10</v>
      </c>
      <c r="H475" s="1">
        <v>1</v>
      </c>
      <c r="I475" s="1">
        <v>3</v>
      </c>
      <c r="J475" s="1">
        <v>1</v>
      </c>
    </row>
    <row r="476" spans="1:10" x14ac:dyDescent="0.2">
      <c r="A476" s="1">
        <v>1584</v>
      </c>
      <c r="B476" s="1">
        <v>0</v>
      </c>
      <c r="C476" s="1">
        <v>9</v>
      </c>
      <c r="D476" s="1">
        <v>1</v>
      </c>
      <c r="E476" s="1">
        <v>1</v>
      </c>
      <c r="F476" s="1">
        <v>3</v>
      </c>
      <c r="G476" s="1">
        <v>10</v>
      </c>
      <c r="H476" s="1">
        <v>1</v>
      </c>
      <c r="I476" s="1">
        <v>3</v>
      </c>
      <c r="J476" s="1">
        <v>1</v>
      </c>
    </row>
    <row r="477" spans="1:10" x14ac:dyDescent="0.2">
      <c r="A477" s="1">
        <v>2011</v>
      </c>
      <c r="B477" s="1">
        <v>0</v>
      </c>
      <c r="C477" s="1">
        <v>9</v>
      </c>
      <c r="D477" s="1">
        <v>3</v>
      </c>
      <c r="E477" s="1">
        <v>1</v>
      </c>
      <c r="F477" s="1">
        <v>3</v>
      </c>
      <c r="G477" s="1">
        <v>10</v>
      </c>
      <c r="H477" s="1">
        <v>0</v>
      </c>
      <c r="I477" s="1">
        <v>2</v>
      </c>
      <c r="J477" s="1">
        <v>1</v>
      </c>
    </row>
    <row r="478" spans="1:10" x14ac:dyDescent="0.2">
      <c r="A478" s="1">
        <v>1369</v>
      </c>
      <c r="B478" s="1">
        <v>0</v>
      </c>
      <c r="C478" s="1">
        <v>14</v>
      </c>
      <c r="D478" s="1">
        <v>4</v>
      </c>
      <c r="E478" s="1">
        <v>1</v>
      </c>
      <c r="F478" s="1">
        <v>3</v>
      </c>
      <c r="G478" s="1">
        <v>10</v>
      </c>
      <c r="H478" s="1">
        <v>1</v>
      </c>
      <c r="I478" s="1">
        <v>2</v>
      </c>
      <c r="J478" s="1">
        <v>1</v>
      </c>
    </row>
    <row r="479" spans="1:10" x14ac:dyDescent="0.2">
      <c r="A479" s="1">
        <v>153</v>
      </c>
      <c r="B479" s="1">
        <v>0</v>
      </c>
      <c r="C479" s="1">
        <v>17</v>
      </c>
      <c r="D479" s="1">
        <v>4</v>
      </c>
      <c r="E479" s="1">
        <v>1</v>
      </c>
      <c r="F479" s="1">
        <v>3</v>
      </c>
      <c r="G479" s="1">
        <v>10</v>
      </c>
      <c r="H479" s="1">
        <v>1</v>
      </c>
      <c r="I479" s="1">
        <v>0</v>
      </c>
      <c r="J479" s="1">
        <v>1</v>
      </c>
    </row>
    <row r="480" spans="1:10" x14ac:dyDescent="0.2">
      <c r="A480" s="1">
        <v>1484</v>
      </c>
      <c r="B480" s="1">
        <v>0</v>
      </c>
      <c r="C480" s="1">
        <v>20</v>
      </c>
      <c r="D480" s="1">
        <v>5</v>
      </c>
      <c r="E480" s="1">
        <v>1</v>
      </c>
      <c r="F480" s="1">
        <v>3</v>
      </c>
      <c r="G480" s="1">
        <v>10</v>
      </c>
      <c r="H480" s="1">
        <v>1</v>
      </c>
      <c r="I480" s="1">
        <v>2</v>
      </c>
      <c r="J480" s="1">
        <v>1</v>
      </c>
    </row>
    <row r="481" spans="1:10" x14ac:dyDescent="0.2">
      <c r="A481" s="1">
        <v>141</v>
      </c>
      <c r="B481" s="1">
        <v>0</v>
      </c>
      <c r="C481" s="1">
        <v>5</v>
      </c>
      <c r="D481" s="1">
        <v>3</v>
      </c>
      <c r="E481" s="1">
        <v>2</v>
      </c>
      <c r="F481" s="1">
        <v>3</v>
      </c>
      <c r="G481" s="1">
        <v>10</v>
      </c>
      <c r="H481" s="1">
        <v>1</v>
      </c>
      <c r="I481" s="1">
        <v>1</v>
      </c>
      <c r="J481" s="1">
        <v>1</v>
      </c>
    </row>
    <row r="482" spans="1:10" x14ac:dyDescent="0.2">
      <c r="A482" s="1">
        <v>1930</v>
      </c>
      <c r="B482" s="1">
        <v>0</v>
      </c>
      <c r="C482" s="1">
        <v>5</v>
      </c>
      <c r="D482" s="1">
        <v>5</v>
      </c>
      <c r="E482" s="1">
        <v>2</v>
      </c>
      <c r="F482" s="1">
        <v>3</v>
      </c>
      <c r="G482" s="1">
        <v>10</v>
      </c>
      <c r="H482" s="1">
        <v>0</v>
      </c>
      <c r="I482" s="1">
        <v>3</v>
      </c>
      <c r="J482" s="1">
        <v>1</v>
      </c>
    </row>
    <row r="483" spans="1:10" x14ac:dyDescent="0.2">
      <c r="A483" s="1">
        <v>1667</v>
      </c>
      <c r="B483" s="1">
        <v>0</v>
      </c>
      <c r="C483" s="1">
        <v>9</v>
      </c>
      <c r="D483" s="1">
        <v>5</v>
      </c>
      <c r="E483" s="1">
        <v>3</v>
      </c>
      <c r="F483" s="1">
        <v>3</v>
      </c>
      <c r="G483" s="1">
        <v>10</v>
      </c>
      <c r="H483" s="1">
        <v>1</v>
      </c>
      <c r="I483" s="1">
        <v>2</v>
      </c>
      <c r="J483" s="1">
        <v>1</v>
      </c>
    </row>
    <row r="484" spans="1:10" x14ac:dyDescent="0.2">
      <c r="A484" s="1">
        <v>76</v>
      </c>
      <c r="B484" s="1">
        <v>0</v>
      </c>
      <c r="C484" s="1">
        <v>12</v>
      </c>
      <c r="D484" s="1">
        <v>3</v>
      </c>
      <c r="E484" s="1">
        <v>3</v>
      </c>
      <c r="F484" s="1">
        <v>3</v>
      </c>
      <c r="G484" s="1">
        <v>10</v>
      </c>
      <c r="H484" s="1">
        <v>1</v>
      </c>
      <c r="I484" s="1">
        <v>1</v>
      </c>
      <c r="J484" s="1">
        <v>1</v>
      </c>
    </row>
    <row r="485" spans="1:10" x14ac:dyDescent="0.2">
      <c r="A485" s="1">
        <v>1712</v>
      </c>
      <c r="B485" s="1">
        <v>0</v>
      </c>
      <c r="C485" s="1">
        <v>8</v>
      </c>
      <c r="D485" s="1">
        <v>2</v>
      </c>
      <c r="E485" s="1">
        <v>1</v>
      </c>
      <c r="F485" s="1">
        <v>4</v>
      </c>
      <c r="G485" s="1">
        <v>10</v>
      </c>
      <c r="H485" s="1">
        <v>1</v>
      </c>
      <c r="I485" s="1">
        <v>2</v>
      </c>
      <c r="J485" s="1">
        <v>1</v>
      </c>
    </row>
    <row r="486" spans="1:10" x14ac:dyDescent="0.2">
      <c r="A486" s="1">
        <v>1933</v>
      </c>
      <c r="B486" s="1">
        <v>0</v>
      </c>
      <c r="C486" s="1">
        <v>16</v>
      </c>
      <c r="D486" s="1">
        <v>2</v>
      </c>
      <c r="E486" s="1">
        <v>1</v>
      </c>
      <c r="F486" s="1">
        <v>4</v>
      </c>
      <c r="G486" s="1">
        <v>10</v>
      </c>
      <c r="H486" s="1">
        <v>1</v>
      </c>
      <c r="I486" s="1">
        <v>1</v>
      </c>
      <c r="J486" s="1">
        <v>1</v>
      </c>
    </row>
    <row r="487" spans="1:10" x14ac:dyDescent="0.2">
      <c r="A487" s="1">
        <v>2095</v>
      </c>
      <c r="B487" s="1">
        <v>0</v>
      </c>
      <c r="C487" s="1">
        <v>8</v>
      </c>
      <c r="D487" s="1">
        <v>2</v>
      </c>
      <c r="E487" s="1">
        <v>2</v>
      </c>
      <c r="F487" s="1">
        <v>4</v>
      </c>
      <c r="G487" s="1">
        <v>10</v>
      </c>
      <c r="H487" s="1">
        <v>0</v>
      </c>
      <c r="I487" s="1">
        <v>2</v>
      </c>
      <c r="J487" s="1">
        <v>1</v>
      </c>
    </row>
    <row r="488" spans="1:10" x14ac:dyDescent="0.2">
      <c r="A488" s="1">
        <v>1800</v>
      </c>
      <c r="B488" s="1">
        <v>0</v>
      </c>
      <c r="C488" s="1">
        <v>8</v>
      </c>
      <c r="D488" s="1">
        <v>4</v>
      </c>
      <c r="E488" s="1">
        <v>3</v>
      </c>
      <c r="F488" s="1">
        <v>4</v>
      </c>
      <c r="G488" s="1">
        <v>10</v>
      </c>
      <c r="H488" s="1">
        <v>1</v>
      </c>
      <c r="I488" s="1">
        <v>3</v>
      </c>
      <c r="J488" s="1">
        <v>1</v>
      </c>
    </row>
    <row r="489" spans="1:10" x14ac:dyDescent="0.2">
      <c r="A489" s="1">
        <v>1515</v>
      </c>
      <c r="B489" s="1">
        <v>0</v>
      </c>
      <c r="C489" s="1">
        <v>16</v>
      </c>
      <c r="D489" s="1">
        <v>3</v>
      </c>
      <c r="E489" s="1">
        <v>3</v>
      </c>
      <c r="F489" s="1">
        <v>4</v>
      </c>
      <c r="G489" s="1">
        <v>10</v>
      </c>
      <c r="H489" s="1">
        <v>0</v>
      </c>
      <c r="I489" s="1">
        <v>3</v>
      </c>
      <c r="J489" s="1">
        <v>1</v>
      </c>
    </row>
    <row r="490" spans="1:10" x14ac:dyDescent="0.2">
      <c r="A490" s="1">
        <v>433</v>
      </c>
      <c r="B490" s="1">
        <v>0</v>
      </c>
      <c r="C490" s="1">
        <v>20</v>
      </c>
      <c r="D490" s="1">
        <v>5</v>
      </c>
      <c r="E490" s="1">
        <v>3</v>
      </c>
      <c r="F490" s="1">
        <v>4</v>
      </c>
      <c r="G490" s="1">
        <v>10</v>
      </c>
      <c r="H490" s="1">
        <v>1</v>
      </c>
      <c r="I490" s="1">
        <v>2</v>
      </c>
      <c r="J490" s="1">
        <v>1</v>
      </c>
    </row>
    <row r="491" spans="1:10" x14ac:dyDescent="0.2">
      <c r="A491" s="1">
        <v>436</v>
      </c>
      <c r="B491" s="1">
        <v>0</v>
      </c>
      <c r="C491" s="1">
        <v>16</v>
      </c>
      <c r="D491" s="1">
        <v>1</v>
      </c>
      <c r="E491" s="1">
        <v>1</v>
      </c>
      <c r="F491" s="1">
        <v>5</v>
      </c>
      <c r="G491" s="1">
        <v>10</v>
      </c>
      <c r="H491" s="1">
        <v>1</v>
      </c>
      <c r="I491" s="1">
        <v>1</v>
      </c>
      <c r="J491" s="1">
        <v>1</v>
      </c>
    </row>
    <row r="492" spans="1:10" x14ac:dyDescent="0.2">
      <c r="A492" s="1">
        <v>2165</v>
      </c>
      <c r="B492" s="1">
        <v>0</v>
      </c>
      <c r="C492" s="1">
        <v>5</v>
      </c>
      <c r="D492" s="1">
        <v>1</v>
      </c>
      <c r="E492" s="1">
        <v>2</v>
      </c>
      <c r="F492" s="1">
        <v>5</v>
      </c>
      <c r="G492" s="1">
        <v>10</v>
      </c>
      <c r="H492" s="1">
        <v>0</v>
      </c>
      <c r="I492" s="1">
        <v>1</v>
      </c>
      <c r="J492" s="1">
        <v>1</v>
      </c>
    </row>
    <row r="493" spans="1:10" x14ac:dyDescent="0.2">
      <c r="A493" s="1">
        <v>927</v>
      </c>
      <c r="B493" s="1">
        <v>0</v>
      </c>
      <c r="C493" s="1">
        <v>7</v>
      </c>
      <c r="D493" s="1">
        <v>3</v>
      </c>
      <c r="E493" s="1">
        <v>2</v>
      </c>
      <c r="F493" s="1">
        <v>5</v>
      </c>
      <c r="G493" s="1">
        <v>10</v>
      </c>
      <c r="H493" s="1">
        <v>1</v>
      </c>
      <c r="I493" s="1">
        <v>2</v>
      </c>
      <c r="J493" s="1">
        <v>1</v>
      </c>
    </row>
    <row r="494" spans="1:10" x14ac:dyDescent="0.2">
      <c r="A494" s="1">
        <v>115</v>
      </c>
      <c r="B494" s="1">
        <v>0</v>
      </c>
      <c r="C494" s="1">
        <v>12</v>
      </c>
      <c r="D494" s="1">
        <v>4</v>
      </c>
      <c r="E494" s="1">
        <v>3</v>
      </c>
      <c r="F494" s="1">
        <v>5</v>
      </c>
      <c r="G494" s="1">
        <v>10</v>
      </c>
      <c r="H494" s="1">
        <v>0</v>
      </c>
      <c r="I494" s="1">
        <v>1</v>
      </c>
      <c r="J494" s="1">
        <v>1</v>
      </c>
    </row>
    <row r="495" spans="1:10" x14ac:dyDescent="0.2">
      <c r="A495" s="1">
        <v>263</v>
      </c>
      <c r="B495" s="1">
        <v>0</v>
      </c>
      <c r="C495" s="1">
        <v>6</v>
      </c>
      <c r="D495" s="1">
        <v>1</v>
      </c>
      <c r="E495" s="1">
        <v>1</v>
      </c>
      <c r="F495" s="1">
        <v>6</v>
      </c>
      <c r="G495" s="1">
        <v>10</v>
      </c>
      <c r="H495" s="1">
        <v>0</v>
      </c>
      <c r="I495" s="1">
        <v>0</v>
      </c>
      <c r="J495" s="1">
        <v>1</v>
      </c>
    </row>
    <row r="496" spans="1:10" x14ac:dyDescent="0.2">
      <c r="A496" s="1">
        <v>1110</v>
      </c>
      <c r="B496" s="1">
        <v>0</v>
      </c>
      <c r="C496" s="1">
        <v>15</v>
      </c>
      <c r="D496" s="1">
        <v>3</v>
      </c>
      <c r="E496" s="1">
        <v>1</v>
      </c>
      <c r="F496" s="1">
        <v>6</v>
      </c>
      <c r="G496" s="1">
        <v>10</v>
      </c>
      <c r="H496" s="1">
        <v>1</v>
      </c>
      <c r="I496" s="1">
        <v>0</v>
      </c>
      <c r="J496" s="1">
        <v>1</v>
      </c>
    </row>
    <row r="497" spans="1:10" x14ac:dyDescent="0.2">
      <c r="A497" s="1">
        <v>1325</v>
      </c>
      <c r="B497" s="1">
        <v>0</v>
      </c>
      <c r="C497" s="1">
        <v>17</v>
      </c>
      <c r="D497" s="1">
        <v>4</v>
      </c>
      <c r="E497" s="1">
        <v>1</v>
      </c>
      <c r="F497" s="1">
        <v>6</v>
      </c>
      <c r="G497" s="1">
        <v>10</v>
      </c>
      <c r="H497" s="1">
        <v>0</v>
      </c>
      <c r="I497" s="1">
        <v>0</v>
      </c>
      <c r="J497" s="1">
        <v>1</v>
      </c>
    </row>
    <row r="498" spans="1:10" x14ac:dyDescent="0.2">
      <c r="A498" s="1">
        <v>151</v>
      </c>
      <c r="B498" s="1">
        <v>0</v>
      </c>
      <c r="C498" s="1">
        <v>10</v>
      </c>
      <c r="D498" s="1">
        <v>1</v>
      </c>
      <c r="E498" s="1">
        <v>2</v>
      </c>
      <c r="F498" s="1">
        <v>6</v>
      </c>
      <c r="G498" s="1">
        <v>10</v>
      </c>
      <c r="H498" s="1">
        <v>1</v>
      </c>
      <c r="I498" s="1">
        <v>1</v>
      </c>
      <c r="J498" s="1">
        <v>1</v>
      </c>
    </row>
    <row r="499" spans="1:10" x14ac:dyDescent="0.2">
      <c r="A499" s="1">
        <v>550</v>
      </c>
      <c r="B499" s="1">
        <v>0</v>
      </c>
      <c r="C499" s="1">
        <v>20</v>
      </c>
      <c r="D499" s="1">
        <v>4</v>
      </c>
      <c r="E499" s="1">
        <v>2</v>
      </c>
      <c r="F499" s="1">
        <v>6</v>
      </c>
      <c r="G499" s="1">
        <v>10</v>
      </c>
      <c r="H499" s="1">
        <v>1</v>
      </c>
      <c r="I499" s="1">
        <v>1</v>
      </c>
      <c r="J499" s="1">
        <v>1</v>
      </c>
    </row>
    <row r="500" spans="1:10" x14ac:dyDescent="0.2">
      <c r="A500" s="1">
        <v>274</v>
      </c>
      <c r="B500" s="1">
        <v>0</v>
      </c>
      <c r="C500" s="1">
        <v>5</v>
      </c>
      <c r="D500" s="1">
        <v>5</v>
      </c>
      <c r="E500" s="1">
        <v>3</v>
      </c>
      <c r="F500" s="1">
        <v>6</v>
      </c>
      <c r="G500" s="1">
        <v>10</v>
      </c>
      <c r="H500" s="1">
        <v>0</v>
      </c>
      <c r="I500" s="1">
        <v>1</v>
      </c>
      <c r="J500" s="1">
        <v>1</v>
      </c>
    </row>
    <row r="501" spans="1:10" x14ac:dyDescent="0.2">
      <c r="A501" s="1">
        <v>671</v>
      </c>
      <c r="B501" s="1">
        <v>0</v>
      </c>
      <c r="C501" s="1">
        <v>6</v>
      </c>
      <c r="D501" s="1">
        <v>1</v>
      </c>
      <c r="E501" s="1">
        <v>3</v>
      </c>
      <c r="F501" s="1">
        <v>6</v>
      </c>
      <c r="G501" s="1">
        <v>10</v>
      </c>
      <c r="H501" s="1">
        <v>0</v>
      </c>
      <c r="I501" s="1">
        <v>0</v>
      </c>
      <c r="J501" s="1">
        <v>1</v>
      </c>
    </row>
    <row r="502" spans="1:10" x14ac:dyDescent="0.2">
      <c r="A502" s="1">
        <v>1016</v>
      </c>
      <c r="B502" s="1">
        <v>0</v>
      </c>
      <c r="C502" s="1">
        <v>18</v>
      </c>
      <c r="D502" s="1">
        <v>1</v>
      </c>
      <c r="E502" s="1">
        <v>3</v>
      </c>
      <c r="F502" s="1">
        <v>6</v>
      </c>
      <c r="G502" s="1">
        <v>10</v>
      </c>
      <c r="H502" s="1">
        <v>1</v>
      </c>
      <c r="I502" s="1">
        <v>1</v>
      </c>
      <c r="J502" s="1">
        <v>1</v>
      </c>
    </row>
    <row r="503" spans="1:10" x14ac:dyDescent="0.2">
      <c r="A503" s="1">
        <v>332</v>
      </c>
      <c r="B503" s="1">
        <v>0</v>
      </c>
      <c r="C503" s="1">
        <v>5</v>
      </c>
      <c r="D503" s="1">
        <v>1</v>
      </c>
      <c r="E503" s="1">
        <v>1</v>
      </c>
      <c r="F503" s="1">
        <v>7</v>
      </c>
      <c r="G503" s="1">
        <v>10</v>
      </c>
      <c r="H503" s="1">
        <v>0</v>
      </c>
      <c r="I503" s="1">
        <v>2</v>
      </c>
      <c r="J503" s="1">
        <v>1</v>
      </c>
    </row>
    <row r="504" spans="1:10" x14ac:dyDescent="0.2">
      <c r="A504" s="1">
        <v>958</v>
      </c>
      <c r="B504" s="1">
        <v>0</v>
      </c>
      <c r="C504" s="1">
        <v>11</v>
      </c>
      <c r="D504" s="1">
        <v>3</v>
      </c>
      <c r="E504" s="1">
        <v>1</v>
      </c>
      <c r="F504" s="1">
        <v>7</v>
      </c>
      <c r="G504" s="1">
        <v>10</v>
      </c>
      <c r="H504" s="1">
        <v>0</v>
      </c>
      <c r="I504" s="1">
        <v>1</v>
      </c>
      <c r="J504" s="1">
        <v>1</v>
      </c>
    </row>
    <row r="505" spans="1:10" x14ac:dyDescent="0.2">
      <c r="A505" s="1">
        <v>426</v>
      </c>
      <c r="B505" s="1">
        <v>0</v>
      </c>
      <c r="C505" s="1">
        <v>13</v>
      </c>
      <c r="D505" s="1">
        <v>2</v>
      </c>
      <c r="E505" s="1">
        <v>1</v>
      </c>
      <c r="F505" s="1">
        <v>7</v>
      </c>
      <c r="G505" s="1">
        <v>10</v>
      </c>
      <c r="H505" s="1">
        <v>0</v>
      </c>
      <c r="I505" s="1">
        <v>3</v>
      </c>
      <c r="J505" s="1">
        <v>1</v>
      </c>
    </row>
    <row r="506" spans="1:10" x14ac:dyDescent="0.2">
      <c r="A506" s="1">
        <v>846</v>
      </c>
      <c r="B506" s="1">
        <v>0</v>
      </c>
      <c r="C506" s="1">
        <v>15</v>
      </c>
      <c r="D506" s="1">
        <v>2</v>
      </c>
      <c r="E506" s="1">
        <v>2</v>
      </c>
      <c r="F506" s="1">
        <v>7</v>
      </c>
      <c r="G506" s="1">
        <v>10</v>
      </c>
      <c r="H506" s="1">
        <v>0</v>
      </c>
      <c r="I506" s="1">
        <v>2</v>
      </c>
      <c r="J506" s="1">
        <v>1</v>
      </c>
    </row>
    <row r="507" spans="1:10" x14ac:dyDescent="0.2">
      <c r="A507" s="1">
        <v>822</v>
      </c>
      <c r="B507" s="1">
        <v>0</v>
      </c>
      <c r="C507" s="1">
        <v>18</v>
      </c>
      <c r="D507" s="1">
        <v>3</v>
      </c>
      <c r="E507" s="1">
        <v>3</v>
      </c>
      <c r="F507" s="1">
        <v>7</v>
      </c>
      <c r="G507" s="1">
        <v>10</v>
      </c>
      <c r="H507" s="1">
        <v>0</v>
      </c>
      <c r="I507" s="1">
        <v>0</v>
      </c>
      <c r="J507" s="1">
        <v>1</v>
      </c>
    </row>
    <row r="508" spans="1:10" x14ac:dyDescent="0.2">
      <c r="A508" s="1">
        <v>962</v>
      </c>
      <c r="B508" s="1">
        <v>0</v>
      </c>
      <c r="C508" s="1">
        <v>13</v>
      </c>
      <c r="D508" s="1">
        <v>5</v>
      </c>
      <c r="E508" s="1">
        <v>2</v>
      </c>
      <c r="F508" s="1">
        <v>8</v>
      </c>
      <c r="G508" s="1">
        <v>10</v>
      </c>
      <c r="H508" s="1">
        <v>0</v>
      </c>
      <c r="I508" s="1">
        <v>2</v>
      </c>
      <c r="J508" s="1">
        <v>1</v>
      </c>
    </row>
    <row r="509" spans="1:10" x14ac:dyDescent="0.2">
      <c r="A509" s="1">
        <v>32</v>
      </c>
      <c r="B509" s="1">
        <v>0</v>
      </c>
      <c r="C509" s="1">
        <v>14</v>
      </c>
      <c r="D509" s="1">
        <v>1</v>
      </c>
      <c r="E509" s="1">
        <v>2</v>
      </c>
      <c r="F509" s="1">
        <v>8</v>
      </c>
      <c r="G509" s="1">
        <v>10</v>
      </c>
      <c r="H509" s="1">
        <v>1</v>
      </c>
      <c r="I509" s="1">
        <v>2</v>
      </c>
      <c r="J509" s="1">
        <v>1</v>
      </c>
    </row>
    <row r="510" spans="1:10" x14ac:dyDescent="0.2">
      <c r="A510" s="1">
        <v>994</v>
      </c>
      <c r="B510" s="1">
        <v>0</v>
      </c>
      <c r="C510" s="1">
        <v>12</v>
      </c>
      <c r="D510" s="1">
        <v>2</v>
      </c>
      <c r="E510" s="1">
        <v>3</v>
      </c>
      <c r="F510" s="1">
        <v>8</v>
      </c>
      <c r="G510" s="1">
        <v>10</v>
      </c>
      <c r="H510" s="1">
        <v>1</v>
      </c>
      <c r="I510" s="1">
        <v>3</v>
      </c>
      <c r="J510" s="1">
        <v>1</v>
      </c>
    </row>
    <row r="511" spans="1:10" x14ac:dyDescent="0.2">
      <c r="A511" s="1">
        <v>405</v>
      </c>
      <c r="B511" s="1">
        <v>0</v>
      </c>
      <c r="C511" s="1">
        <v>8</v>
      </c>
      <c r="D511" s="1">
        <v>3</v>
      </c>
      <c r="E511" s="1">
        <v>1</v>
      </c>
      <c r="F511" s="1">
        <v>9</v>
      </c>
      <c r="G511" s="1">
        <v>10</v>
      </c>
      <c r="H511" s="1">
        <v>0</v>
      </c>
      <c r="I511" s="1">
        <v>1</v>
      </c>
      <c r="J511" s="1">
        <v>1</v>
      </c>
    </row>
    <row r="512" spans="1:10" x14ac:dyDescent="0.2">
      <c r="A512" s="1">
        <v>722</v>
      </c>
      <c r="B512" s="1">
        <v>0</v>
      </c>
      <c r="C512" s="1">
        <v>8</v>
      </c>
      <c r="D512" s="1">
        <v>5</v>
      </c>
      <c r="E512" s="1">
        <v>1</v>
      </c>
      <c r="F512" s="1">
        <v>9</v>
      </c>
      <c r="G512" s="1">
        <v>10</v>
      </c>
      <c r="H512" s="1">
        <v>0</v>
      </c>
      <c r="I512" s="1">
        <v>3</v>
      </c>
      <c r="J512" s="1">
        <v>1</v>
      </c>
    </row>
    <row r="513" spans="1:10" x14ac:dyDescent="0.2">
      <c r="A513" s="1">
        <v>1915</v>
      </c>
      <c r="B513" s="1">
        <v>0</v>
      </c>
      <c r="C513" s="1">
        <v>20</v>
      </c>
      <c r="D513" s="1">
        <v>5</v>
      </c>
      <c r="E513" s="1">
        <v>1</v>
      </c>
      <c r="F513" s="1">
        <v>9</v>
      </c>
      <c r="G513" s="1">
        <v>10</v>
      </c>
      <c r="H513" s="1">
        <v>0</v>
      </c>
      <c r="I513" s="1">
        <v>1</v>
      </c>
      <c r="J513" s="1">
        <v>1</v>
      </c>
    </row>
    <row r="514" spans="1:10" x14ac:dyDescent="0.2">
      <c r="A514" s="1">
        <v>1929</v>
      </c>
      <c r="B514" s="1">
        <v>0</v>
      </c>
      <c r="C514" s="1">
        <v>5</v>
      </c>
      <c r="D514" s="1">
        <v>2</v>
      </c>
      <c r="E514" s="1">
        <v>2</v>
      </c>
      <c r="F514" s="1">
        <v>9</v>
      </c>
      <c r="G514" s="1">
        <v>10</v>
      </c>
      <c r="H514" s="1">
        <v>0</v>
      </c>
      <c r="I514" s="1">
        <v>3</v>
      </c>
      <c r="J514" s="1">
        <v>1</v>
      </c>
    </row>
    <row r="515" spans="1:10" x14ac:dyDescent="0.2">
      <c r="A515" s="1">
        <v>101</v>
      </c>
      <c r="B515" s="1">
        <v>0</v>
      </c>
      <c r="C515" s="1">
        <v>12</v>
      </c>
      <c r="D515" s="1">
        <v>1</v>
      </c>
      <c r="E515" s="1">
        <v>2</v>
      </c>
      <c r="F515" s="1">
        <v>9</v>
      </c>
      <c r="G515" s="1">
        <v>10</v>
      </c>
      <c r="H515" s="1">
        <v>0</v>
      </c>
      <c r="I515" s="1">
        <v>2</v>
      </c>
      <c r="J515" s="1">
        <v>1</v>
      </c>
    </row>
    <row r="516" spans="1:10" x14ac:dyDescent="0.2">
      <c r="A516" s="1">
        <v>1430</v>
      </c>
      <c r="B516" s="1">
        <v>0</v>
      </c>
      <c r="C516" s="1">
        <v>18</v>
      </c>
      <c r="D516" s="1">
        <v>1</v>
      </c>
      <c r="E516" s="1">
        <v>2</v>
      </c>
      <c r="F516" s="1">
        <v>9</v>
      </c>
      <c r="G516" s="1">
        <v>10</v>
      </c>
      <c r="H516" s="1">
        <v>1</v>
      </c>
      <c r="I516" s="1">
        <v>1</v>
      </c>
      <c r="J516" s="1">
        <v>1</v>
      </c>
    </row>
    <row r="517" spans="1:10" x14ac:dyDescent="0.2">
      <c r="A517" s="1">
        <v>142</v>
      </c>
      <c r="B517" s="1">
        <v>0</v>
      </c>
      <c r="C517" s="1">
        <v>20</v>
      </c>
      <c r="D517" s="1">
        <v>4</v>
      </c>
      <c r="E517" s="1">
        <v>2</v>
      </c>
      <c r="F517" s="1">
        <v>9</v>
      </c>
      <c r="G517" s="1">
        <v>10</v>
      </c>
      <c r="H517" s="1">
        <v>0</v>
      </c>
      <c r="I517" s="1">
        <v>2</v>
      </c>
      <c r="J517" s="1">
        <v>1</v>
      </c>
    </row>
    <row r="518" spans="1:10" x14ac:dyDescent="0.2">
      <c r="A518" s="1">
        <v>1809</v>
      </c>
      <c r="B518" s="1">
        <v>0</v>
      </c>
      <c r="C518" s="1">
        <v>5</v>
      </c>
      <c r="D518" s="1">
        <v>3</v>
      </c>
      <c r="E518" s="1">
        <v>3</v>
      </c>
      <c r="F518" s="1">
        <v>9</v>
      </c>
      <c r="G518" s="1">
        <v>10</v>
      </c>
      <c r="H518" s="1">
        <v>1</v>
      </c>
      <c r="I518" s="1">
        <v>3</v>
      </c>
      <c r="J518" s="1">
        <v>1</v>
      </c>
    </row>
    <row r="519" spans="1:10" x14ac:dyDescent="0.2">
      <c r="A519" s="1">
        <v>1363</v>
      </c>
      <c r="B519" s="1">
        <v>0</v>
      </c>
      <c r="C519" s="1">
        <v>20</v>
      </c>
      <c r="D519" s="1">
        <v>4</v>
      </c>
      <c r="E519" s="1">
        <v>3</v>
      </c>
      <c r="F519" s="1">
        <v>9</v>
      </c>
      <c r="G519" s="1">
        <v>10</v>
      </c>
      <c r="H519" s="1">
        <v>0</v>
      </c>
      <c r="I519" s="1">
        <v>3</v>
      </c>
      <c r="J519" s="1">
        <v>1</v>
      </c>
    </row>
    <row r="520" spans="1:10" x14ac:dyDescent="0.2">
      <c r="A520" s="1">
        <v>2123</v>
      </c>
      <c r="B520" s="1">
        <v>0</v>
      </c>
      <c r="C520" s="1">
        <v>20</v>
      </c>
      <c r="D520" s="1">
        <v>4</v>
      </c>
      <c r="E520" s="1">
        <v>3</v>
      </c>
      <c r="F520" s="1">
        <v>9</v>
      </c>
      <c r="G520" s="1">
        <v>10</v>
      </c>
      <c r="H520" s="1">
        <v>1</v>
      </c>
      <c r="I520" s="1">
        <v>1</v>
      </c>
      <c r="J520" s="1">
        <v>1</v>
      </c>
    </row>
    <row r="521" spans="1:10" x14ac:dyDescent="0.2">
      <c r="A521" s="1">
        <v>1880</v>
      </c>
      <c r="B521" s="1">
        <v>0</v>
      </c>
      <c r="C521" s="1">
        <v>8</v>
      </c>
      <c r="D521" s="1">
        <v>1</v>
      </c>
      <c r="E521" s="1">
        <v>2</v>
      </c>
      <c r="F521" s="1">
        <v>10</v>
      </c>
      <c r="G521" s="1">
        <v>10</v>
      </c>
      <c r="H521" s="1">
        <v>0</v>
      </c>
      <c r="I521" s="1">
        <v>0</v>
      </c>
      <c r="J521" s="1">
        <v>1</v>
      </c>
    </row>
    <row r="522" spans="1:10" x14ac:dyDescent="0.2">
      <c r="A522" s="1">
        <v>1971</v>
      </c>
      <c r="B522" s="1">
        <v>0</v>
      </c>
      <c r="C522" s="1">
        <v>13</v>
      </c>
      <c r="D522" s="1">
        <v>1</v>
      </c>
      <c r="E522" s="1">
        <v>2</v>
      </c>
      <c r="F522" s="1">
        <v>10</v>
      </c>
      <c r="G522" s="1">
        <v>10</v>
      </c>
      <c r="H522" s="1">
        <v>1</v>
      </c>
      <c r="I522" s="1">
        <v>3</v>
      </c>
      <c r="J522" s="1">
        <v>1</v>
      </c>
    </row>
    <row r="523" spans="1:10" x14ac:dyDescent="0.2">
      <c r="A523" s="1">
        <v>1723</v>
      </c>
      <c r="B523" s="1">
        <v>0</v>
      </c>
      <c r="C523" s="1">
        <v>16</v>
      </c>
      <c r="D523" s="1">
        <v>2</v>
      </c>
      <c r="E523" s="1">
        <v>2</v>
      </c>
      <c r="F523" s="1">
        <v>10</v>
      </c>
      <c r="G523" s="1">
        <v>10</v>
      </c>
      <c r="H523" s="1">
        <v>0</v>
      </c>
      <c r="I523" s="1">
        <v>2</v>
      </c>
      <c r="J523" s="1">
        <v>1</v>
      </c>
    </row>
    <row r="524" spans="1:10" x14ac:dyDescent="0.2">
      <c r="A524" s="1">
        <v>2155</v>
      </c>
      <c r="B524" s="1">
        <v>0</v>
      </c>
      <c r="C524" s="1">
        <v>7</v>
      </c>
      <c r="D524" s="1">
        <v>5</v>
      </c>
      <c r="E524" s="1">
        <v>3</v>
      </c>
      <c r="F524" s="1">
        <v>10</v>
      </c>
      <c r="G524" s="1">
        <v>10</v>
      </c>
      <c r="H524" s="1">
        <v>0</v>
      </c>
      <c r="I524" s="1">
        <v>1</v>
      </c>
      <c r="J524" s="1">
        <v>1</v>
      </c>
    </row>
    <row r="525" spans="1:10" x14ac:dyDescent="0.2">
      <c r="A525" s="1">
        <v>2144</v>
      </c>
      <c r="B525" s="1">
        <v>0</v>
      </c>
      <c r="C525" s="1">
        <v>19</v>
      </c>
      <c r="D525" s="1">
        <v>2</v>
      </c>
      <c r="E525" s="1">
        <v>3</v>
      </c>
      <c r="F525" s="1">
        <v>10</v>
      </c>
      <c r="G525" s="1">
        <v>10</v>
      </c>
      <c r="H525" s="1">
        <v>0</v>
      </c>
      <c r="I525" s="1">
        <v>1</v>
      </c>
      <c r="J525" s="1">
        <v>1</v>
      </c>
    </row>
    <row r="526" spans="1:10" x14ac:dyDescent="0.2">
      <c r="A526" s="1">
        <v>660</v>
      </c>
      <c r="B526" s="1">
        <v>0</v>
      </c>
      <c r="C526" s="1">
        <v>16</v>
      </c>
      <c r="D526" s="1">
        <v>4</v>
      </c>
      <c r="E526" s="1">
        <v>1</v>
      </c>
      <c r="F526" s="1">
        <v>1</v>
      </c>
      <c r="G526" s="1">
        <v>1</v>
      </c>
      <c r="H526" s="1">
        <v>0</v>
      </c>
      <c r="I526" s="1">
        <v>3</v>
      </c>
      <c r="J526" s="1">
        <v>2</v>
      </c>
    </row>
    <row r="527" spans="1:10" x14ac:dyDescent="0.2">
      <c r="A527" s="1">
        <v>1900</v>
      </c>
      <c r="B527" s="1">
        <v>0</v>
      </c>
      <c r="C527" s="1">
        <v>16</v>
      </c>
      <c r="D527" s="1">
        <v>2</v>
      </c>
      <c r="E527" s="1">
        <v>1</v>
      </c>
      <c r="F527" s="1">
        <v>1</v>
      </c>
      <c r="G527" s="1">
        <v>1</v>
      </c>
      <c r="H527" s="1">
        <v>1</v>
      </c>
      <c r="I527" s="1">
        <v>0</v>
      </c>
      <c r="J527" s="1">
        <v>2</v>
      </c>
    </row>
    <row r="528" spans="1:10" x14ac:dyDescent="0.2">
      <c r="A528" s="1">
        <v>720</v>
      </c>
      <c r="B528" s="1">
        <v>0</v>
      </c>
      <c r="C528" s="1">
        <v>18</v>
      </c>
      <c r="D528" s="1">
        <v>3</v>
      </c>
      <c r="E528" s="1">
        <v>1</v>
      </c>
      <c r="F528" s="1">
        <v>1</v>
      </c>
      <c r="G528" s="1">
        <v>1</v>
      </c>
      <c r="H528" s="1">
        <v>0</v>
      </c>
      <c r="I528" s="1">
        <v>2</v>
      </c>
      <c r="J528" s="1">
        <v>2</v>
      </c>
    </row>
    <row r="529" spans="1:10" x14ac:dyDescent="0.2">
      <c r="A529" s="1">
        <v>2210</v>
      </c>
      <c r="B529" s="1">
        <v>0</v>
      </c>
      <c r="C529" s="1">
        <v>5</v>
      </c>
      <c r="D529" s="1">
        <v>3</v>
      </c>
      <c r="E529" s="1">
        <v>2</v>
      </c>
      <c r="F529" s="1">
        <v>1</v>
      </c>
      <c r="G529" s="1">
        <v>1</v>
      </c>
      <c r="H529" s="1">
        <v>0</v>
      </c>
      <c r="I529" s="1">
        <v>2</v>
      </c>
      <c r="J529" s="1">
        <v>2</v>
      </c>
    </row>
    <row r="530" spans="1:10" x14ac:dyDescent="0.2">
      <c r="A530" s="1">
        <v>2010</v>
      </c>
      <c r="B530" s="1">
        <v>0</v>
      </c>
      <c r="C530" s="1">
        <v>18</v>
      </c>
      <c r="D530" s="1">
        <v>2</v>
      </c>
      <c r="E530" s="1">
        <v>2</v>
      </c>
      <c r="F530" s="1">
        <v>1</v>
      </c>
      <c r="G530" s="1">
        <v>1</v>
      </c>
      <c r="H530" s="1">
        <v>1</v>
      </c>
      <c r="I530" s="1">
        <v>3</v>
      </c>
      <c r="J530" s="1">
        <v>2</v>
      </c>
    </row>
    <row r="531" spans="1:10" x14ac:dyDescent="0.2">
      <c r="A531" s="1">
        <v>1078</v>
      </c>
      <c r="B531" s="1">
        <v>0</v>
      </c>
      <c r="C531" s="1">
        <v>8</v>
      </c>
      <c r="D531" s="1">
        <v>4</v>
      </c>
      <c r="E531" s="1">
        <v>3</v>
      </c>
      <c r="F531" s="1">
        <v>1</v>
      </c>
      <c r="G531" s="1">
        <v>1</v>
      </c>
      <c r="H531" s="1">
        <v>0</v>
      </c>
      <c r="I531" s="1">
        <v>0</v>
      </c>
      <c r="J531" s="1">
        <v>2</v>
      </c>
    </row>
    <row r="532" spans="1:10" x14ac:dyDescent="0.2">
      <c r="A532" s="1">
        <v>1054</v>
      </c>
      <c r="B532" s="1">
        <v>0</v>
      </c>
      <c r="C532" s="1">
        <v>5</v>
      </c>
      <c r="D532" s="1">
        <v>2</v>
      </c>
      <c r="E532" s="1">
        <v>1</v>
      </c>
      <c r="F532" s="1">
        <v>2</v>
      </c>
      <c r="G532" s="1">
        <v>1</v>
      </c>
      <c r="H532" s="1">
        <v>1</v>
      </c>
      <c r="I532" s="1">
        <v>2</v>
      </c>
      <c r="J532" s="1">
        <v>2</v>
      </c>
    </row>
    <row r="533" spans="1:10" x14ac:dyDescent="0.2">
      <c r="A533" s="1">
        <v>1112</v>
      </c>
      <c r="B533" s="1">
        <v>0</v>
      </c>
      <c r="C533" s="1">
        <v>6</v>
      </c>
      <c r="D533" s="1">
        <v>2</v>
      </c>
      <c r="E533" s="1">
        <v>1</v>
      </c>
      <c r="F533" s="1">
        <v>2</v>
      </c>
      <c r="G533" s="1">
        <v>1</v>
      </c>
      <c r="H533" s="1">
        <v>1</v>
      </c>
      <c r="I533" s="1">
        <v>3</v>
      </c>
      <c r="J533" s="1">
        <v>2</v>
      </c>
    </row>
    <row r="534" spans="1:10" x14ac:dyDescent="0.2">
      <c r="A534" s="1">
        <v>2041</v>
      </c>
      <c r="B534" s="1">
        <v>0</v>
      </c>
      <c r="C534" s="1">
        <v>13</v>
      </c>
      <c r="D534" s="1">
        <v>5</v>
      </c>
      <c r="E534" s="1">
        <v>2</v>
      </c>
      <c r="F534" s="1">
        <v>2</v>
      </c>
      <c r="G534" s="1">
        <v>1</v>
      </c>
      <c r="H534" s="1">
        <v>0</v>
      </c>
      <c r="I534" s="1">
        <v>3</v>
      </c>
      <c r="J534" s="1">
        <v>2</v>
      </c>
    </row>
    <row r="535" spans="1:10" x14ac:dyDescent="0.2">
      <c r="A535" s="1">
        <v>1271</v>
      </c>
      <c r="B535" s="1">
        <v>0</v>
      </c>
      <c r="C535" s="1">
        <v>16</v>
      </c>
      <c r="D535" s="1">
        <v>4</v>
      </c>
      <c r="E535" s="1">
        <v>2</v>
      </c>
      <c r="F535" s="1">
        <v>2</v>
      </c>
      <c r="G535" s="1">
        <v>1</v>
      </c>
      <c r="H535" s="1">
        <v>0</v>
      </c>
      <c r="I535" s="1">
        <v>1</v>
      </c>
      <c r="J535" s="1">
        <v>2</v>
      </c>
    </row>
    <row r="536" spans="1:10" x14ac:dyDescent="0.2">
      <c r="A536" s="1">
        <v>547</v>
      </c>
      <c r="B536" s="1">
        <v>0</v>
      </c>
      <c r="C536" s="1">
        <v>15</v>
      </c>
      <c r="D536" s="1">
        <v>5</v>
      </c>
      <c r="E536" s="1">
        <v>3</v>
      </c>
      <c r="F536" s="1">
        <v>2</v>
      </c>
      <c r="G536" s="1">
        <v>1</v>
      </c>
      <c r="H536" s="1">
        <v>0</v>
      </c>
      <c r="I536" s="1">
        <v>2</v>
      </c>
      <c r="J536" s="1">
        <v>2</v>
      </c>
    </row>
    <row r="537" spans="1:10" x14ac:dyDescent="0.2">
      <c r="A537" s="1">
        <v>1707</v>
      </c>
      <c r="B537" s="1">
        <v>0</v>
      </c>
      <c r="C537" s="1">
        <v>15</v>
      </c>
      <c r="D537" s="1">
        <v>2</v>
      </c>
      <c r="E537" s="1">
        <v>3</v>
      </c>
      <c r="F537" s="1">
        <v>2</v>
      </c>
      <c r="G537" s="1">
        <v>1</v>
      </c>
      <c r="H537" s="1">
        <v>0</v>
      </c>
      <c r="I537" s="1">
        <v>3</v>
      </c>
      <c r="J537" s="1">
        <v>2</v>
      </c>
    </row>
    <row r="538" spans="1:10" x14ac:dyDescent="0.2">
      <c r="A538" s="1">
        <v>795</v>
      </c>
      <c r="B538" s="1">
        <v>0</v>
      </c>
      <c r="C538" s="1">
        <v>7</v>
      </c>
      <c r="D538" s="1">
        <v>1</v>
      </c>
      <c r="E538" s="1">
        <v>1</v>
      </c>
      <c r="F538" s="1">
        <v>3</v>
      </c>
      <c r="G538" s="1">
        <v>1</v>
      </c>
      <c r="H538" s="1">
        <v>0</v>
      </c>
      <c r="I538" s="1">
        <v>2</v>
      </c>
      <c r="J538" s="1">
        <v>2</v>
      </c>
    </row>
    <row r="539" spans="1:10" x14ac:dyDescent="0.2">
      <c r="A539" s="1">
        <v>523</v>
      </c>
      <c r="B539" s="1">
        <v>0</v>
      </c>
      <c r="C539" s="1">
        <v>9</v>
      </c>
      <c r="D539" s="1">
        <v>1</v>
      </c>
      <c r="E539" s="1">
        <v>1</v>
      </c>
      <c r="F539" s="1">
        <v>3</v>
      </c>
      <c r="G539" s="1">
        <v>1</v>
      </c>
      <c r="H539" s="1">
        <v>1</v>
      </c>
      <c r="I539" s="1">
        <v>3</v>
      </c>
      <c r="J539" s="1">
        <v>2</v>
      </c>
    </row>
    <row r="540" spans="1:10" x14ac:dyDescent="0.2">
      <c r="A540" s="1">
        <v>296</v>
      </c>
      <c r="B540" s="1">
        <v>0</v>
      </c>
      <c r="C540" s="1">
        <v>19</v>
      </c>
      <c r="D540" s="1">
        <v>3</v>
      </c>
      <c r="E540" s="1">
        <v>1</v>
      </c>
      <c r="F540" s="1">
        <v>3</v>
      </c>
      <c r="G540" s="1">
        <v>1</v>
      </c>
      <c r="H540" s="1">
        <v>1</v>
      </c>
      <c r="I540" s="1">
        <v>1</v>
      </c>
      <c r="J540" s="1">
        <v>2</v>
      </c>
    </row>
    <row r="541" spans="1:10" x14ac:dyDescent="0.2">
      <c r="A541" s="1">
        <v>1617</v>
      </c>
      <c r="B541" s="1">
        <v>0</v>
      </c>
      <c r="C541" s="1">
        <v>14</v>
      </c>
      <c r="D541" s="1">
        <v>3</v>
      </c>
      <c r="E541" s="1">
        <v>2</v>
      </c>
      <c r="F541" s="1">
        <v>3</v>
      </c>
      <c r="G541" s="1">
        <v>1</v>
      </c>
      <c r="H541" s="1">
        <v>0</v>
      </c>
      <c r="I541" s="1">
        <v>0</v>
      </c>
      <c r="J541" s="1">
        <v>2</v>
      </c>
    </row>
    <row r="542" spans="1:10" x14ac:dyDescent="0.2">
      <c r="A542" s="1">
        <v>130</v>
      </c>
      <c r="B542" s="1">
        <v>0</v>
      </c>
      <c r="C542" s="1">
        <v>20</v>
      </c>
      <c r="D542" s="1">
        <v>5</v>
      </c>
      <c r="E542" s="1">
        <v>2</v>
      </c>
      <c r="F542" s="1">
        <v>3</v>
      </c>
      <c r="G542" s="1">
        <v>1</v>
      </c>
      <c r="H542" s="1">
        <v>0</v>
      </c>
      <c r="I542" s="1">
        <v>1</v>
      </c>
      <c r="J542" s="1">
        <v>2</v>
      </c>
    </row>
    <row r="543" spans="1:10" x14ac:dyDescent="0.2">
      <c r="A543" s="1">
        <v>419</v>
      </c>
      <c r="B543" s="1">
        <v>0</v>
      </c>
      <c r="C543" s="1">
        <v>17</v>
      </c>
      <c r="D543" s="1">
        <v>4</v>
      </c>
      <c r="E543" s="1">
        <v>3</v>
      </c>
      <c r="F543" s="1">
        <v>3</v>
      </c>
      <c r="G543" s="1">
        <v>1</v>
      </c>
      <c r="H543" s="1">
        <v>0</v>
      </c>
      <c r="I543" s="1">
        <v>1</v>
      </c>
      <c r="J543" s="1">
        <v>2</v>
      </c>
    </row>
    <row r="544" spans="1:10" x14ac:dyDescent="0.2">
      <c r="A544" s="1">
        <v>186</v>
      </c>
      <c r="B544" s="1">
        <v>0</v>
      </c>
      <c r="C544" s="1">
        <v>5</v>
      </c>
      <c r="D544" s="1">
        <v>4</v>
      </c>
      <c r="E544" s="1">
        <v>1</v>
      </c>
      <c r="F544" s="1">
        <v>4</v>
      </c>
      <c r="G544" s="1">
        <v>1</v>
      </c>
      <c r="H544" s="1">
        <v>1</v>
      </c>
      <c r="I544" s="1">
        <v>1</v>
      </c>
      <c r="J544" s="1">
        <v>2</v>
      </c>
    </row>
    <row r="545" spans="1:10" x14ac:dyDescent="0.2">
      <c r="A545" s="1">
        <v>117</v>
      </c>
      <c r="B545" s="1">
        <v>0</v>
      </c>
      <c r="C545" s="1">
        <v>7</v>
      </c>
      <c r="D545" s="1">
        <v>2</v>
      </c>
      <c r="E545" s="1">
        <v>1</v>
      </c>
      <c r="F545" s="1">
        <v>4</v>
      </c>
      <c r="G545" s="1">
        <v>1</v>
      </c>
      <c r="H545" s="1">
        <v>0</v>
      </c>
      <c r="I545" s="1">
        <v>0</v>
      </c>
      <c r="J545" s="1">
        <v>2</v>
      </c>
    </row>
    <row r="546" spans="1:10" x14ac:dyDescent="0.2">
      <c r="A546" s="1">
        <v>731</v>
      </c>
      <c r="B546" s="1">
        <v>0</v>
      </c>
      <c r="C546" s="1">
        <v>7</v>
      </c>
      <c r="D546" s="1">
        <v>4</v>
      </c>
      <c r="E546" s="1">
        <v>1</v>
      </c>
      <c r="F546" s="1">
        <v>4</v>
      </c>
      <c r="G546" s="1">
        <v>1</v>
      </c>
      <c r="H546" s="1">
        <v>1</v>
      </c>
      <c r="I546" s="1">
        <v>0</v>
      </c>
      <c r="J546" s="1">
        <v>2</v>
      </c>
    </row>
    <row r="547" spans="1:10" x14ac:dyDescent="0.2">
      <c r="A547" s="1">
        <v>2139</v>
      </c>
      <c r="B547" s="1">
        <v>0</v>
      </c>
      <c r="C547" s="1">
        <v>7</v>
      </c>
      <c r="D547" s="1">
        <v>3</v>
      </c>
      <c r="E547" s="1">
        <v>2</v>
      </c>
      <c r="F547" s="1">
        <v>4</v>
      </c>
      <c r="G547" s="1">
        <v>1</v>
      </c>
      <c r="H547" s="1">
        <v>1</v>
      </c>
      <c r="I547" s="1">
        <v>0</v>
      </c>
      <c r="J547" s="1">
        <v>2</v>
      </c>
    </row>
    <row r="548" spans="1:10" x14ac:dyDescent="0.2">
      <c r="A548" s="1">
        <v>1641</v>
      </c>
      <c r="B548" s="1">
        <v>0</v>
      </c>
      <c r="C548" s="1">
        <v>15</v>
      </c>
      <c r="D548" s="1">
        <v>4</v>
      </c>
      <c r="E548" s="1">
        <v>2</v>
      </c>
      <c r="F548" s="1">
        <v>4</v>
      </c>
      <c r="G548" s="1">
        <v>1</v>
      </c>
      <c r="H548" s="1">
        <v>0</v>
      </c>
      <c r="I548" s="1">
        <v>1</v>
      </c>
      <c r="J548" s="1">
        <v>2</v>
      </c>
    </row>
    <row r="549" spans="1:10" x14ac:dyDescent="0.2">
      <c r="A549" s="1">
        <v>260</v>
      </c>
      <c r="B549" s="1">
        <v>0</v>
      </c>
      <c r="C549" s="1">
        <v>7</v>
      </c>
      <c r="D549" s="1">
        <v>5</v>
      </c>
      <c r="E549" s="1">
        <v>1</v>
      </c>
      <c r="F549" s="1">
        <v>5</v>
      </c>
      <c r="G549" s="1">
        <v>1</v>
      </c>
      <c r="H549" s="1">
        <v>1</v>
      </c>
      <c r="I549" s="1">
        <v>3</v>
      </c>
      <c r="J549" s="1">
        <v>2</v>
      </c>
    </row>
    <row r="550" spans="1:10" x14ac:dyDescent="0.2">
      <c r="A550" s="1">
        <v>940</v>
      </c>
      <c r="B550" s="1">
        <v>0</v>
      </c>
      <c r="C550" s="1">
        <v>18</v>
      </c>
      <c r="D550" s="1">
        <v>2</v>
      </c>
      <c r="E550" s="1">
        <v>1</v>
      </c>
      <c r="F550" s="1">
        <v>5</v>
      </c>
      <c r="G550" s="1">
        <v>1</v>
      </c>
      <c r="H550" s="1">
        <v>0</v>
      </c>
      <c r="I550" s="1">
        <v>0</v>
      </c>
      <c r="J550" s="1">
        <v>2</v>
      </c>
    </row>
    <row r="551" spans="1:10" x14ac:dyDescent="0.2">
      <c r="A551" s="1">
        <v>2415</v>
      </c>
      <c r="B551" s="1">
        <v>0</v>
      </c>
      <c r="C551" s="1">
        <v>12</v>
      </c>
      <c r="D551" s="1">
        <v>5</v>
      </c>
      <c r="E551" s="1">
        <v>2</v>
      </c>
      <c r="F551" s="1">
        <v>5</v>
      </c>
      <c r="G551" s="1">
        <v>1</v>
      </c>
      <c r="H551" s="1">
        <v>0</v>
      </c>
      <c r="I551" s="1">
        <v>2</v>
      </c>
      <c r="J551" s="1">
        <v>2</v>
      </c>
    </row>
    <row r="552" spans="1:10" x14ac:dyDescent="0.2">
      <c r="A552" s="1">
        <v>2192</v>
      </c>
      <c r="B552" s="1">
        <v>0</v>
      </c>
      <c r="C552" s="1">
        <v>17</v>
      </c>
      <c r="D552" s="1">
        <v>1</v>
      </c>
      <c r="E552" s="1">
        <v>2</v>
      </c>
      <c r="F552" s="1">
        <v>5</v>
      </c>
      <c r="G552" s="1">
        <v>1</v>
      </c>
      <c r="H552" s="1">
        <v>1</v>
      </c>
      <c r="I552" s="1">
        <v>0</v>
      </c>
      <c r="J552" s="1">
        <v>2</v>
      </c>
    </row>
    <row r="553" spans="1:10" x14ac:dyDescent="0.2">
      <c r="A553" s="1">
        <v>1169</v>
      </c>
      <c r="B553" s="1">
        <v>0</v>
      </c>
      <c r="C553" s="1">
        <v>9</v>
      </c>
      <c r="D553" s="1">
        <v>5</v>
      </c>
      <c r="E553" s="1">
        <v>3</v>
      </c>
      <c r="F553" s="1">
        <v>5</v>
      </c>
      <c r="G553" s="1">
        <v>1</v>
      </c>
      <c r="H553" s="1">
        <v>1</v>
      </c>
      <c r="I553" s="1">
        <v>3</v>
      </c>
      <c r="J553" s="1">
        <v>2</v>
      </c>
    </row>
    <row r="554" spans="1:10" x14ac:dyDescent="0.2">
      <c r="A554" s="1">
        <v>1468</v>
      </c>
      <c r="B554" s="1">
        <v>0</v>
      </c>
      <c r="C554" s="1">
        <v>9</v>
      </c>
      <c r="D554" s="1">
        <v>4</v>
      </c>
      <c r="E554" s="1">
        <v>3</v>
      </c>
      <c r="F554" s="1">
        <v>5</v>
      </c>
      <c r="G554" s="1">
        <v>1</v>
      </c>
      <c r="H554" s="1">
        <v>0</v>
      </c>
      <c r="I554" s="1">
        <v>2</v>
      </c>
      <c r="J554" s="1">
        <v>2</v>
      </c>
    </row>
    <row r="555" spans="1:10" x14ac:dyDescent="0.2">
      <c r="A555" s="1">
        <v>2249</v>
      </c>
      <c r="B555" s="1">
        <v>0</v>
      </c>
      <c r="C555" s="1">
        <v>9</v>
      </c>
      <c r="D555" s="1">
        <v>3</v>
      </c>
      <c r="E555" s="1">
        <v>3</v>
      </c>
      <c r="F555" s="1">
        <v>5</v>
      </c>
      <c r="G555" s="1">
        <v>1</v>
      </c>
      <c r="H555" s="1">
        <v>0</v>
      </c>
      <c r="I555" s="1">
        <v>1</v>
      </c>
      <c r="J555" s="1">
        <v>2</v>
      </c>
    </row>
    <row r="556" spans="1:10" x14ac:dyDescent="0.2">
      <c r="A556" s="1">
        <v>1438</v>
      </c>
      <c r="B556" s="1">
        <v>0</v>
      </c>
      <c r="C556" s="1">
        <v>12</v>
      </c>
      <c r="D556" s="1">
        <v>1</v>
      </c>
      <c r="E556" s="1">
        <v>3</v>
      </c>
      <c r="F556" s="1">
        <v>5</v>
      </c>
      <c r="G556" s="1">
        <v>1</v>
      </c>
      <c r="H556" s="1">
        <v>1</v>
      </c>
      <c r="I556" s="1">
        <v>1</v>
      </c>
      <c r="J556" s="1">
        <v>2</v>
      </c>
    </row>
    <row r="557" spans="1:10" x14ac:dyDescent="0.2">
      <c r="A557" s="1">
        <v>483</v>
      </c>
      <c r="B557" s="1">
        <v>0</v>
      </c>
      <c r="C557" s="1">
        <v>6</v>
      </c>
      <c r="D557" s="1">
        <v>3</v>
      </c>
      <c r="E557" s="1">
        <v>1</v>
      </c>
      <c r="F557" s="1">
        <v>6</v>
      </c>
      <c r="G557" s="1">
        <v>1</v>
      </c>
      <c r="H557" s="1">
        <v>1</v>
      </c>
      <c r="I557" s="1">
        <v>1</v>
      </c>
      <c r="J557" s="1">
        <v>2</v>
      </c>
    </row>
    <row r="558" spans="1:10" x14ac:dyDescent="0.2">
      <c r="A558" s="1">
        <v>1483</v>
      </c>
      <c r="B558" s="1">
        <v>0</v>
      </c>
      <c r="C558" s="1">
        <v>9</v>
      </c>
      <c r="D558" s="1">
        <v>3</v>
      </c>
      <c r="E558" s="1">
        <v>1</v>
      </c>
      <c r="F558" s="1">
        <v>6</v>
      </c>
      <c r="G558" s="1">
        <v>1</v>
      </c>
      <c r="H558" s="1">
        <v>0</v>
      </c>
      <c r="I558" s="1">
        <v>0</v>
      </c>
      <c r="J558" s="1">
        <v>2</v>
      </c>
    </row>
    <row r="559" spans="1:10" x14ac:dyDescent="0.2">
      <c r="A559" s="1">
        <v>2258</v>
      </c>
      <c r="B559" s="1">
        <v>0</v>
      </c>
      <c r="C559" s="1">
        <v>17</v>
      </c>
      <c r="D559" s="1">
        <v>3</v>
      </c>
      <c r="E559" s="1">
        <v>1</v>
      </c>
      <c r="F559" s="1">
        <v>6</v>
      </c>
      <c r="G559" s="1">
        <v>1</v>
      </c>
      <c r="H559" s="1">
        <v>0</v>
      </c>
      <c r="I559" s="1">
        <v>0</v>
      </c>
      <c r="J559" s="1">
        <v>2</v>
      </c>
    </row>
    <row r="560" spans="1:10" x14ac:dyDescent="0.2">
      <c r="A560" s="1">
        <v>1962</v>
      </c>
      <c r="B560" s="1">
        <v>0</v>
      </c>
      <c r="C560" s="1">
        <v>6</v>
      </c>
      <c r="D560" s="1">
        <v>2</v>
      </c>
      <c r="E560" s="1">
        <v>3</v>
      </c>
      <c r="F560" s="1">
        <v>7</v>
      </c>
      <c r="G560" s="1">
        <v>1</v>
      </c>
      <c r="H560" s="1">
        <v>0</v>
      </c>
      <c r="I560" s="1">
        <v>0</v>
      </c>
      <c r="J560" s="1">
        <v>2</v>
      </c>
    </row>
    <row r="561" spans="1:10" x14ac:dyDescent="0.2">
      <c r="A561" s="1">
        <v>1239</v>
      </c>
      <c r="B561" s="1">
        <v>0</v>
      </c>
      <c r="C561" s="1">
        <v>8</v>
      </c>
      <c r="D561" s="1">
        <v>4</v>
      </c>
      <c r="E561" s="1">
        <v>1</v>
      </c>
      <c r="F561" s="1">
        <v>8</v>
      </c>
      <c r="G561" s="1">
        <v>1</v>
      </c>
      <c r="H561" s="1">
        <v>0</v>
      </c>
      <c r="I561" s="1">
        <v>0</v>
      </c>
      <c r="J561" s="1">
        <v>2</v>
      </c>
    </row>
    <row r="562" spans="1:10" x14ac:dyDescent="0.2">
      <c r="A562" s="1">
        <v>2220</v>
      </c>
      <c r="B562" s="1">
        <v>0</v>
      </c>
      <c r="C562" s="1">
        <v>10</v>
      </c>
      <c r="D562" s="1">
        <v>4</v>
      </c>
      <c r="E562" s="1">
        <v>1</v>
      </c>
      <c r="F562" s="1">
        <v>8</v>
      </c>
      <c r="G562" s="1">
        <v>1</v>
      </c>
      <c r="H562" s="1">
        <v>0</v>
      </c>
      <c r="I562" s="1">
        <v>1</v>
      </c>
      <c r="J562" s="1">
        <v>2</v>
      </c>
    </row>
    <row r="563" spans="1:10" x14ac:dyDescent="0.2">
      <c r="A563" s="1">
        <v>256</v>
      </c>
      <c r="B563" s="1">
        <v>0</v>
      </c>
      <c r="C563" s="1">
        <v>6</v>
      </c>
      <c r="D563" s="1">
        <v>2</v>
      </c>
      <c r="E563" s="1">
        <v>2</v>
      </c>
      <c r="F563" s="1">
        <v>8</v>
      </c>
      <c r="G563" s="1">
        <v>1</v>
      </c>
      <c r="H563" s="1">
        <v>1</v>
      </c>
      <c r="I563" s="1">
        <v>3</v>
      </c>
      <c r="J563" s="1">
        <v>2</v>
      </c>
    </row>
    <row r="564" spans="1:10" x14ac:dyDescent="0.2">
      <c r="A564" s="1">
        <v>866</v>
      </c>
      <c r="B564" s="1">
        <v>0</v>
      </c>
      <c r="C564" s="1">
        <v>6</v>
      </c>
      <c r="D564" s="1">
        <v>1</v>
      </c>
      <c r="E564" s="1">
        <v>2</v>
      </c>
      <c r="F564" s="1">
        <v>8</v>
      </c>
      <c r="G564" s="1">
        <v>1</v>
      </c>
      <c r="H564" s="1">
        <v>1</v>
      </c>
      <c r="I564" s="1">
        <v>1</v>
      </c>
      <c r="J564" s="1">
        <v>2</v>
      </c>
    </row>
    <row r="565" spans="1:10" x14ac:dyDescent="0.2">
      <c r="A565" s="1">
        <v>1408</v>
      </c>
      <c r="B565" s="1">
        <v>0</v>
      </c>
      <c r="C565" s="1">
        <v>16</v>
      </c>
      <c r="D565" s="1">
        <v>5</v>
      </c>
      <c r="E565" s="1">
        <v>2</v>
      </c>
      <c r="F565" s="1">
        <v>8</v>
      </c>
      <c r="G565" s="1">
        <v>1</v>
      </c>
      <c r="H565" s="1">
        <v>1</v>
      </c>
      <c r="I565" s="1">
        <v>0</v>
      </c>
      <c r="J565" s="1">
        <v>2</v>
      </c>
    </row>
    <row r="566" spans="1:10" x14ac:dyDescent="0.2">
      <c r="A566" s="1">
        <v>2428</v>
      </c>
      <c r="B566" s="1">
        <v>0</v>
      </c>
      <c r="C566" s="1">
        <v>11</v>
      </c>
      <c r="D566" s="1">
        <v>4</v>
      </c>
      <c r="E566" s="1">
        <v>3</v>
      </c>
      <c r="F566" s="1">
        <v>8</v>
      </c>
      <c r="G566" s="1">
        <v>1</v>
      </c>
      <c r="H566" s="1">
        <v>0</v>
      </c>
      <c r="I566" s="1">
        <v>0</v>
      </c>
      <c r="J566" s="1">
        <v>2</v>
      </c>
    </row>
    <row r="567" spans="1:10" x14ac:dyDescent="0.2">
      <c r="A567" s="1">
        <v>135</v>
      </c>
      <c r="B567" s="1">
        <v>0</v>
      </c>
      <c r="C567" s="1">
        <v>16</v>
      </c>
      <c r="D567" s="1">
        <v>1</v>
      </c>
      <c r="E567" s="1">
        <v>3</v>
      </c>
      <c r="F567" s="1">
        <v>8</v>
      </c>
      <c r="G567" s="1">
        <v>1</v>
      </c>
      <c r="H567" s="1">
        <v>1</v>
      </c>
      <c r="I567" s="1">
        <v>0</v>
      </c>
      <c r="J567" s="1">
        <v>2</v>
      </c>
    </row>
    <row r="568" spans="1:10" x14ac:dyDescent="0.2">
      <c r="A568" s="1">
        <v>735</v>
      </c>
      <c r="B568" s="1">
        <v>0</v>
      </c>
      <c r="C568" s="1">
        <v>6</v>
      </c>
      <c r="D568" s="1">
        <v>2</v>
      </c>
      <c r="E568" s="1">
        <v>1</v>
      </c>
      <c r="F568" s="1">
        <v>9</v>
      </c>
      <c r="G568" s="1">
        <v>1</v>
      </c>
      <c r="H568" s="1">
        <v>0</v>
      </c>
      <c r="I568" s="1">
        <v>2</v>
      </c>
      <c r="J568" s="1">
        <v>2</v>
      </c>
    </row>
    <row r="569" spans="1:10" x14ac:dyDescent="0.2">
      <c r="A569" s="1">
        <v>404</v>
      </c>
      <c r="B569" s="1">
        <v>0</v>
      </c>
      <c r="C569" s="1">
        <v>9</v>
      </c>
      <c r="D569" s="1">
        <v>5</v>
      </c>
      <c r="E569" s="1">
        <v>3</v>
      </c>
      <c r="F569" s="1">
        <v>9</v>
      </c>
      <c r="G569" s="1">
        <v>1</v>
      </c>
      <c r="H569" s="1">
        <v>0</v>
      </c>
      <c r="I569" s="1">
        <v>0</v>
      </c>
      <c r="J569" s="1">
        <v>2</v>
      </c>
    </row>
    <row r="570" spans="1:10" x14ac:dyDescent="0.2">
      <c r="A570" s="1">
        <v>2007</v>
      </c>
      <c r="B570" s="1">
        <v>0</v>
      </c>
      <c r="C570" s="1">
        <v>13</v>
      </c>
      <c r="D570" s="1">
        <v>2</v>
      </c>
      <c r="E570" s="1">
        <v>3</v>
      </c>
      <c r="F570" s="1">
        <v>9</v>
      </c>
      <c r="G570" s="1">
        <v>1</v>
      </c>
      <c r="H570" s="1">
        <v>1</v>
      </c>
      <c r="I570" s="1">
        <v>3</v>
      </c>
      <c r="J570" s="1">
        <v>2</v>
      </c>
    </row>
    <row r="571" spans="1:10" x14ac:dyDescent="0.2">
      <c r="A571" s="1">
        <v>1332</v>
      </c>
      <c r="B571" s="1">
        <v>0</v>
      </c>
      <c r="C571" s="1">
        <v>15</v>
      </c>
      <c r="D571" s="1">
        <v>1</v>
      </c>
      <c r="E571" s="1">
        <v>2</v>
      </c>
      <c r="F571" s="1">
        <v>10</v>
      </c>
      <c r="G571" s="1">
        <v>1</v>
      </c>
      <c r="H571" s="1">
        <v>1</v>
      </c>
      <c r="I571" s="1">
        <v>0</v>
      </c>
      <c r="J571" s="1">
        <v>2</v>
      </c>
    </row>
    <row r="572" spans="1:10" x14ac:dyDescent="0.2">
      <c r="A572" s="1">
        <v>1138</v>
      </c>
      <c r="B572" s="1">
        <v>0</v>
      </c>
      <c r="C572" s="1">
        <v>11</v>
      </c>
      <c r="D572" s="1">
        <v>5</v>
      </c>
      <c r="E572" s="1">
        <v>3</v>
      </c>
      <c r="F572" s="1">
        <v>10</v>
      </c>
      <c r="G572" s="1">
        <v>1</v>
      </c>
      <c r="H572" s="1">
        <v>0</v>
      </c>
      <c r="I572" s="1">
        <v>0</v>
      </c>
      <c r="J572" s="1">
        <v>2</v>
      </c>
    </row>
    <row r="573" spans="1:10" x14ac:dyDescent="0.2">
      <c r="A573" s="1">
        <v>712</v>
      </c>
      <c r="B573" s="1">
        <v>0</v>
      </c>
      <c r="C573" s="1">
        <v>7</v>
      </c>
      <c r="D573" s="1">
        <v>2</v>
      </c>
      <c r="E573" s="1">
        <v>1</v>
      </c>
      <c r="F573" s="1">
        <v>1</v>
      </c>
      <c r="G573" s="1">
        <v>2</v>
      </c>
      <c r="H573" s="1">
        <v>1</v>
      </c>
      <c r="I573" s="1">
        <v>2</v>
      </c>
      <c r="J573" s="1">
        <v>2</v>
      </c>
    </row>
    <row r="574" spans="1:10" x14ac:dyDescent="0.2">
      <c r="A574" s="1">
        <v>2115</v>
      </c>
      <c r="B574" s="1">
        <v>0</v>
      </c>
      <c r="C574" s="1">
        <v>7</v>
      </c>
      <c r="D574" s="1">
        <v>2</v>
      </c>
      <c r="E574" s="1">
        <v>1</v>
      </c>
      <c r="F574" s="1">
        <v>1</v>
      </c>
      <c r="G574" s="1">
        <v>2</v>
      </c>
      <c r="H574" s="1">
        <v>1</v>
      </c>
      <c r="I574" s="1">
        <v>3</v>
      </c>
      <c r="J574" s="1">
        <v>2</v>
      </c>
    </row>
    <row r="575" spans="1:10" x14ac:dyDescent="0.2">
      <c r="A575" s="1">
        <v>900</v>
      </c>
      <c r="B575" s="1">
        <v>0</v>
      </c>
      <c r="C575" s="1">
        <v>9</v>
      </c>
      <c r="D575" s="1">
        <v>1</v>
      </c>
      <c r="E575" s="1">
        <v>1</v>
      </c>
      <c r="F575" s="1">
        <v>1</v>
      </c>
      <c r="G575" s="1">
        <v>2</v>
      </c>
      <c r="H575" s="1">
        <v>1</v>
      </c>
      <c r="I575" s="1">
        <v>0</v>
      </c>
      <c r="J575" s="1">
        <v>2</v>
      </c>
    </row>
    <row r="576" spans="1:10" x14ac:dyDescent="0.2">
      <c r="A576" s="1">
        <v>1721</v>
      </c>
      <c r="B576" s="1">
        <v>0</v>
      </c>
      <c r="C576" s="1">
        <v>9</v>
      </c>
      <c r="D576" s="1">
        <v>2</v>
      </c>
      <c r="E576" s="1">
        <v>1</v>
      </c>
      <c r="F576" s="1">
        <v>1</v>
      </c>
      <c r="G576" s="1">
        <v>2</v>
      </c>
      <c r="H576" s="1">
        <v>1</v>
      </c>
      <c r="I576" s="1">
        <v>0</v>
      </c>
      <c r="J576" s="1">
        <v>2</v>
      </c>
    </row>
    <row r="577" spans="1:10" x14ac:dyDescent="0.2">
      <c r="A577" s="1">
        <v>2016</v>
      </c>
      <c r="B577" s="1">
        <v>0</v>
      </c>
      <c r="C577" s="1">
        <v>13</v>
      </c>
      <c r="D577" s="1">
        <v>4</v>
      </c>
      <c r="E577" s="1">
        <v>3</v>
      </c>
      <c r="F577" s="1">
        <v>1</v>
      </c>
      <c r="G577" s="1">
        <v>2</v>
      </c>
      <c r="H577" s="1">
        <v>0</v>
      </c>
      <c r="I577" s="1">
        <v>0</v>
      </c>
      <c r="J577" s="1">
        <v>2</v>
      </c>
    </row>
    <row r="578" spans="1:10" x14ac:dyDescent="0.2">
      <c r="A578" s="1">
        <v>1803</v>
      </c>
      <c r="B578" s="1">
        <v>0</v>
      </c>
      <c r="C578" s="1">
        <v>15</v>
      </c>
      <c r="D578" s="1">
        <v>2</v>
      </c>
      <c r="E578" s="1">
        <v>3</v>
      </c>
      <c r="F578" s="1">
        <v>1</v>
      </c>
      <c r="G578" s="1">
        <v>2</v>
      </c>
      <c r="H578" s="1">
        <v>1</v>
      </c>
      <c r="I578" s="1">
        <v>1</v>
      </c>
      <c r="J578" s="1">
        <v>2</v>
      </c>
    </row>
    <row r="579" spans="1:10" x14ac:dyDescent="0.2">
      <c r="A579" s="1">
        <v>185</v>
      </c>
      <c r="B579" s="1">
        <v>0</v>
      </c>
      <c r="C579" s="1">
        <v>16</v>
      </c>
      <c r="D579" s="1">
        <v>3</v>
      </c>
      <c r="E579" s="1">
        <v>1</v>
      </c>
      <c r="F579" s="1">
        <v>2</v>
      </c>
      <c r="G579" s="1">
        <v>2</v>
      </c>
      <c r="H579" s="1">
        <v>1</v>
      </c>
      <c r="I579" s="1">
        <v>0</v>
      </c>
      <c r="J579" s="1">
        <v>2</v>
      </c>
    </row>
    <row r="580" spans="1:10" x14ac:dyDescent="0.2">
      <c r="A580" s="1">
        <v>70</v>
      </c>
      <c r="B580" s="1">
        <v>0</v>
      </c>
      <c r="C580" s="1">
        <v>5</v>
      </c>
      <c r="D580" s="1">
        <v>4</v>
      </c>
      <c r="E580" s="1">
        <v>2</v>
      </c>
      <c r="F580" s="1">
        <v>2</v>
      </c>
      <c r="G580" s="1">
        <v>2</v>
      </c>
      <c r="H580" s="1">
        <v>1</v>
      </c>
      <c r="I580" s="1">
        <v>2</v>
      </c>
      <c r="J580" s="1">
        <v>2</v>
      </c>
    </row>
    <row r="581" spans="1:10" x14ac:dyDescent="0.2">
      <c r="A581" s="1">
        <v>306</v>
      </c>
      <c r="B581" s="1">
        <v>0</v>
      </c>
      <c r="C581" s="1">
        <v>12</v>
      </c>
      <c r="D581" s="1">
        <v>5</v>
      </c>
      <c r="E581" s="1">
        <v>2</v>
      </c>
      <c r="F581" s="1">
        <v>2</v>
      </c>
      <c r="G581" s="1">
        <v>2</v>
      </c>
      <c r="H581" s="1">
        <v>1</v>
      </c>
      <c r="I581" s="1">
        <v>3</v>
      </c>
      <c r="J581" s="1">
        <v>2</v>
      </c>
    </row>
    <row r="582" spans="1:10" x14ac:dyDescent="0.2">
      <c r="A582" s="1">
        <v>952</v>
      </c>
      <c r="B582" s="1">
        <v>0</v>
      </c>
      <c r="C582" s="1">
        <v>12</v>
      </c>
      <c r="D582" s="1">
        <v>3</v>
      </c>
      <c r="E582" s="1">
        <v>2</v>
      </c>
      <c r="F582" s="1">
        <v>2</v>
      </c>
      <c r="G582" s="1">
        <v>2</v>
      </c>
      <c r="H582" s="1">
        <v>1</v>
      </c>
      <c r="I582" s="1">
        <v>1</v>
      </c>
      <c r="J582" s="1">
        <v>2</v>
      </c>
    </row>
    <row r="583" spans="1:10" x14ac:dyDescent="0.2">
      <c r="A583" s="1">
        <v>418</v>
      </c>
      <c r="B583" s="1">
        <v>0</v>
      </c>
      <c r="C583" s="1">
        <v>8</v>
      </c>
      <c r="D583" s="1">
        <v>1</v>
      </c>
      <c r="E583" s="1">
        <v>3</v>
      </c>
      <c r="F583" s="1">
        <v>2</v>
      </c>
      <c r="G583" s="1">
        <v>2</v>
      </c>
      <c r="H583" s="1">
        <v>0</v>
      </c>
      <c r="I583" s="1">
        <v>1</v>
      </c>
      <c r="J583" s="1">
        <v>2</v>
      </c>
    </row>
    <row r="584" spans="1:10" x14ac:dyDescent="0.2">
      <c r="A584" s="1">
        <v>2351</v>
      </c>
      <c r="B584" s="1">
        <v>0</v>
      </c>
      <c r="C584" s="1">
        <v>17</v>
      </c>
      <c r="D584" s="1">
        <v>5</v>
      </c>
      <c r="E584" s="1">
        <v>3</v>
      </c>
      <c r="F584" s="1">
        <v>2</v>
      </c>
      <c r="G584" s="1">
        <v>2</v>
      </c>
      <c r="H584" s="1">
        <v>1</v>
      </c>
      <c r="I584" s="1">
        <v>2</v>
      </c>
      <c r="J584" s="1">
        <v>2</v>
      </c>
    </row>
    <row r="585" spans="1:10" x14ac:dyDescent="0.2">
      <c r="A585" s="1">
        <v>2060</v>
      </c>
      <c r="B585" s="1">
        <v>0</v>
      </c>
      <c r="C585" s="1">
        <v>10</v>
      </c>
      <c r="D585" s="1">
        <v>1</v>
      </c>
      <c r="E585" s="1">
        <v>1</v>
      </c>
      <c r="F585" s="1">
        <v>3</v>
      </c>
      <c r="G585" s="1">
        <v>2</v>
      </c>
      <c r="H585" s="1">
        <v>1</v>
      </c>
      <c r="I585" s="1">
        <v>1</v>
      </c>
      <c r="J585" s="1">
        <v>2</v>
      </c>
    </row>
    <row r="586" spans="1:10" x14ac:dyDescent="0.2">
      <c r="A586" s="1">
        <v>1819</v>
      </c>
      <c r="B586" s="1">
        <v>0</v>
      </c>
      <c r="C586" s="1">
        <v>18</v>
      </c>
      <c r="D586" s="1">
        <v>1</v>
      </c>
      <c r="E586" s="1">
        <v>2</v>
      </c>
      <c r="F586" s="1">
        <v>3</v>
      </c>
      <c r="G586" s="1">
        <v>2</v>
      </c>
      <c r="H586" s="1">
        <v>1</v>
      </c>
      <c r="I586" s="1">
        <v>2</v>
      </c>
      <c r="J586" s="1">
        <v>2</v>
      </c>
    </row>
    <row r="587" spans="1:10" x14ac:dyDescent="0.2">
      <c r="A587" s="1">
        <v>2231</v>
      </c>
      <c r="B587" s="1">
        <v>0</v>
      </c>
      <c r="C587" s="1">
        <v>8</v>
      </c>
      <c r="D587" s="1">
        <v>1</v>
      </c>
      <c r="E587" s="1">
        <v>3</v>
      </c>
      <c r="F587" s="1">
        <v>3</v>
      </c>
      <c r="G587" s="1">
        <v>2</v>
      </c>
      <c r="H587" s="1">
        <v>1</v>
      </c>
      <c r="I587" s="1">
        <v>3</v>
      </c>
      <c r="J587" s="1">
        <v>2</v>
      </c>
    </row>
    <row r="588" spans="1:10" x14ac:dyDescent="0.2">
      <c r="A588" s="1">
        <v>1324</v>
      </c>
      <c r="B588" s="1">
        <v>0</v>
      </c>
      <c r="C588" s="1">
        <v>20</v>
      </c>
      <c r="D588" s="1">
        <v>5</v>
      </c>
      <c r="E588" s="1">
        <v>3</v>
      </c>
      <c r="F588" s="1">
        <v>3</v>
      </c>
      <c r="G588" s="1">
        <v>2</v>
      </c>
      <c r="H588" s="1">
        <v>0</v>
      </c>
      <c r="I588" s="1">
        <v>2</v>
      </c>
      <c r="J588" s="1">
        <v>2</v>
      </c>
    </row>
    <row r="589" spans="1:10" x14ac:dyDescent="0.2">
      <c r="A589" s="1">
        <v>172</v>
      </c>
      <c r="B589" s="1">
        <v>0</v>
      </c>
      <c r="C589" s="1">
        <v>6</v>
      </c>
      <c r="D589" s="1">
        <v>1</v>
      </c>
      <c r="E589" s="1">
        <v>1</v>
      </c>
      <c r="F589" s="1">
        <v>4</v>
      </c>
      <c r="G589" s="1">
        <v>2</v>
      </c>
      <c r="H589" s="1">
        <v>0</v>
      </c>
      <c r="I589" s="1">
        <v>0</v>
      </c>
      <c r="J589" s="1">
        <v>2</v>
      </c>
    </row>
    <row r="590" spans="1:10" x14ac:dyDescent="0.2">
      <c r="A590" s="1">
        <v>1068</v>
      </c>
      <c r="B590" s="1">
        <v>0</v>
      </c>
      <c r="C590" s="1">
        <v>13</v>
      </c>
      <c r="D590" s="1">
        <v>5</v>
      </c>
      <c r="E590" s="1">
        <v>1</v>
      </c>
      <c r="F590" s="1">
        <v>4</v>
      </c>
      <c r="G590" s="1">
        <v>2</v>
      </c>
      <c r="H590" s="1">
        <v>0</v>
      </c>
      <c r="I590" s="1">
        <v>0</v>
      </c>
      <c r="J590" s="1">
        <v>2</v>
      </c>
    </row>
    <row r="591" spans="1:10" x14ac:dyDescent="0.2">
      <c r="A591" s="1">
        <v>1158</v>
      </c>
      <c r="B591" s="1">
        <v>0</v>
      </c>
      <c r="C591" s="1">
        <v>19</v>
      </c>
      <c r="D591" s="1">
        <v>2</v>
      </c>
      <c r="E591" s="1">
        <v>1</v>
      </c>
      <c r="F591" s="1">
        <v>4</v>
      </c>
      <c r="G591" s="1">
        <v>2</v>
      </c>
      <c r="H591" s="1">
        <v>1</v>
      </c>
      <c r="I591" s="1">
        <v>0</v>
      </c>
      <c r="J591" s="1">
        <v>2</v>
      </c>
    </row>
    <row r="592" spans="1:10" x14ac:dyDescent="0.2">
      <c r="A592" s="1">
        <v>1441</v>
      </c>
      <c r="B592" s="1">
        <v>0</v>
      </c>
      <c r="C592" s="1">
        <v>12</v>
      </c>
      <c r="D592" s="1">
        <v>3</v>
      </c>
      <c r="E592" s="1">
        <v>2</v>
      </c>
      <c r="F592" s="1">
        <v>4</v>
      </c>
      <c r="G592" s="1">
        <v>2</v>
      </c>
      <c r="H592" s="1">
        <v>1</v>
      </c>
      <c r="I592" s="1">
        <v>3</v>
      </c>
      <c r="J592" s="1">
        <v>2</v>
      </c>
    </row>
    <row r="593" spans="1:10" x14ac:dyDescent="0.2">
      <c r="A593" s="1">
        <v>1097</v>
      </c>
      <c r="B593" s="1">
        <v>0</v>
      </c>
      <c r="C593" s="1">
        <v>14</v>
      </c>
      <c r="D593" s="1">
        <v>4</v>
      </c>
      <c r="E593" s="1">
        <v>2</v>
      </c>
      <c r="F593" s="1">
        <v>4</v>
      </c>
      <c r="G593" s="1">
        <v>2</v>
      </c>
      <c r="H593" s="1">
        <v>1</v>
      </c>
      <c r="I593" s="1">
        <v>3</v>
      </c>
      <c r="J593" s="1">
        <v>2</v>
      </c>
    </row>
    <row r="594" spans="1:10" x14ac:dyDescent="0.2">
      <c r="A594" s="1">
        <v>2491</v>
      </c>
      <c r="B594" s="1">
        <v>0</v>
      </c>
      <c r="C594" s="1">
        <v>14</v>
      </c>
      <c r="D594" s="1">
        <v>4</v>
      </c>
      <c r="E594" s="1">
        <v>2</v>
      </c>
      <c r="F594" s="1">
        <v>4</v>
      </c>
      <c r="G594" s="1">
        <v>2</v>
      </c>
      <c r="H594" s="1">
        <v>1</v>
      </c>
      <c r="I594" s="1">
        <v>3</v>
      </c>
      <c r="J594" s="1">
        <v>2</v>
      </c>
    </row>
    <row r="595" spans="1:10" x14ac:dyDescent="0.2">
      <c r="A595" s="1">
        <v>235</v>
      </c>
      <c r="B595" s="1">
        <v>0</v>
      </c>
      <c r="C595" s="1">
        <v>15</v>
      </c>
      <c r="D595" s="1">
        <v>3</v>
      </c>
      <c r="E595" s="1">
        <v>2</v>
      </c>
      <c r="F595" s="1">
        <v>4</v>
      </c>
      <c r="G595" s="1">
        <v>2</v>
      </c>
      <c r="H595" s="1">
        <v>1</v>
      </c>
      <c r="I595" s="1">
        <v>0</v>
      </c>
      <c r="J595" s="1">
        <v>2</v>
      </c>
    </row>
    <row r="596" spans="1:10" x14ac:dyDescent="0.2">
      <c r="A596" s="1">
        <v>713</v>
      </c>
      <c r="B596" s="1">
        <v>0</v>
      </c>
      <c r="C596" s="1">
        <v>15</v>
      </c>
      <c r="D596" s="1">
        <v>2</v>
      </c>
      <c r="E596" s="1">
        <v>2</v>
      </c>
      <c r="F596" s="1">
        <v>4</v>
      </c>
      <c r="G596" s="1">
        <v>2</v>
      </c>
      <c r="H596" s="1">
        <v>1</v>
      </c>
      <c r="I596" s="1">
        <v>2</v>
      </c>
      <c r="J596" s="1">
        <v>2</v>
      </c>
    </row>
    <row r="597" spans="1:10" x14ac:dyDescent="0.2">
      <c r="A597" s="1">
        <v>247</v>
      </c>
      <c r="B597" s="1">
        <v>0</v>
      </c>
      <c r="C597" s="1">
        <v>17</v>
      </c>
      <c r="D597" s="1">
        <v>1</v>
      </c>
      <c r="E597" s="1">
        <v>2</v>
      </c>
      <c r="F597" s="1">
        <v>4</v>
      </c>
      <c r="G597" s="1">
        <v>2</v>
      </c>
      <c r="H597" s="1">
        <v>0</v>
      </c>
      <c r="I597" s="1">
        <v>1</v>
      </c>
      <c r="J597" s="1">
        <v>2</v>
      </c>
    </row>
    <row r="598" spans="1:10" x14ac:dyDescent="0.2">
      <c r="A598" s="1">
        <v>1136</v>
      </c>
      <c r="B598" s="1">
        <v>0</v>
      </c>
      <c r="C598" s="1">
        <v>20</v>
      </c>
      <c r="D598" s="1">
        <v>1</v>
      </c>
      <c r="E598" s="1">
        <v>2</v>
      </c>
      <c r="F598" s="1">
        <v>4</v>
      </c>
      <c r="G598" s="1">
        <v>2</v>
      </c>
      <c r="H598" s="1">
        <v>0</v>
      </c>
      <c r="I598" s="1">
        <v>3</v>
      </c>
      <c r="J598" s="1">
        <v>2</v>
      </c>
    </row>
    <row r="599" spans="1:10" x14ac:dyDescent="0.2">
      <c r="A599" s="1">
        <v>2069</v>
      </c>
      <c r="B599" s="1">
        <v>0</v>
      </c>
      <c r="C599" s="1">
        <v>15</v>
      </c>
      <c r="D599" s="1">
        <v>3</v>
      </c>
      <c r="E599" s="1">
        <v>3</v>
      </c>
      <c r="F599" s="1">
        <v>4</v>
      </c>
      <c r="G599" s="1">
        <v>2</v>
      </c>
      <c r="H599" s="1">
        <v>1</v>
      </c>
      <c r="I599" s="1">
        <v>0</v>
      </c>
      <c r="J599" s="1">
        <v>2</v>
      </c>
    </row>
    <row r="600" spans="1:10" x14ac:dyDescent="0.2">
      <c r="A600" s="1">
        <v>990</v>
      </c>
      <c r="B600" s="1">
        <v>0</v>
      </c>
      <c r="C600" s="1">
        <v>6</v>
      </c>
      <c r="D600" s="1">
        <v>2</v>
      </c>
      <c r="E600" s="1">
        <v>2</v>
      </c>
      <c r="F600" s="1">
        <v>5</v>
      </c>
      <c r="G600" s="1">
        <v>2</v>
      </c>
      <c r="H600" s="1">
        <v>0</v>
      </c>
      <c r="I600" s="1">
        <v>3</v>
      </c>
      <c r="J600" s="1">
        <v>2</v>
      </c>
    </row>
    <row r="601" spans="1:10" x14ac:dyDescent="0.2">
      <c r="A601" s="1">
        <v>1719</v>
      </c>
      <c r="B601" s="1">
        <v>0</v>
      </c>
      <c r="C601" s="1">
        <v>7</v>
      </c>
      <c r="D601" s="1">
        <v>5</v>
      </c>
      <c r="E601" s="1">
        <v>2</v>
      </c>
      <c r="F601" s="1">
        <v>5</v>
      </c>
      <c r="G601" s="1">
        <v>2</v>
      </c>
      <c r="H601" s="1">
        <v>1</v>
      </c>
      <c r="I601" s="1">
        <v>2</v>
      </c>
      <c r="J601" s="1">
        <v>2</v>
      </c>
    </row>
    <row r="602" spans="1:10" x14ac:dyDescent="0.2">
      <c r="A602" s="1">
        <v>2112</v>
      </c>
      <c r="B602" s="1">
        <v>0</v>
      </c>
      <c r="C602" s="1">
        <v>14</v>
      </c>
      <c r="D602" s="1">
        <v>1</v>
      </c>
      <c r="E602" s="1">
        <v>2</v>
      </c>
      <c r="F602" s="1">
        <v>5</v>
      </c>
      <c r="G602" s="1">
        <v>2</v>
      </c>
      <c r="H602" s="1">
        <v>1</v>
      </c>
      <c r="I602" s="1">
        <v>0</v>
      </c>
      <c r="J602" s="1">
        <v>2</v>
      </c>
    </row>
    <row r="603" spans="1:10" x14ac:dyDescent="0.2">
      <c r="A603" s="1">
        <v>456</v>
      </c>
      <c r="B603" s="1">
        <v>0</v>
      </c>
      <c r="C603" s="1">
        <v>10</v>
      </c>
      <c r="D603" s="1">
        <v>4</v>
      </c>
      <c r="E603" s="1">
        <v>3</v>
      </c>
      <c r="F603" s="1">
        <v>5</v>
      </c>
      <c r="G603" s="1">
        <v>2</v>
      </c>
      <c r="H603" s="1">
        <v>1</v>
      </c>
      <c r="I603" s="1">
        <v>3</v>
      </c>
      <c r="J603" s="1">
        <v>2</v>
      </c>
    </row>
    <row r="604" spans="1:10" x14ac:dyDescent="0.2">
      <c r="A604" s="1">
        <v>1754</v>
      </c>
      <c r="B604" s="1">
        <v>0</v>
      </c>
      <c r="C604" s="1">
        <v>8</v>
      </c>
      <c r="D604" s="1">
        <v>3</v>
      </c>
      <c r="E604" s="1">
        <v>1</v>
      </c>
      <c r="F604" s="1">
        <v>6</v>
      </c>
      <c r="G604" s="1">
        <v>2</v>
      </c>
      <c r="H604" s="1">
        <v>0</v>
      </c>
      <c r="I604" s="1">
        <v>1</v>
      </c>
      <c r="J604" s="1">
        <v>2</v>
      </c>
    </row>
    <row r="605" spans="1:10" x14ac:dyDescent="0.2">
      <c r="A605" s="1">
        <v>2180</v>
      </c>
      <c r="B605" s="1">
        <v>0</v>
      </c>
      <c r="C605" s="1">
        <v>14</v>
      </c>
      <c r="D605" s="1">
        <v>5</v>
      </c>
      <c r="E605" s="1">
        <v>2</v>
      </c>
      <c r="F605" s="1">
        <v>6</v>
      </c>
      <c r="G605" s="1">
        <v>2</v>
      </c>
      <c r="H605" s="1">
        <v>1</v>
      </c>
      <c r="I605" s="1">
        <v>1</v>
      </c>
      <c r="J605" s="1">
        <v>2</v>
      </c>
    </row>
    <row r="606" spans="1:10" x14ac:dyDescent="0.2">
      <c r="A606" s="1">
        <v>338</v>
      </c>
      <c r="B606" s="1">
        <v>0</v>
      </c>
      <c r="C606" s="1">
        <v>10</v>
      </c>
      <c r="D606" s="1">
        <v>5</v>
      </c>
      <c r="E606" s="1">
        <v>3</v>
      </c>
      <c r="F606" s="1">
        <v>6</v>
      </c>
      <c r="G606" s="1">
        <v>2</v>
      </c>
      <c r="H606" s="1">
        <v>1</v>
      </c>
      <c r="I606" s="1">
        <v>2</v>
      </c>
      <c r="J606" s="1">
        <v>2</v>
      </c>
    </row>
    <row r="607" spans="1:10" x14ac:dyDescent="0.2">
      <c r="A607" s="1">
        <v>1886</v>
      </c>
      <c r="B607" s="1">
        <v>0</v>
      </c>
      <c r="C607" s="1">
        <v>18</v>
      </c>
      <c r="D607" s="1">
        <v>4</v>
      </c>
      <c r="E607" s="1">
        <v>3</v>
      </c>
      <c r="F607" s="1">
        <v>6</v>
      </c>
      <c r="G607" s="1">
        <v>2</v>
      </c>
      <c r="H607" s="1">
        <v>0</v>
      </c>
      <c r="I607" s="1">
        <v>1</v>
      </c>
      <c r="J607" s="1">
        <v>2</v>
      </c>
    </row>
    <row r="608" spans="1:10" x14ac:dyDescent="0.2">
      <c r="A608" s="1">
        <v>466</v>
      </c>
      <c r="B608" s="1">
        <v>0</v>
      </c>
      <c r="C608" s="1">
        <v>9</v>
      </c>
      <c r="D608" s="1">
        <v>4</v>
      </c>
      <c r="E608" s="1">
        <v>2</v>
      </c>
      <c r="F608" s="1">
        <v>7</v>
      </c>
      <c r="G608" s="1">
        <v>2</v>
      </c>
      <c r="H608" s="1">
        <v>1</v>
      </c>
      <c r="I608" s="1">
        <v>1</v>
      </c>
      <c r="J608" s="1">
        <v>2</v>
      </c>
    </row>
    <row r="609" spans="1:10" x14ac:dyDescent="0.2">
      <c r="A609" s="1">
        <v>1897</v>
      </c>
      <c r="B609" s="1">
        <v>0</v>
      </c>
      <c r="C609" s="1">
        <v>16</v>
      </c>
      <c r="D609" s="1">
        <v>2</v>
      </c>
      <c r="E609" s="1">
        <v>2</v>
      </c>
      <c r="F609" s="1">
        <v>7</v>
      </c>
      <c r="G609" s="1">
        <v>2</v>
      </c>
      <c r="H609" s="1">
        <v>1</v>
      </c>
      <c r="I609" s="1">
        <v>0</v>
      </c>
      <c r="J609" s="1">
        <v>2</v>
      </c>
    </row>
    <row r="610" spans="1:10" x14ac:dyDescent="0.2">
      <c r="A610" s="1">
        <v>1193</v>
      </c>
      <c r="B610" s="1">
        <v>0</v>
      </c>
      <c r="C610" s="1">
        <v>11</v>
      </c>
      <c r="D610" s="1">
        <v>3</v>
      </c>
      <c r="E610" s="1">
        <v>3</v>
      </c>
      <c r="F610" s="1">
        <v>7</v>
      </c>
      <c r="G610" s="1">
        <v>2</v>
      </c>
      <c r="H610" s="1">
        <v>0</v>
      </c>
      <c r="I610" s="1">
        <v>1</v>
      </c>
      <c r="J610" s="1">
        <v>2</v>
      </c>
    </row>
    <row r="611" spans="1:10" x14ac:dyDescent="0.2">
      <c r="A611" s="1">
        <v>2256</v>
      </c>
      <c r="B611" s="1">
        <v>0</v>
      </c>
      <c r="C611" s="1">
        <v>19</v>
      </c>
      <c r="D611" s="1">
        <v>1</v>
      </c>
      <c r="E611" s="1">
        <v>3</v>
      </c>
      <c r="F611" s="1">
        <v>7</v>
      </c>
      <c r="G611" s="1">
        <v>2</v>
      </c>
      <c r="H611" s="1">
        <v>1</v>
      </c>
      <c r="I611" s="1">
        <v>0</v>
      </c>
      <c r="J611" s="1">
        <v>2</v>
      </c>
    </row>
    <row r="612" spans="1:10" x14ac:dyDescent="0.2">
      <c r="A612" s="1">
        <v>310</v>
      </c>
      <c r="B612" s="1">
        <v>0</v>
      </c>
      <c r="C612" s="1">
        <v>11</v>
      </c>
      <c r="D612" s="1">
        <v>2</v>
      </c>
      <c r="E612" s="1">
        <v>1</v>
      </c>
      <c r="F612" s="1">
        <v>8</v>
      </c>
      <c r="G612" s="1">
        <v>2</v>
      </c>
      <c r="H612" s="1">
        <v>1</v>
      </c>
      <c r="I612" s="1">
        <v>1</v>
      </c>
      <c r="J612" s="1">
        <v>2</v>
      </c>
    </row>
    <row r="613" spans="1:10" x14ac:dyDescent="0.2">
      <c r="A613" s="1">
        <v>183</v>
      </c>
      <c r="B613" s="1">
        <v>0</v>
      </c>
      <c r="C613" s="1">
        <v>17</v>
      </c>
      <c r="D613" s="1">
        <v>2</v>
      </c>
      <c r="E613" s="1">
        <v>1</v>
      </c>
      <c r="F613" s="1">
        <v>8</v>
      </c>
      <c r="G613" s="1">
        <v>2</v>
      </c>
      <c r="H613" s="1">
        <v>1</v>
      </c>
      <c r="I613" s="1">
        <v>0</v>
      </c>
      <c r="J613" s="1">
        <v>2</v>
      </c>
    </row>
    <row r="614" spans="1:10" x14ac:dyDescent="0.2">
      <c r="A614" s="1">
        <v>2336</v>
      </c>
      <c r="B614" s="1">
        <v>0</v>
      </c>
      <c r="C614" s="1">
        <v>19</v>
      </c>
      <c r="D614" s="1">
        <v>4</v>
      </c>
      <c r="E614" s="1">
        <v>1</v>
      </c>
      <c r="F614" s="1">
        <v>8</v>
      </c>
      <c r="G614" s="1">
        <v>2</v>
      </c>
      <c r="H614" s="1">
        <v>1</v>
      </c>
      <c r="I614" s="1">
        <v>2</v>
      </c>
      <c r="J614" s="1">
        <v>2</v>
      </c>
    </row>
    <row r="615" spans="1:10" x14ac:dyDescent="0.2">
      <c r="A615" s="1">
        <v>2242</v>
      </c>
      <c r="B615" s="1">
        <v>0</v>
      </c>
      <c r="C615" s="1">
        <v>11</v>
      </c>
      <c r="D615" s="1">
        <v>5</v>
      </c>
      <c r="E615" s="1">
        <v>2</v>
      </c>
      <c r="F615" s="1">
        <v>8</v>
      </c>
      <c r="G615" s="1">
        <v>2</v>
      </c>
      <c r="H615" s="1">
        <v>0</v>
      </c>
      <c r="I615" s="1">
        <v>1</v>
      </c>
      <c r="J615" s="1">
        <v>2</v>
      </c>
    </row>
    <row r="616" spans="1:10" x14ac:dyDescent="0.2">
      <c r="A616" s="1">
        <v>2013</v>
      </c>
      <c r="B616" s="1">
        <v>0</v>
      </c>
      <c r="C616" s="1">
        <v>12</v>
      </c>
      <c r="D616" s="1">
        <v>4</v>
      </c>
      <c r="E616" s="1">
        <v>3</v>
      </c>
      <c r="F616" s="1">
        <v>8</v>
      </c>
      <c r="G616" s="1">
        <v>2</v>
      </c>
      <c r="H616" s="1">
        <v>0</v>
      </c>
      <c r="I616" s="1">
        <v>2</v>
      </c>
      <c r="J616" s="1">
        <v>2</v>
      </c>
    </row>
    <row r="617" spans="1:10" x14ac:dyDescent="0.2">
      <c r="A617" s="1">
        <v>1654</v>
      </c>
      <c r="B617" s="1">
        <v>0</v>
      </c>
      <c r="C617" s="1">
        <v>13</v>
      </c>
      <c r="D617" s="1">
        <v>4</v>
      </c>
      <c r="E617" s="1">
        <v>3</v>
      </c>
      <c r="F617" s="1">
        <v>8</v>
      </c>
      <c r="G617" s="1">
        <v>2</v>
      </c>
      <c r="H617" s="1">
        <v>0</v>
      </c>
      <c r="I617" s="1">
        <v>2</v>
      </c>
      <c r="J617" s="1">
        <v>2</v>
      </c>
    </row>
    <row r="618" spans="1:10" x14ac:dyDescent="0.2">
      <c r="A618" s="1">
        <v>788</v>
      </c>
      <c r="B618" s="1">
        <v>0</v>
      </c>
      <c r="C618" s="1">
        <v>17</v>
      </c>
      <c r="D618" s="1">
        <v>2</v>
      </c>
      <c r="E618" s="1">
        <v>1</v>
      </c>
      <c r="F618" s="1">
        <v>9</v>
      </c>
      <c r="G618" s="1">
        <v>2</v>
      </c>
      <c r="H618" s="1">
        <v>1</v>
      </c>
      <c r="I618" s="1">
        <v>1</v>
      </c>
      <c r="J618" s="1">
        <v>2</v>
      </c>
    </row>
    <row r="619" spans="1:10" x14ac:dyDescent="0.2">
      <c r="A619" s="1">
        <v>1159</v>
      </c>
      <c r="B619" s="1">
        <v>0</v>
      </c>
      <c r="C619" s="1">
        <v>20</v>
      </c>
      <c r="D619" s="1">
        <v>1</v>
      </c>
      <c r="E619" s="1">
        <v>1</v>
      </c>
      <c r="F619" s="1">
        <v>9</v>
      </c>
      <c r="G619" s="1">
        <v>2</v>
      </c>
      <c r="H619" s="1">
        <v>0</v>
      </c>
      <c r="I619" s="1">
        <v>0</v>
      </c>
      <c r="J619" s="1">
        <v>2</v>
      </c>
    </row>
    <row r="620" spans="1:10" x14ac:dyDescent="0.2">
      <c r="A620" s="1">
        <v>908</v>
      </c>
      <c r="B620" s="1">
        <v>0</v>
      </c>
      <c r="C620" s="1">
        <v>5</v>
      </c>
      <c r="D620" s="1">
        <v>1</v>
      </c>
      <c r="E620" s="1">
        <v>2</v>
      </c>
      <c r="F620" s="1">
        <v>9</v>
      </c>
      <c r="G620" s="1">
        <v>2</v>
      </c>
      <c r="H620" s="1">
        <v>1</v>
      </c>
      <c r="I620" s="1">
        <v>3</v>
      </c>
      <c r="J620" s="1">
        <v>2</v>
      </c>
    </row>
    <row r="621" spans="1:10" x14ac:dyDescent="0.2">
      <c r="A621" s="1">
        <v>1805</v>
      </c>
      <c r="B621" s="1">
        <v>0</v>
      </c>
      <c r="C621" s="1">
        <v>12</v>
      </c>
      <c r="D621" s="1">
        <v>2</v>
      </c>
      <c r="E621" s="1">
        <v>3</v>
      </c>
      <c r="F621" s="1">
        <v>9</v>
      </c>
      <c r="G621" s="1">
        <v>2</v>
      </c>
      <c r="H621" s="1">
        <v>1</v>
      </c>
      <c r="I621" s="1">
        <v>0</v>
      </c>
      <c r="J621" s="1">
        <v>2</v>
      </c>
    </row>
    <row r="622" spans="1:10" x14ac:dyDescent="0.2">
      <c r="A622" s="1">
        <v>1261</v>
      </c>
      <c r="B622" s="1">
        <v>0</v>
      </c>
      <c r="C622" s="1">
        <v>13</v>
      </c>
      <c r="D622" s="1">
        <v>2</v>
      </c>
      <c r="E622" s="1">
        <v>3</v>
      </c>
      <c r="F622" s="1">
        <v>9</v>
      </c>
      <c r="G622" s="1">
        <v>2</v>
      </c>
      <c r="H622" s="1">
        <v>0</v>
      </c>
      <c r="I622" s="1">
        <v>2</v>
      </c>
      <c r="J622" s="1">
        <v>2</v>
      </c>
    </row>
    <row r="623" spans="1:10" x14ac:dyDescent="0.2">
      <c r="A623" s="1">
        <v>1321</v>
      </c>
      <c r="B623" s="1">
        <v>0</v>
      </c>
      <c r="C623" s="1">
        <v>13</v>
      </c>
      <c r="D623" s="1">
        <v>2</v>
      </c>
      <c r="E623" s="1">
        <v>3</v>
      </c>
      <c r="F623" s="1">
        <v>9</v>
      </c>
      <c r="G623" s="1">
        <v>2</v>
      </c>
      <c r="H623" s="1">
        <v>1</v>
      </c>
      <c r="I623" s="1">
        <v>3</v>
      </c>
      <c r="J623" s="1">
        <v>2</v>
      </c>
    </row>
    <row r="624" spans="1:10" x14ac:dyDescent="0.2">
      <c r="A624" s="1">
        <v>1474</v>
      </c>
      <c r="B624" s="1">
        <v>0</v>
      </c>
      <c r="C624" s="1">
        <v>11</v>
      </c>
      <c r="D624" s="1">
        <v>1</v>
      </c>
      <c r="E624" s="1">
        <v>1</v>
      </c>
      <c r="F624" s="1">
        <v>10</v>
      </c>
      <c r="G624" s="1">
        <v>2</v>
      </c>
      <c r="H624" s="1">
        <v>0</v>
      </c>
      <c r="I624" s="1">
        <v>2</v>
      </c>
      <c r="J624" s="1">
        <v>2</v>
      </c>
    </row>
    <row r="625" spans="1:10" x14ac:dyDescent="0.2">
      <c r="A625" s="1">
        <v>1471</v>
      </c>
      <c r="B625" s="1">
        <v>0</v>
      </c>
      <c r="C625" s="1">
        <v>19</v>
      </c>
      <c r="D625" s="1">
        <v>4</v>
      </c>
      <c r="E625" s="1">
        <v>1</v>
      </c>
      <c r="F625" s="1">
        <v>10</v>
      </c>
      <c r="G625" s="1">
        <v>2</v>
      </c>
      <c r="H625" s="1">
        <v>1</v>
      </c>
      <c r="I625" s="1">
        <v>3</v>
      </c>
      <c r="J625" s="1">
        <v>2</v>
      </c>
    </row>
    <row r="626" spans="1:10" x14ac:dyDescent="0.2">
      <c r="A626" s="1">
        <v>2387</v>
      </c>
      <c r="B626" s="1">
        <v>0</v>
      </c>
      <c r="C626" s="1">
        <v>11</v>
      </c>
      <c r="D626" s="1">
        <v>2</v>
      </c>
      <c r="E626" s="1">
        <v>2</v>
      </c>
      <c r="F626" s="1">
        <v>10</v>
      </c>
      <c r="G626" s="1">
        <v>2</v>
      </c>
      <c r="H626" s="1">
        <v>1</v>
      </c>
      <c r="I626" s="1">
        <v>2</v>
      </c>
      <c r="J626" s="1">
        <v>2</v>
      </c>
    </row>
    <row r="627" spans="1:10" x14ac:dyDescent="0.2">
      <c r="A627" s="1">
        <v>1898</v>
      </c>
      <c r="B627" s="1">
        <v>0</v>
      </c>
      <c r="C627" s="1">
        <v>10</v>
      </c>
      <c r="D627" s="1">
        <v>4</v>
      </c>
      <c r="E627" s="1">
        <v>3</v>
      </c>
      <c r="F627" s="1">
        <v>10</v>
      </c>
      <c r="G627" s="1">
        <v>2</v>
      </c>
      <c r="H627" s="1">
        <v>0</v>
      </c>
      <c r="I627" s="1">
        <v>2</v>
      </c>
      <c r="J627" s="1">
        <v>2</v>
      </c>
    </row>
    <row r="628" spans="1:10" x14ac:dyDescent="0.2">
      <c r="A628" s="1">
        <v>398</v>
      </c>
      <c r="B628" s="1">
        <v>0</v>
      </c>
      <c r="C628" s="1">
        <v>17</v>
      </c>
      <c r="D628" s="1">
        <v>1</v>
      </c>
      <c r="E628" s="1">
        <v>3</v>
      </c>
      <c r="F628" s="1">
        <v>10</v>
      </c>
      <c r="G628" s="1">
        <v>2</v>
      </c>
      <c r="H628" s="1">
        <v>1</v>
      </c>
      <c r="I628" s="1">
        <v>2</v>
      </c>
      <c r="J628" s="1">
        <v>2</v>
      </c>
    </row>
    <row r="629" spans="1:10" x14ac:dyDescent="0.2">
      <c r="A629" s="1">
        <v>1304</v>
      </c>
      <c r="B629" s="1">
        <v>0</v>
      </c>
      <c r="C629" s="1">
        <v>17</v>
      </c>
      <c r="D629" s="1">
        <v>2</v>
      </c>
      <c r="E629" s="1">
        <v>3</v>
      </c>
      <c r="F629" s="1">
        <v>10</v>
      </c>
      <c r="G629" s="1">
        <v>2</v>
      </c>
      <c r="H629" s="1">
        <v>0</v>
      </c>
      <c r="I629" s="1">
        <v>0</v>
      </c>
      <c r="J629" s="1">
        <v>2</v>
      </c>
    </row>
    <row r="630" spans="1:10" x14ac:dyDescent="0.2">
      <c r="A630" s="1">
        <v>1503</v>
      </c>
      <c r="B630" s="1">
        <v>0</v>
      </c>
      <c r="C630" s="1">
        <v>19</v>
      </c>
      <c r="D630" s="1">
        <v>4</v>
      </c>
      <c r="E630" s="1">
        <v>3</v>
      </c>
      <c r="F630" s="1">
        <v>10</v>
      </c>
      <c r="G630" s="1">
        <v>2</v>
      </c>
      <c r="H630" s="1">
        <v>1</v>
      </c>
      <c r="I630" s="1">
        <v>3</v>
      </c>
      <c r="J630" s="1">
        <v>2</v>
      </c>
    </row>
    <row r="631" spans="1:10" x14ac:dyDescent="0.2">
      <c r="A631" s="1">
        <v>2430</v>
      </c>
      <c r="B631" s="1">
        <v>0</v>
      </c>
      <c r="C631" s="1">
        <v>5</v>
      </c>
      <c r="D631" s="1">
        <v>3</v>
      </c>
      <c r="E631" s="1">
        <v>1</v>
      </c>
      <c r="F631" s="1">
        <v>1</v>
      </c>
      <c r="G631" s="1">
        <v>3</v>
      </c>
      <c r="H631" s="1">
        <v>1</v>
      </c>
      <c r="I631" s="1">
        <v>0</v>
      </c>
      <c r="J631" s="1">
        <v>2</v>
      </c>
    </row>
    <row r="632" spans="1:10" x14ac:dyDescent="0.2">
      <c r="A632" s="1">
        <v>991</v>
      </c>
      <c r="B632" s="1">
        <v>0</v>
      </c>
      <c r="C632" s="1">
        <v>10</v>
      </c>
      <c r="D632" s="1">
        <v>2</v>
      </c>
      <c r="E632" s="1">
        <v>1</v>
      </c>
      <c r="F632" s="1">
        <v>1</v>
      </c>
      <c r="G632" s="1">
        <v>3</v>
      </c>
      <c r="H632" s="1">
        <v>1</v>
      </c>
      <c r="I632" s="1">
        <v>1</v>
      </c>
      <c r="J632" s="1">
        <v>2</v>
      </c>
    </row>
    <row r="633" spans="1:10" x14ac:dyDescent="0.2">
      <c r="A633" s="1">
        <v>149</v>
      </c>
      <c r="B633" s="1">
        <v>0</v>
      </c>
      <c r="C633" s="1">
        <v>20</v>
      </c>
      <c r="D633" s="1">
        <v>4</v>
      </c>
      <c r="E633" s="1">
        <v>1</v>
      </c>
      <c r="F633" s="1">
        <v>1</v>
      </c>
      <c r="G633" s="1">
        <v>3</v>
      </c>
      <c r="H633" s="1">
        <v>0</v>
      </c>
      <c r="I633" s="1">
        <v>0</v>
      </c>
      <c r="J633" s="1">
        <v>2</v>
      </c>
    </row>
    <row r="634" spans="1:10" x14ac:dyDescent="0.2">
      <c r="A634" s="1">
        <v>1901</v>
      </c>
      <c r="B634" s="1">
        <v>0</v>
      </c>
      <c r="C634" s="1">
        <v>15</v>
      </c>
      <c r="D634" s="1">
        <v>4</v>
      </c>
      <c r="E634" s="1">
        <v>2</v>
      </c>
      <c r="F634" s="1">
        <v>1</v>
      </c>
      <c r="G634" s="1">
        <v>3</v>
      </c>
      <c r="H634" s="1">
        <v>1</v>
      </c>
      <c r="I634" s="1">
        <v>3</v>
      </c>
      <c r="J634" s="1">
        <v>2</v>
      </c>
    </row>
    <row r="635" spans="1:10" x14ac:dyDescent="0.2">
      <c r="A635" s="1">
        <v>626</v>
      </c>
      <c r="B635" s="1">
        <v>0</v>
      </c>
      <c r="C635" s="1">
        <v>17</v>
      </c>
      <c r="D635" s="1">
        <v>1</v>
      </c>
      <c r="E635" s="1">
        <v>2</v>
      </c>
      <c r="F635" s="1">
        <v>1</v>
      </c>
      <c r="G635" s="1">
        <v>3</v>
      </c>
      <c r="H635" s="1">
        <v>0</v>
      </c>
      <c r="I635" s="1">
        <v>0</v>
      </c>
      <c r="J635" s="1">
        <v>2</v>
      </c>
    </row>
    <row r="636" spans="1:10" x14ac:dyDescent="0.2">
      <c r="A636" s="1">
        <v>512</v>
      </c>
      <c r="B636" s="1">
        <v>0</v>
      </c>
      <c r="C636" s="1">
        <v>9</v>
      </c>
      <c r="D636" s="1">
        <v>1</v>
      </c>
      <c r="E636" s="1">
        <v>3</v>
      </c>
      <c r="F636" s="1">
        <v>1</v>
      </c>
      <c r="G636" s="1">
        <v>3</v>
      </c>
      <c r="H636" s="1">
        <v>0</v>
      </c>
      <c r="I636" s="1">
        <v>3</v>
      </c>
      <c r="J636" s="1">
        <v>2</v>
      </c>
    </row>
    <row r="637" spans="1:10" x14ac:dyDescent="0.2">
      <c r="A637" s="1">
        <v>1425</v>
      </c>
      <c r="B637" s="1">
        <v>0</v>
      </c>
      <c r="C637" s="1">
        <v>14</v>
      </c>
      <c r="D637" s="1">
        <v>4</v>
      </c>
      <c r="E637" s="1">
        <v>3</v>
      </c>
      <c r="F637" s="1">
        <v>1</v>
      </c>
      <c r="G637" s="1">
        <v>3</v>
      </c>
      <c r="H637" s="1">
        <v>1</v>
      </c>
      <c r="I637" s="1">
        <v>1</v>
      </c>
      <c r="J637" s="1">
        <v>2</v>
      </c>
    </row>
    <row r="638" spans="1:10" x14ac:dyDescent="0.2">
      <c r="A638" s="1">
        <v>1572</v>
      </c>
      <c r="B638" s="1">
        <v>0</v>
      </c>
      <c r="C638" s="1">
        <v>6</v>
      </c>
      <c r="D638" s="1">
        <v>3</v>
      </c>
      <c r="E638" s="1">
        <v>1</v>
      </c>
      <c r="F638" s="1">
        <v>2</v>
      </c>
      <c r="G638" s="1">
        <v>3</v>
      </c>
      <c r="H638" s="1">
        <v>1</v>
      </c>
      <c r="I638" s="1">
        <v>1</v>
      </c>
      <c r="J638" s="1">
        <v>2</v>
      </c>
    </row>
    <row r="639" spans="1:10" x14ac:dyDescent="0.2">
      <c r="A639" s="1">
        <v>2248</v>
      </c>
      <c r="B639" s="1">
        <v>0</v>
      </c>
      <c r="C639" s="1">
        <v>10</v>
      </c>
      <c r="D639" s="1">
        <v>5</v>
      </c>
      <c r="E639" s="1">
        <v>1</v>
      </c>
      <c r="F639" s="1">
        <v>2</v>
      </c>
      <c r="G639" s="1">
        <v>3</v>
      </c>
      <c r="H639" s="1">
        <v>1</v>
      </c>
      <c r="I639" s="1">
        <v>1</v>
      </c>
      <c r="J639" s="1">
        <v>2</v>
      </c>
    </row>
    <row r="640" spans="1:10" x14ac:dyDescent="0.2">
      <c r="A640" s="1">
        <v>765</v>
      </c>
      <c r="B640" s="1">
        <v>0</v>
      </c>
      <c r="C640" s="1">
        <v>10</v>
      </c>
      <c r="D640" s="1">
        <v>1</v>
      </c>
      <c r="E640" s="1">
        <v>2</v>
      </c>
      <c r="F640" s="1">
        <v>2</v>
      </c>
      <c r="G640" s="1">
        <v>3</v>
      </c>
      <c r="H640" s="1">
        <v>0</v>
      </c>
      <c r="I640" s="1">
        <v>1</v>
      </c>
      <c r="J640" s="1">
        <v>2</v>
      </c>
    </row>
    <row r="641" spans="1:10" x14ac:dyDescent="0.2">
      <c r="A641" s="1">
        <v>1400</v>
      </c>
      <c r="B641" s="1">
        <v>0</v>
      </c>
      <c r="C641" s="1">
        <v>5</v>
      </c>
      <c r="D641" s="1">
        <v>2</v>
      </c>
      <c r="E641" s="1">
        <v>2</v>
      </c>
      <c r="F641" s="1">
        <v>3</v>
      </c>
      <c r="G641" s="1">
        <v>3</v>
      </c>
      <c r="H641" s="1">
        <v>0</v>
      </c>
      <c r="I641" s="1">
        <v>3</v>
      </c>
      <c r="J641" s="1">
        <v>2</v>
      </c>
    </row>
    <row r="642" spans="1:10" x14ac:dyDescent="0.2">
      <c r="A642" s="1">
        <v>2252</v>
      </c>
      <c r="B642" s="1">
        <v>0</v>
      </c>
      <c r="C642" s="1">
        <v>7</v>
      </c>
      <c r="D642" s="1">
        <v>3</v>
      </c>
      <c r="E642" s="1">
        <v>3</v>
      </c>
      <c r="F642" s="1">
        <v>3</v>
      </c>
      <c r="G642" s="1">
        <v>3</v>
      </c>
      <c r="H642" s="1">
        <v>1</v>
      </c>
      <c r="I642" s="1">
        <v>0</v>
      </c>
      <c r="J642" s="1">
        <v>2</v>
      </c>
    </row>
    <row r="643" spans="1:10" x14ac:dyDescent="0.2">
      <c r="A643" s="1">
        <v>1263</v>
      </c>
      <c r="B643" s="1">
        <v>0</v>
      </c>
      <c r="C643" s="1">
        <v>13</v>
      </c>
      <c r="D643" s="1">
        <v>2</v>
      </c>
      <c r="E643" s="1">
        <v>3</v>
      </c>
      <c r="F643" s="1">
        <v>3</v>
      </c>
      <c r="G643" s="1">
        <v>3</v>
      </c>
      <c r="H643" s="1">
        <v>1</v>
      </c>
      <c r="I643" s="1">
        <v>2</v>
      </c>
      <c r="J643" s="1">
        <v>2</v>
      </c>
    </row>
    <row r="644" spans="1:10" x14ac:dyDescent="0.2">
      <c r="A644" s="1">
        <v>416</v>
      </c>
      <c r="B644" s="1">
        <v>0</v>
      </c>
      <c r="C644" s="1">
        <v>7</v>
      </c>
      <c r="D644" s="1">
        <v>3</v>
      </c>
      <c r="E644" s="1">
        <v>1</v>
      </c>
      <c r="F644" s="1">
        <v>4</v>
      </c>
      <c r="G644" s="1">
        <v>3</v>
      </c>
      <c r="H644" s="1">
        <v>0</v>
      </c>
      <c r="I644" s="1">
        <v>1</v>
      </c>
      <c r="J644" s="1">
        <v>2</v>
      </c>
    </row>
    <row r="645" spans="1:10" x14ac:dyDescent="0.2">
      <c r="A645" s="1">
        <v>2482</v>
      </c>
      <c r="B645" s="1">
        <v>0</v>
      </c>
      <c r="C645" s="1">
        <v>15</v>
      </c>
      <c r="D645" s="1">
        <v>3</v>
      </c>
      <c r="E645" s="1">
        <v>1</v>
      </c>
      <c r="F645" s="1">
        <v>4</v>
      </c>
      <c r="G645" s="1">
        <v>3</v>
      </c>
      <c r="H645" s="1">
        <v>0</v>
      </c>
      <c r="I645" s="1">
        <v>1</v>
      </c>
      <c r="J645" s="1">
        <v>2</v>
      </c>
    </row>
    <row r="646" spans="1:10" x14ac:dyDescent="0.2">
      <c r="A646" s="1">
        <v>902</v>
      </c>
      <c r="B646" s="1">
        <v>0</v>
      </c>
      <c r="C646" s="1">
        <v>18</v>
      </c>
      <c r="D646" s="1">
        <v>1</v>
      </c>
      <c r="E646" s="1">
        <v>1</v>
      </c>
      <c r="F646" s="1">
        <v>4</v>
      </c>
      <c r="G646" s="1">
        <v>3</v>
      </c>
      <c r="H646" s="1">
        <v>0</v>
      </c>
      <c r="I646" s="1">
        <v>2</v>
      </c>
      <c r="J646" s="1">
        <v>2</v>
      </c>
    </row>
    <row r="647" spans="1:10" x14ac:dyDescent="0.2">
      <c r="A647" s="1">
        <v>222</v>
      </c>
      <c r="B647" s="1">
        <v>0</v>
      </c>
      <c r="C647" s="1">
        <v>8</v>
      </c>
      <c r="D647" s="1">
        <v>2</v>
      </c>
      <c r="E647" s="1">
        <v>3</v>
      </c>
      <c r="F647" s="1">
        <v>4</v>
      </c>
      <c r="G647" s="1">
        <v>3</v>
      </c>
      <c r="H647" s="1">
        <v>1</v>
      </c>
      <c r="I647" s="1">
        <v>3</v>
      </c>
      <c r="J647" s="1">
        <v>2</v>
      </c>
    </row>
    <row r="648" spans="1:10" x14ac:dyDescent="0.2">
      <c r="A648" s="1">
        <v>323</v>
      </c>
      <c r="B648" s="1">
        <v>0</v>
      </c>
      <c r="C648" s="1">
        <v>6</v>
      </c>
      <c r="D648" s="1">
        <v>2</v>
      </c>
      <c r="E648" s="1">
        <v>1</v>
      </c>
      <c r="F648" s="1">
        <v>5</v>
      </c>
      <c r="G648" s="1">
        <v>3</v>
      </c>
      <c r="H648" s="1">
        <v>1</v>
      </c>
      <c r="I648" s="1">
        <v>1</v>
      </c>
      <c r="J648" s="1">
        <v>2</v>
      </c>
    </row>
    <row r="649" spans="1:10" x14ac:dyDescent="0.2">
      <c r="A649" s="1">
        <v>344</v>
      </c>
      <c r="B649" s="1">
        <v>0</v>
      </c>
      <c r="C649" s="1">
        <v>9</v>
      </c>
      <c r="D649" s="1">
        <v>5</v>
      </c>
      <c r="E649" s="1">
        <v>1</v>
      </c>
      <c r="F649" s="1">
        <v>5</v>
      </c>
      <c r="G649" s="1">
        <v>3</v>
      </c>
      <c r="H649" s="1">
        <v>1</v>
      </c>
      <c r="I649" s="1">
        <v>2</v>
      </c>
      <c r="J649" s="1">
        <v>2</v>
      </c>
    </row>
    <row r="650" spans="1:10" x14ac:dyDescent="0.2">
      <c r="A650" s="1">
        <v>717</v>
      </c>
      <c r="B650" s="1">
        <v>0</v>
      </c>
      <c r="C650" s="1">
        <v>16</v>
      </c>
      <c r="D650" s="1">
        <v>2</v>
      </c>
      <c r="E650" s="1">
        <v>1</v>
      </c>
      <c r="F650" s="1">
        <v>5</v>
      </c>
      <c r="G650" s="1">
        <v>3</v>
      </c>
      <c r="H650" s="1">
        <v>1</v>
      </c>
      <c r="I650" s="1">
        <v>2</v>
      </c>
      <c r="J650" s="1">
        <v>2</v>
      </c>
    </row>
    <row r="651" spans="1:10" x14ac:dyDescent="0.2">
      <c r="A651" s="1">
        <v>1262</v>
      </c>
      <c r="B651" s="1">
        <v>0</v>
      </c>
      <c r="C651" s="1">
        <v>7</v>
      </c>
      <c r="D651" s="1">
        <v>4</v>
      </c>
      <c r="E651" s="1">
        <v>2</v>
      </c>
      <c r="F651" s="1">
        <v>5</v>
      </c>
      <c r="G651" s="1">
        <v>3</v>
      </c>
      <c r="H651" s="1">
        <v>1</v>
      </c>
      <c r="I651" s="1">
        <v>1</v>
      </c>
      <c r="J651" s="1">
        <v>2</v>
      </c>
    </row>
    <row r="652" spans="1:10" x14ac:dyDescent="0.2">
      <c r="A652" s="1">
        <v>2147</v>
      </c>
      <c r="B652" s="1">
        <v>0</v>
      </c>
      <c r="C652" s="1">
        <v>9</v>
      </c>
      <c r="D652" s="1">
        <v>3</v>
      </c>
      <c r="E652" s="1">
        <v>2</v>
      </c>
      <c r="F652" s="1">
        <v>5</v>
      </c>
      <c r="G652" s="1">
        <v>3</v>
      </c>
      <c r="H652" s="1">
        <v>1</v>
      </c>
      <c r="I652" s="1">
        <v>0</v>
      </c>
      <c r="J652" s="1">
        <v>2</v>
      </c>
    </row>
    <row r="653" spans="1:10" x14ac:dyDescent="0.2">
      <c r="A653" s="1">
        <v>992</v>
      </c>
      <c r="B653" s="1">
        <v>0</v>
      </c>
      <c r="C653" s="1">
        <v>12</v>
      </c>
      <c r="D653" s="1">
        <v>3</v>
      </c>
      <c r="E653" s="1">
        <v>3</v>
      </c>
      <c r="F653" s="1">
        <v>5</v>
      </c>
      <c r="G653" s="1">
        <v>3</v>
      </c>
      <c r="H653" s="1">
        <v>0</v>
      </c>
      <c r="I653" s="1">
        <v>3</v>
      </c>
      <c r="J653" s="1">
        <v>2</v>
      </c>
    </row>
    <row r="654" spans="1:10" x14ac:dyDescent="0.2">
      <c r="A654" s="1">
        <v>729</v>
      </c>
      <c r="B654" s="1">
        <v>0</v>
      </c>
      <c r="C654" s="1">
        <v>15</v>
      </c>
      <c r="D654" s="1">
        <v>5</v>
      </c>
      <c r="E654" s="1">
        <v>3</v>
      </c>
      <c r="F654" s="1">
        <v>5</v>
      </c>
      <c r="G654" s="1">
        <v>3</v>
      </c>
      <c r="H654" s="1">
        <v>1</v>
      </c>
      <c r="I654" s="1">
        <v>1</v>
      </c>
      <c r="J654" s="1">
        <v>2</v>
      </c>
    </row>
    <row r="655" spans="1:10" x14ac:dyDescent="0.2">
      <c r="A655" s="1">
        <v>1210</v>
      </c>
      <c r="B655" s="1">
        <v>0</v>
      </c>
      <c r="C655" s="1">
        <v>16</v>
      </c>
      <c r="D655" s="1">
        <v>2</v>
      </c>
      <c r="E655" s="1">
        <v>3</v>
      </c>
      <c r="F655" s="1">
        <v>5</v>
      </c>
      <c r="G655" s="1">
        <v>3</v>
      </c>
      <c r="H655" s="1">
        <v>1</v>
      </c>
      <c r="I655" s="1">
        <v>1</v>
      </c>
      <c r="J655" s="1">
        <v>2</v>
      </c>
    </row>
    <row r="656" spans="1:10" x14ac:dyDescent="0.2">
      <c r="A656" s="1">
        <v>611</v>
      </c>
      <c r="B656" s="1">
        <v>0</v>
      </c>
      <c r="C656" s="1">
        <v>19</v>
      </c>
      <c r="D656" s="1">
        <v>5</v>
      </c>
      <c r="E656" s="1">
        <v>3</v>
      </c>
      <c r="F656" s="1">
        <v>5</v>
      </c>
      <c r="G656" s="1">
        <v>3</v>
      </c>
      <c r="H656" s="1">
        <v>0</v>
      </c>
      <c r="I656" s="1">
        <v>1</v>
      </c>
      <c r="J656" s="1">
        <v>2</v>
      </c>
    </row>
    <row r="657" spans="1:10" x14ac:dyDescent="0.2">
      <c r="A657" s="1">
        <v>2310</v>
      </c>
      <c r="B657" s="1">
        <v>0</v>
      </c>
      <c r="C657" s="1">
        <v>6</v>
      </c>
      <c r="D657" s="1">
        <v>3</v>
      </c>
      <c r="E657" s="1">
        <v>1</v>
      </c>
      <c r="F657" s="1">
        <v>6</v>
      </c>
      <c r="G657" s="1">
        <v>3</v>
      </c>
      <c r="H657" s="1">
        <v>0</v>
      </c>
      <c r="I657" s="1">
        <v>0</v>
      </c>
      <c r="J657" s="1">
        <v>2</v>
      </c>
    </row>
    <row r="658" spans="1:10" x14ac:dyDescent="0.2">
      <c r="A658" s="1">
        <v>1171</v>
      </c>
      <c r="B658" s="1">
        <v>0</v>
      </c>
      <c r="C658" s="1">
        <v>16</v>
      </c>
      <c r="D658" s="1">
        <v>4</v>
      </c>
      <c r="E658" s="1">
        <v>1</v>
      </c>
      <c r="F658" s="1">
        <v>6</v>
      </c>
      <c r="G658" s="1">
        <v>3</v>
      </c>
      <c r="H658" s="1">
        <v>0</v>
      </c>
      <c r="I658" s="1">
        <v>1</v>
      </c>
      <c r="J658" s="1">
        <v>2</v>
      </c>
    </row>
    <row r="659" spans="1:10" x14ac:dyDescent="0.2">
      <c r="A659" s="1">
        <v>1912</v>
      </c>
      <c r="B659" s="1">
        <v>0</v>
      </c>
      <c r="C659" s="1">
        <v>18</v>
      </c>
      <c r="D659" s="1">
        <v>3</v>
      </c>
      <c r="E659" s="1">
        <v>2</v>
      </c>
      <c r="F659" s="1">
        <v>6</v>
      </c>
      <c r="G659" s="1">
        <v>3</v>
      </c>
      <c r="H659" s="1">
        <v>0</v>
      </c>
      <c r="I659" s="1">
        <v>1</v>
      </c>
      <c r="J659" s="1">
        <v>2</v>
      </c>
    </row>
    <row r="660" spans="1:10" x14ac:dyDescent="0.2">
      <c r="A660" s="1">
        <v>704</v>
      </c>
      <c r="B660" s="1">
        <v>0</v>
      </c>
      <c r="C660" s="1">
        <v>9</v>
      </c>
      <c r="D660" s="1">
        <v>1</v>
      </c>
      <c r="E660" s="1">
        <v>3</v>
      </c>
      <c r="F660" s="1">
        <v>6</v>
      </c>
      <c r="G660" s="1">
        <v>3</v>
      </c>
      <c r="H660" s="1">
        <v>0</v>
      </c>
      <c r="I660" s="1">
        <v>0</v>
      </c>
      <c r="J660" s="1">
        <v>2</v>
      </c>
    </row>
    <row r="661" spans="1:10" x14ac:dyDescent="0.2">
      <c r="A661" s="1">
        <v>1507</v>
      </c>
      <c r="B661" s="1">
        <v>0</v>
      </c>
      <c r="C661" s="1">
        <v>9</v>
      </c>
      <c r="D661" s="1">
        <v>1</v>
      </c>
      <c r="E661" s="1">
        <v>1</v>
      </c>
      <c r="F661" s="1">
        <v>7</v>
      </c>
      <c r="G661" s="1">
        <v>3</v>
      </c>
      <c r="H661" s="1">
        <v>0</v>
      </c>
      <c r="I661" s="1">
        <v>0</v>
      </c>
      <c r="J661" s="1">
        <v>2</v>
      </c>
    </row>
    <row r="662" spans="1:10" x14ac:dyDescent="0.2">
      <c r="A662" s="1">
        <v>1714</v>
      </c>
      <c r="B662" s="1">
        <v>0</v>
      </c>
      <c r="C662" s="1">
        <v>8</v>
      </c>
      <c r="D662" s="1">
        <v>5</v>
      </c>
      <c r="E662" s="1">
        <v>2</v>
      </c>
      <c r="F662" s="1">
        <v>7</v>
      </c>
      <c r="G662" s="1">
        <v>3</v>
      </c>
      <c r="H662" s="1">
        <v>0</v>
      </c>
      <c r="I662" s="1">
        <v>0</v>
      </c>
      <c r="J662" s="1">
        <v>2</v>
      </c>
    </row>
    <row r="663" spans="1:10" x14ac:dyDescent="0.2">
      <c r="A663" s="1">
        <v>517</v>
      </c>
      <c r="B663" s="1">
        <v>0</v>
      </c>
      <c r="C663" s="1">
        <v>16</v>
      </c>
      <c r="D663" s="1">
        <v>3</v>
      </c>
      <c r="E663" s="1">
        <v>2</v>
      </c>
      <c r="F663" s="1">
        <v>7</v>
      </c>
      <c r="G663" s="1">
        <v>3</v>
      </c>
      <c r="H663" s="1">
        <v>1</v>
      </c>
      <c r="I663" s="1">
        <v>0</v>
      </c>
      <c r="J663" s="1">
        <v>2</v>
      </c>
    </row>
    <row r="664" spans="1:10" x14ac:dyDescent="0.2">
      <c r="A664" s="1">
        <v>452</v>
      </c>
      <c r="B664" s="1">
        <v>0</v>
      </c>
      <c r="C664" s="1">
        <v>17</v>
      </c>
      <c r="D664" s="1">
        <v>5</v>
      </c>
      <c r="E664" s="1">
        <v>2</v>
      </c>
      <c r="F664" s="1">
        <v>7</v>
      </c>
      <c r="G664" s="1">
        <v>3</v>
      </c>
      <c r="H664" s="1">
        <v>1</v>
      </c>
      <c r="I664" s="1">
        <v>0</v>
      </c>
      <c r="J664" s="1">
        <v>2</v>
      </c>
    </row>
    <row r="665" spans="1:10" x14ac:dyDescent="0.2">
      <c r="A665" s="1">
        <v>2215</v>
      </c>
      <c r="B665" s="1">
        <v>0</v>
      </c>
      <c r="C665" s="1">
        <v>6</v>
      </c>
      <c r="D665" s="1">
        <v>5</v>
      </c>
      <c r="E665" s="1">
        <v>3</v>
      </c>
      <c r="F665" s="1">
        <v>7</v>
      </c>
      <c r="G665" s="1">
        <v>3</v>
      </c>
      <c r="H665" s="1">
        <v>0</v>
      </c>
      <c r="I665" s="1">
        <v>3</v>
      </c>
      <c r="J665" s="1">
        <v>2</v>
      </c>
    </row>
    <row r="666" spans="1:10" x14ac:dyDescent="0.2">
      <c r="A666" s="1">
        <v>1502</v>
      </c>
      <c r="B666" s="1">
        <v>0</v>
      </c>
      <c r="C666" s="1">
        <v>14</v>
      </c>
      <c r="D666" s="1">
        <v>1</v>
      </c>
      <c r="E666" s="1">
        <v>1</v>
      </c>
      <c r="F666" s="1">
        <v>8</v>
      </c>
      <c r="G666" s="1">
        <v>3</v>
      </c>
      <c r="H666" s="1">
        <v>0</v>
      </c>
      <c r="I666" s="1">
        <v>3</v>
      </c>
      <c r="J666" s="1">
        <v>2</v>
      </c>
    </row>
    <row r="667" spans="1:10" x14ac:dyDescent="0.2">
      <c r="A667" s="1">
        <v>1892</v>
      </c>
      <c r="B667" s="1">
        <v>0</v>
      </c>
      <c r="C667" s="1">
        <v>18</v>
      </c>
      <c r="D667" s="1">
        <v>3</v>
      </c>
      <c r="E667" s="1">
        <v>1</v>
      </c>
      <c r="F667" s="1">
        <v>8</v>
      </c>
      <c r="G667" s="1">
        <v>3</v>
      </c>
      <c r="H667" s="1">
        <v>1</v>
      </c>
      <c r="I667" s="1">
        <v>1</v>
      </c>
      <c r="J667" s="1">
        <v>2</v>
      </c>
    </row>
    <row r="668" spans="1:10" x14ac:dyDescent="0.2">
      <c r="A668" s="1">
        <v>120</v>
      </c>
      <c r="B668" s="1">
        <v>0</v>
      </c>
      <c r="C668" s="1">
        <v>20</v>
      </c>
      <c r="D668" s="1">
        <v>2</v>
      </c>
      <c r="E668" s="1">
        <v>2</v>
      </c>
      <c r="F668" s="1">
        <v>8</v>
      </c>
      <c r="G668" s="1">
        <v>3</v>
      </c>
      <c r="H668" s="1">
        <v>1</v>
      </c>
      <c r="I668" s="1">
        <v>1</v>
      </c>
      <c r="J668" s="1">
        <v>2</v>
      </c>
    </row>
    <row r="669" spans="1:10" x14ac:dyDescent="0.2">
      <c r="A669" s="1">
        <v>348</v>
      </c>
      <c r="B669" s="1">
        <v>0</v>
      </c>
      <c r="C669" s="1">
        <v>12</v>
      </c>
      <c r="D669" s="1">
        <v>5</v>
      </c>
      <c r="E669" s="1">
        <v>2</v>
      </c>
      <c r="F669" s="1">
        <v>9</v>
      </c>
      <c r="G669" s="1">
        <v>3</v>
      </c>
      <c r="H669" s="1">
        <v>0</v>
      </c>
      <c r="I669" s="1">
        <v>3</v>
      </c>
      <c r="J669" s="1">
        <v>2</v>
      </c>
    </row>
    <row r="670" spans="1:10" x14ac:dyDescent="0.2">
      <c r="A670" s="1">
        <v>2204</v>
      </c>
      <c r="B670" s="1">
        <v>0</v>
      </c>
      <c r="C670" s="1">
        <v>14</v>
      </c>
      <c r="D670" s="1">
        <v>1</v>
      </c>
      <c r="E670" s="1">
        <v>3</v>
      </c>
      <c r="F670" s="1">
        <v>9</v>
      </c>
      <c r="G670" s="1">
        <v>3</v>
      </c>
      <c r="H670" s="1">
        <v>1</v>
      </c>
      <c r="I670" s="1">
        <v>1</v>
      </c>
      <c r="J670" s="1">
        <v>2</v>
      </c>
    </row>
    <row r="671" spans="1:10" x14ac:dyDescent="0.2">
      <c r="A671" s="1">
        <v>1282</v>
      </c>
      <c r="B671" s="1">
        <v>0</v>
      </c>
      <c r="C671" s="1">
        <v>20</v>
      </c>
      <c r="D671" s="1">
        <v>1</v>
      </c>
      <c r="E671" s="1">
        <v>3</v>
      </c>
      <c r="F671" s="1">
        <v>9</v>
      </c>
      <c r="G671" s="1">
        <v>3</v>
      </c>
      <c r="H671" s="1">
        <v>0</v>
      </c>
      <c r="I671" s="1">
        <v>1</v>
      </c>
      <c r="J671" s="1">
        <v>2</v>
      </c>
    </row>
    <row r="672" spans="1:10" x14ac:dyDescent="0.2">
      <c r="A672" s="1">
        <v>227</v>
      </c>
      <c r="B672" s="1">
        <v>0</v>
      </c>
      <c r="C672" s="1">
        <v>5</v>
      </c>
      <c r="D672" s="1">
        <v>4</v>
      </c>
      <c r="E672" s="1">
        <v>1</v>
      </c>
      <c r="F672" s="1">
        <v>10</v>
      </c>
      <c r="G672" s="1">
        <v>3</v>
      </c>
      <c r="H672" s="1">
        <v>1</v>
      </c>
      <c r="I672" s="1">
        <v>3</v>
      </c>
      <c r="J672" s="1">
        <v>2</v>
      </c>
    </row>
    <row r="673" spans="1:10" x14ac:dyDescent="0.2">
      <c r="A673" s="1">
        <v>195</v>
      </c>
      <c r="B673" s="1">
        <v>0</v>
      </c>
      <c r="C673" s="1">
        <v>13</v>
      </c>
      <c r="D673" s="1">
        <v>2</v>
      </c>
      <c r="E673" s="1">
        <v>1</v>
      </c>
      <c r="F673" s="1">
        <v>10</v>
      </c>
      <c r="G673" s="1">
        <v>3</v>
      </c>
      <c r="H673" s="1">
        <v>1</v>
      </c>
      <c r="I673" s="1">
        <v>1</v>
      </c>
      <c r="J673" s="1">
        <v>2</v>
      </c>
    </row>
    <row r="674" spans="1:10" x14ac:dyDescent="0.2">
      <c r="A674" s="1">
        <v>121</v>
      </c>
      <c r="B674" s="1">
        <v>0</v>
      </c>
      <c r="C674" s="1">
        <v>16</v>
      </c>
      <c r="D674" s="1">
        <v>4</v>
      </c>
      <c r="E674" s="1">
        <v>2</v>
      </c>
      <c r="F674" s="1">
        <v>10</v>
      </c>
      <c r="G674" s="1">
        <v>3</v>
      </c>
      <c r="H674" s="1">
        <v>1</v>
      </c>
      <c r="I674" s="1">
        <v>1</v>
      </c>
      <c r="J674" s="1">
        <v>2</v>
      </c>
    </row>
    <row r="675" spans="1:10" x14ac:dyDescent="0.2">
      <c r="A675" s="1">
        <v>569</v>
      </c>
      <c r="B675" s="1">
        <v>0</v>
      </c>
      <c r="C675" s="1">
        <v>19</v>
      </c>
      <c r="D675" s="1">
        <v>5</v>
      </c>
      <c r="E675" s="1">
        <v>2</v>
      </c>
      <c r="F675" s="1">
        <v>10</v>
      </c>
      <c r="G675" s="1">
        <v>3</v>
      </c>
      <c r="H675" s="1">
        <v>1</v>
      </c>
      <c r="I675" s="1">
        <v>0</v>
      </c>
      <c r="J675" s="1">
        <v>2</v>
      </c>
    </row>
    <row r="676" spans="1:10" x14ac:dyDescent="0.2">
      <c r="A676" s="1">
        <v>2300</v>
      </c>
      <c r="B676" s="1">
        <v>0</v>
      </c>
      <c r="C676" s="1">
        <v>7</v>
      </c>
      <c r="D676" s="1">
        <v>5</v>
      </c>
      <c r="E676" s="1">
        <v>3</v>
      </c>
      <c r="F676" s="1">
        <v>10</v>
      </c>
      <c r="G676" s="1">
        <v>3</v>
      </c>
      <c r="H676" s="1">
        <v>1</v>
      </c>
      <c r="I676" s="1">
        <v>3</v>
      </c>
      <c r="J676" s="1">
        <v>2</v>
      </c>
    </row>
    <row r="677" spans="1:10" x14ac:dyDescent="0.2">
      <c r="A677" s="1">
        <v>413</v>
      </c>
      <c r="B677" s="1">
        <v>0</v>
      </c>
      <c r="C677" s="1">
        <v>17</v>
      </c>
      <c r="D677" s="1">
        <v>5</v>
      </c>
      <c r="E677" s="1">
        <v>3</v>
      </c>
      <c r="F677" s="1">
        <v>10</v>
      </c>
      <c r="G677" s="1">
        <v>3</v>
      </c>
      <c r="H677" s="1">
        <v>0</v>
      </c>
      <c r="I677" s="1">
        <v>3</v>
      </c>
      <c r="J677" s="1">
        <v>2</v>
      </c>
    </row>
    <row r="678" spans="1:10" x14ac:dyDescent="0.2">
      <c r="A678" s="1">
        <v>1753</v>
      </c>
      <c r="B678" s="1">
        <v>0</v>
      </c>
      <c r="C678" s="1">
        <v>18</v>
      </c>
      <c r="D678" s="1">
        <v>2</v>
      </c>
      <c r="E678" s="1">
        <v>3</v>
      </c>
      <c r="F678" s="1">
        <v>10</v>
      </c>
      <c r="G678" s="1">
        <v>3</v>
      </c>
      <c r="H678" s="1">
        <v>1</v>
      </c>
      <c r="I678" s="1">
        <v>1</v>
      </c>
      <c r="J678" s="1">
        <v>2</v>
      </c>
    </row>
    <row r="679" spans="1:10" x14ac:dyDescent="0.2">
      <c r="A679" s="1">
        <v>1583</v>
      </c>
      <c r="B679" s="1">
        <v>0</v>
      </c>
      <c r="C679" s="1">
        <v>12</v>
      </c>
      <c r="D679" s="1">
        <v>3</v>
      </c>
      <c r="E679" s="1">
        <v>1</v>
      </c>
      <c r="F679" s="1">
        <v>1</v>
      </c>
      <c r="G679" s="1">
        <v>4</v>
      </c>
      <c r="H679" s="1">
        <v>1</v>
      </c>
      <c r="I679" s="1">
        <v>0</v>
      </c>
      <c r="J679" s="1">
        <v>2</v>
      </c>
    </row>
    <row r="680" spans="1:10" x14ac:dyDescent="0.2">
      <c r="A680" s="1">
        <v>1973</v>
      </c>
      <c r="B680" s="1">
        <v>0</v>
      </c>
      <c r="C680" s="1">
        <v>20</v>
      </c>
      <c r="D680" s="1">
        <v>1</v>
      </c>
      <c r="E680" s="1">
        <v>2</v>
      </c>
      <c r="F680" s="1">
        <v>1</v>
      </c>
      <c r="G680" s="1">
        <v>4</v>
      </c>
      <c r="H680" s="1">
        <v>0</v>
      </c>
      <c r="I680" s="1">
        <v>0</v>
      </c>
      <c r="J680" s="1">
        <v>2</v>
      </c>
    </row>
    <row r="681" spans="1:10" x14ac:dyDescent="0.2">
      <c r="A681" s="1">
        <v>1478</v>
      </c>
      <c r="B681" s="1">
        <v>0</v>
      </c>
      <c r="C681" s="1">
        <v>6</v>
      </c>
      <c r="D681" s="1">
        <v>2</v>
      </c>
      <c r="E681" s="1">
        <v>3</v>
      </c>
      <c r="F681" s="1">
        <v>1</v>
      </c>
      <c r="G681" s="1">
        <v>4</v>
      </c>
      <c r="H681" s="1">
        <v>0</v>
      </c>
      <c r="I681" s="1">
        <v>3</v>
      </c>
      <c r="J681" s="1">
        <v>2</v>
      </c>
    </row>
    <row r="682" spans="1:10" x14ac:dyDescent="0.2">
      <c r="A682" s="1">
        <v>2285</v>
      </c>
      <c r="B682" s="1">
        <v>0</v>
      </c>
      <c r="C682" s="1">
        <v>16</v>
      </c>
      <c r="D682" s="1">
        <v>4</v>
      </c>
      <c r="E682" s="1">
        <v>1</v>
      </c>
      <c r="F682" s="1">
        <v>2</v>
      </c>
      <c r="G682" s="1">
        <v>4</v>
      </c>
      <c r="H682" s="1">
        <v>0</v>
      </c>
      <c r="I682" s="1">
        <v>1</v>
      </c>
      <c r="J682" s="1">
        <v>2</v>
      </c>
    </row>
    <row r="683" spans="1:10" x14ac:dyDescent="0.2">
      <c r="A683" s="1">
        <v>224</v>
      </c>
      <c r="B683" s="1">
        <v>0</v>
      </c>
      <c r="C683" s="1">
        <v>6</v>
      </c>
      <c r="D683" s="1">
        <v>5</v>
      </c>
      <c r="E683" s="1">
        <v>2</v>
      </c>
      <c r="F683" s="1">
        <v>2</v>
      </c>
      <c r="G683" s="1">
        <v>4</v>
      </c>
      <c r="H683" s="1">
        <v>1</v>
      </c>
      <c r="I683" s="1">
        <v>1</v>
      </c>
      <c r="J683" s="1">
        <v>2</v>
      </c>
    </row>
    <row r="684" spans="1:10" x14ac:dyDescent="0.2">
      <c r="A684" s="1">
        <v>2244</v>
      </c>
      <c r="B684" s="1">
        <v>0</v>
      </c>
      <c r="C684" s="1">
        <v>7</v>
      </c>
      <c r="D684" s="1">
        <v>1</v>
      </c>
      <c r="E684" s="1">
        <v>2</v>
      </c>
      <c r="F684" s="1">
        <v>2</v>
      </c>
      <c r="G684" s="1">
        <v>4</v>
      </c>
      <c r="H684" s="1">
        <v>1</v>
      </c>
      <c r="I684" s="1">
        <v>0</v>
      </c>
      <c r="J684" s="1">
        <v>2</v>
      </c>
    </row>
    <row r="685" spans="1:10" x14ac:dyDescent="0.2">
      <c r="A685" s="1">
        <v>954</v>
      </c>
      <c r="B685" s="1">
        <v>0</v>
      </c>
      <c r="C685" s="1">
        <v>5</v>
      </c>
      <c r="D685" s="1">
        <v>4</v>
      </c>
      <c r="E685" s="1">
        <v>3</v>
      </c>
      <c r="F685" s="1">
        <v>2</v>
      </c>
      <c r="G685" s="1">
        <v>4</v>
      </c>
      <c r="H685" s="1">
        <v>1</v>
      </c>
      <c r="I685" s="1">
        <v>0</v>
      </c>
      <c r="J685" s="1">
        <v>2</v>
      </c>
    </row>
    <row r="686" spans="1:10" x14ac:dyDescent="0.2">
      <c r="A686" s="1">
        <v>1123</v>
      </c>
      <c r="B686" s="1">
        <v>0</v>
      </c>
      <c r="C686" s="1">
        <v>14</v>
      </c>
      <c r="D686" s="1">
        <v>1</v>
      </c>
      <c r="E686" s="1">
        <v>3</v>
      </c>
      <c r="F686" s="1">
        <v>2</v>
      </c>
      <c r="G686" s="1">
        <v>4</v>
      </c>
      <c r="H686" s="1">
        <v>0</v>
      </c>
      <c r="I686" s="1">
        <v>2</v>
      </c>
      <c r="J686" s="1">
        <v>2</v>
      </c>
    </row>
    <row r="687" spans="1:10" x14ac:dyDescent="0.2">
      <c r="A687" s="1">
        <v>2342</v>
      </c>
      <c r="B687" s="1">
        <v>0</v>
      </c>
      <c r="C687" s="1">
        <v>7</v>
      </c>
      <c r="D687" s="1">
        <v>5</v>
      </c>
      <c r="E687" s="1">
        <v>1</v>
      </c>
      <c r="F687" s="1">
        <v>3</v>
      </c>
      <c r="G687" s="1">
        <v>4</v>
      </c>
      <c r="H687" s="1">
        <v>1</v>
      </c>
      <c r="I687" s="1">
        <v>1</v>
      </c>
      <c r="J687" s="1">
        <v>2</v>
      </c>
    </row>
    <row r="688" spans="1:10" x14ac:dyDescent="0.2">
      <c r="A688" s="1">
        <v>1770</v>
      </c>
      <c r="B688" s="1">
        <v>0</v>
      </c>
      <c r="C688" s="1">
        <v>12</v>
      </c>
      <c r="D688" s="1">
        <v>3</v>
      </c>
      <c r="E688" s="1">
        <v>2</v>
      </c>
      <c r="F688" s="1">
        <v>3</v>
      </c>
      <c r="G688" s="1">
        <v>4</v>
      </c>
      <c r="H688" s="1">
        <v>1</v>
      </c>
      <c r="I688" s="1">
        <v>1</v>
      </c>
      <c r="J688" s="1">
        <v>2</v>
      </c>
    </row>
    <row r="689" spans="1:10" x14ac:dyDescent="0.2">
      <c r="A689" s="1">
        <v>313</v>
      </c>
      <c r="B689" s="1">
        <v>0</v>
      </c>
      <c r="C689" s="1">
        <v>18</v>
      </c>
      <c r="D689" s="1">
        <v>1</v>
      </c>
      <c r="E689" s="1">
        <v>3</v>
      </c>
      <c r="F689" s="1">
        <v>3</v>
      </c>
      <c r="G689" s="1">
        <v>4</v>
      </c>
      <c r="H689" s="1">
        <v>0</v>
      </c>
      <c r="I689" s="1">
        <v>2</v>
      </c>
      <c r="J689" s="1">
        <v>2</v>
      </c>
    </row>
    <row r="690" spans="1:10" x14ac:dyDescent="0.2">
      <c r="A690" s="1">
        <v>1928</v>
      </c>
      <c r="B690" s="1">
        <v>0</v>
      </c>
      <c r="C690" s="1">
        <v>16</v>
      </c>
      <c r="D690" s="1">
        <v>3</v>
      </c>
      <c r="E690" s="1">
        <v>2</v>
      </c>
      <c r="F690" s="1">
        <v>4</v>
      </c>
      <c r="G690" s="1">
        <v>4</v>
      </c>
      <c r="H690" s="1">
        <v>0</v>
      </c>
      <c r="I690" s="1">
        <v>1</v>
      </c>
      <c r="J690" s="1">
        <v>2</v>
      </c>
    </row>
    <row r="691" spans="1:10" x14ac:dyDescent="0.2">
      <c r="A691" s="1">
        <v>813</v>
      </c>
      <c r="B691" s="1">
        <v>0</v>
      </c>
      <c r="C691" s="1">
        <v>6</v>
      </c>
      <c r="D691" s="1">
        <v>2</v>
      </c>
      <c r="E691" s="1">
        <v>1</v>
      </c>
      <c r="F691" s="1">
        <v>5</v>
      </c>
      <c r="G691" s="1">
        <v>4</v>
      </c>
      <c r="H691" s="1">
        <v>0</v>
      </c>
      <c r="I691" s="1">
        <v>1</v>
      </c>
      <c r="J691" s="1">
        <v>2</v>
      </c>
    </row>
    <row r="692" spans="1:10" x14ac:dyDescent="0.2">
      <c r="A692" s="1">
        <v>2372</v>
      </c>
      <c r="B692" s="1">
        <v>0</v>
      </c>
      <c r="C692" s="1">
        <v>8</v>
      </c>
      <c r="D692" s="1">
        <v>5</v>
      </c>
      <c r="E692" s="1">
        <v>2</v>
      </c>
      <c r="F692" s="1">
        <v>5</v>
      </c>
      <c r="G692" s="1">
        <v>4</v>
      </c>
      <c r="H692" s="1">
        <v>1</v>
      </c>
      <c r="I692" s="1">
        <v>3</v>
      </c>
      <c r="J692" s="1">
        <v>2</v>
      </c>
    </row>
    <row r="693" spans="1:10" x14ac:dyDescent="0.2">
      <c r="A693" s="1">
        <v>2127</v>
      </c>
      <c r="B693" s="1">
        <v>0</v>
      </c>
      <c r="C693" s="1">
        <v>13</v>
      </c>
      <c r="D693" s="1">
        <v>1</v>
      </c>
      <c r="E693" s="1">
        <v>2</v>
      </c>
      <c r="F693" s="1">
        <v>5</v>
      </c>
      <c r="G693" s="1">
        <v>4</v>
      </c>
      <c r="H693" s="1">
        <v>0</v>
      </c>
      <c r="I693" s="1">
        <v>1</v>
      </c>
      <c r="J693" s="1">
        <v>2</v>
      </c>
    </row>
    <row r="694" spans="1:10" x14ac:dyDescent="0.2">
      <c r="A694" s="1">
        <v>1069</v>
      </c>
      <c r="B694" s="1">
        <v>0</v>
      </c>
      <c r="C694" s="1">
        <v>18</v>
      </c>
      <c r="D694" s="1">
        <v>4</v>
      </c>
      <c r="E694" s="1">
        <v>2</v>
      </c>
      <c r="F694" s="1">
        <v>5</v>
      </c>
      <c r="G694" s="1">
        <v>4</v>
      </c>
      <c r="H694" s="1">
        <v>1</v>
      </c>
      <c r="I694" s="1">
        <v>0</v>
      </c>
      <c r="J694" s="1">
        <v>2</v>
      </c>
    </row>
    <row r="695" spans="1:10" x14ac:dyDescent="0.2">
      <c r="A695" s="1">
        <v>2275</v>
      </c>
      <c r="B695" s="1">
        <v>0</v>
      </c>
      <c r="C695" s="1">
        <v>9</v>
      </c>
      <c r="D695" s="1">
        <v>3</v>
      </c>
      <c r="E695" s="1">
        <v>3</v>
      </c>
      <c r="F695" s="1">
        <v>5</v>
      </c>
      <c r="G695" s="1">
        <v>4</v>
      </c>
      <c r="H695" s="1">
        <v>0</v>
      </c>
      <c r="I695" s="1">
        <v>3</v>
      </c>
      <c r="J695" s="1">
        <v>2</v>
      </c>
    </row>
    <row r="696" spans="1:10" x14ac:dyDescent="0.2">
      <c r="A696" s="1">
        <v>1649</v>
      </c>
      <c r="B696" s="1">
        <v>0</v>
      </c>
      <c r="C696" s="1">
        <v>13</v>
      </c>
      <c r="D696" s="1">
        <v>4</v>
      </c>
      <c r="E696" s="1">
        <v>1</v>
      </c>
      <c r="F696" s="1">
        <v>6</v>
      </c>
      <c r="G696" s="1">
        <v>4</v>
      </c>
      <c r="H696" s="1">
        <v>0</v>
      </c>
      <c r="I696" s="1">
        <v>1</v>
      </c>
      <c r="J696" s="1">
        <v>2</v>
      </c>
    </row>
    <row r="697" spans="1:10" x14ac:dyDescent="0.2">
      <c r="A697" s="1">
        <v>1196</v>
      </c>
      <c r="B697" s="1">
        <v>0</v>
      </c>
      <c r="C697" s="1">
        <v>16</v>
      </c>
      <c r="D697" s="1">
        <v>1</v>
      </c>
      <c r="E697" s="1">
        <v>1</v>
      </c>
      <c r="F697" s="1">
        <v>6</v>
      </c>
      <c r="G697" s="1">
        <v>4</v>
      </c>
      <c r="H697" s="1">
        <v>0</v>
      </c>
      <c r="I697" s="1">
        <v>3</v>
      </c>
      <c r="J697" s="1">
        <v>2</v>
      </c>
    </row>
    <row r="698" spans="1:10" x14ac:dyDescent="0.2">
      <c r="A698" s="1">
        <v>1079</v>
      </c>
      <c r="B698" s="1">
        <v>0</v>
      </c>
      <c r="C698" s="1">
        <v>9</v>
      </c>
      <c r="D698" s="1">
        <v>4</v>
      </c>
      <c r="E698" s="1">
        <v>2</v>
      </c>
      <c r="F698" s="1">
        <v>6</v>
      </c>
      <c r="G698" s="1">
        <v>4</v>
      </c>
      <c r="H698" s="1">
        <v>0</v>
      </c>
      <c r="I698" s="1">
        <v>3</v>
      </c>
      <c r="J698" s="1">
        <v>2</v>
      </c>
    </row>
    <row r="699" spans="1:10" x14ac:dyDescent="0.2">
      <c r="A699" s="1">
        <v>950</v>
      </c>
      <c r="B699" s="1">
        <v>0</v>
      </c>
      <c r="C699" s="1">
        <v>9</v>
      </c>
      <c r="D699" s="1">
        <v>2</v>
      </c>
      <c r="E699" s="1">
        <v>3</v>
      </c>
      <c r="F699" s="1">
        <v>6</v>
      </c>
      <c r="G699" s="1">
        <v>4</v>
      </c>
      <c r="H699" s="1">
        <v>1</v>
      </c>
      <c r="I699" s="1">
        <v>2</v>
      </c>
      <c r="J699" s="1">
        <v>2</v>
      </c>
    </row>
    <row r="700" spans="1:10" x14ac:dyDescent="0.2">
      <c r="A700" s="1">
        <v>213</v>
      </c>
      <c r="B700" s="1">
        <v>0</v>
      </c>
      <c r="C700" s="1">
        <v>11</v>
      </c>
      <c r="D700" s="1">
        <v>5</v>
      </c>
      <c r="E700" s="1">
        <v>3</v>
      </c>
      <c r="F700" s="1">
        <v>6</v>
      </c>
      <c r="G700" s="1">
        <v>4</v>
      </c>
      <c r="H700" s="1">
        <v>1</v>
      </c>
      <c r="I700" s="1">
        <v>3</v>
      </c>
      <c r="J700" s="1">
        <v>2</v>
      </c>
    </row>
    <row r="701" spans="1:10" x14ac:dyDescent="0.2">
      <c r="A701" s="1">
        <v>1986</v>
      </c>
      <c r="B701" s="1">
        <v>0</v>
      </c>
      <c r="C701" s="1">
        <v>17</v>
      </c>
      <c r="D701" s="1">
        <v>1</v>
      </c>
      <c r="E701" s="1">
        <v>3</v>
      </c>
      <c r="F701" s="1">
        <v>6</v>
      </c>
      <c r="G701" s="1">
        <v>4</v>
      </c>
      <c r="H701" s="1">
        <v>1</v>
      </c>
      <c r="I701" s="1">
        <v>2</v>
      </c>
      <c r="J701" s="1">
        <v>2</v>
      </c>
    </row>
    <row r="702" spans="1:10" x14ac:dyDescent="0.2">
      <c r="A702" s="1">
        <v>2366</v>
      </c>
      <c r="B702" s="1">
        <v>0</v>
      </c>
      <c r="C702" s="1">
        <v>6</v>
      </c>
      <c r="D702" s="1">
        <v>3</v>
      </c>
      <c r="E702" s="1">
        <v>1</v>
      </c>
      <c r="F702" s="1">
        <v>7</v>
      </c>
      <c r="G702" s="1">
        <v>4</v>
      </c>
      <c r="H702" s="1">
        <v>0</v>
      </c>
      <c r="I702" s="1">
        <v>2</v>
      </c>
      <c r="J702" s="1">
        <v>2</v>
      </c>
    </row>
    <row r="703" spans="1:10" x14ac:dyDescent="0.2">
      <c r="A703" s="1">
        <v>104</v>
      </c>
      <c r="B703" s="1">
        <v>0</v>
      </c>
      <c r="C703" s="1">
        <v>13</v>
      </c>
      <c r="D703" s="1">
        <v>4</v>
      </c>
      <c r="E703" s="1">
        <v>1</v>
      </c>
      <c r="F703" s="1">
        <v>7</v>
      </c>
      <c r="G703" s="1">
        <v>4</v>
      </c>
      <c r="H703" s="1">
        <v>1</v>
      </c>
      <c r="I703" s="1">
        <v>0</v>
      </c>
      <c r="J703" s="1">
        <v>2</v>
      </c>
    </row>
    <row r="704" spans="1:10" x14ac:dyDescent="0.2">
      <c r="A704" s="1">
        <v>2025</v>
      </c>
      <c r="B704" s="1">
        <v>0</v>
      </c>
      <c r="C704" s="1">
        <v>12</v>
      </c>
      <c r="D704" s="1">
        <v>1</v>
      </c>
      <c r="E704" s="1">
        <v>2</v>
      </c>
      <c r="F704" s="1">
        <v>7</v>
      </c>
      <c r="G704" s="1">
        <v>4</v>
      </c>
      <c r="H704" s="1">
        <v>1</v>
      </c>
      <c r="I704" s="1">
        <v>0</v>
      </c>
      <c r="J704" s="1">
        <v>2</v>
      </c>
    </row>
    <row r="705" spans="1:10" x14ac:dyDescent="0.2">
      <c r="A705" s="1">
        <v>2170</v>
      </c>
      <c r="B705" s="1">
        <v>0</v>
      </c>
      <c r="C705" s="1">
        <v>12</v>
      </c>
      <c r="D705" s="1">
        <v>3</v>
      </c>
      <c r="E705" s="1">
        <v>2</v>
      </c>
      <c r="F705" s="1">
        <v>7</v>
      </c>
      <c r="G705" s="1">
        <v>4</v>
      </c>
      <c r="H705" s="1">
        <v>0</v>
      </c>
      <c r="I705" s="1">
        <v>3</v>
      </c>
      <c r="J705" s="1">
        <v>2</v>
      </c>
    </row>
    <row r="706" spans="1:10" x14ac:dyDescent="0.2">
      <c r="A706" s="1">
        <v>2245</v>
      </c>
      <c r="B706" s="1">
        <v>0</v>
      </c>
      <c r="C706" s="1">
        <v>15</v>
      </c>
      <c r="D706" s="1">
        <v>3</v>
      </c>
      <c r="E706" s="1">
        <v>2</v>
      </c>
      <c r="F706" s="1">
        <v>7</v>
      </c>
      <c r="G706" s="1">
        <v>4</v>
      </c>
      <c r="H706" s="1">
        <v>0</v>
      </c>
      <c r="I706" s="1">
        <v>1</v>
      </c>
      <c r="J706" s="1">
        <v>2</v>
      </c>
    </row>
    <row r="707" spans="1:10" x14ac:dyDescent="0.2">
      <c r="A707" s="1">
        <v>1600</v>
      </c>
      <c r="B707" s="1">
        <v>0</v>
      </c>
      <c r="C707" s="1">
        <v>12</v>
      </c>
      <c r="D707" s="1">
        <v>4</v>
      </c>
      <c r="E707" s="1">
        <v>3</v>
      </c>
      <c r="F707" s="1">
        <v>7</v>
      </c>
      <c r="G707" s="1">
        <v>4</v>
      </c>
      <c r="H707" s="1">
        <v>1</v>
      </c>
      <c r="I707" s="1">
        <v>1</v>
      </c>
      <c r="J707" s="1">
        <v>2</v>
      </c>
    </row>
    <row r="708" spans="1:10" x14ac:dyDescent="0.2">
      <c r="A708" s="1">
        <v>1412</v>
      </c>
      <c r="B708" s="1">
        <v>0</v>
      </c>
      <c r="C708" s="1">
        <v>7</v>
      </c>
      <c r="D708" s="1">
        <v>3</v>
      </c>
      <c r="E708" s="1">
        <v>1</v>
      </c>
      <c r="F708" s="1">
        <v>8</v>
      </c>
      <c r="G708" s="1">
        <v>4</v>
      </c>
      <c r="H708" s="1">
        <v>1</v>
      </c>
      <c r="I708" s="1">
        <v>2</v>
      </c>
      <c r="J708" s="1">
        <v>2</v>
      </c>
    </row>
    <row r="709" spans="1:10" x14ac:dyDescent="0.2">
      <c r="A709" s="1">
        <v>1107</v>
      </c>
      <c r="B709" s="1">
        <v>0</v>
      </c>
      <c r="C709" s="1">
        <v>11</v>
      </c>
      <c r="D709" s="1">
        <v>5</v>
      </c>
      <c r="E709" s="1">
        <v>1</v>
      </c>
      <c r="F709" s="1">
        <v>8</v>
      </c>
      <c r="G709" s="1">
        <v>4</v>
      </c>
      <c r="H709" s="1">
        <v>1</v>
      </c>
      <c r="I709" s="1">
        <v>2</v>
      </c>
      <c r="J709" s="1">
        <v>2</v>
      </c>
    </row>
    <row r="710" spans="1:10" x14ac:dyDescent="0.2">
      <c r="A710" s="1">
        <v>2077</v>
      </c>
      <c r="B710" s="1">
        <v>0</v>
      </c>
      <c r="C710" s="1">
        <v>19</v>
      </c>
      <c r="D710" s="1">
        <v>3</v>
      </c>
      <c r="E710" s="1">
        <v>1</v>
      </c>
      <c r="F710" s="1">
        <v>8</v>
      </c>
      <c r="G710" s="1">
        <v>4</v>
      </c>
      <c r="H710" s="1">
        <v>0</v>
      </c>
      <c r="I710" s="1">
        <v>3</v>
      </c>
      <c r="J710" s="1">
        <v>2</v>
      </c>
    </row>
    <row r="711" spans="1:10" x14ac:dyDescent="0.2">
      <c r="A711" s="1">
        <v>429</v>
      </c>
      <c r="B711" s="1">
        <v>0</v>
      </c>
      <c r="C711" s="1">
        <v>15</v>
      </c>
      <c r="D711" s="1">
        <v>3</v>
      </c>
      <c r="E711" s="1">
        <v>3</v>
      </c>
      <c r="F711" s="1">
        <v>8</v>
      </c>
      <c r="G711" s="1">
        <v>4</v>
      </c>
      <c r="H711" s="1">
        <v>1</v>
      </c>
      <c r="I711" s="1">
        <v>3</v>
      </c>
      <c r="J711" s="1">
        <v>2</v>
      </c>
    </row>
    <row r="712" spans="1:10" x14ac:dyDescent="0.2">
      <c r="A712" s="1">
        <v>459</v>
      </c>
      <c r="B712" s="1">
        <v>0</v>
      </c>
      <c r="C712" s="1">
        <v>10</v>
      </c>
      <c r="D712" s="1">
        <v>3</v>
      </c>
      <c r="E712" s="1">
        <v>1</v>
      </c>
      <c r="F712" s="1">
        <v>9</v>
      </c>
      <c r="G712" s="1">
        <v>4</v>
      </c>
      <c r="H712" s="1">
        <v>1</v>
      </c>
      <c r="I712" s="1">
        <v>0</v>
      </c>
      <c r="J712" s="1">
        <v>2</v>
      </c>
    </row>
    <row r="713" spans="1:10" x14ac:dyDescent="0.2">
      <c r="A713" s="1">
        <v>525</v>
      </c>
      <c r="B713" s="1">
        <v>0</v>
      </c>
      <c r="C713" s="1">
        <v>13</v>
      </c>
      <c r="D713" s="1">
        <v>2</v>
      </c>
      <c r="E713" s="1">
        <v>1</v>
      </c>
      <c r="F713" s="1">
        <v>9</v>
      </c>
      <c r="G713" s="1">
        <v>4</v>
      </c>
      <c r="H713" s="1">
        <v>0</v>
      </c>
      <c r="I713" s="1">
        <v>1</v>
      </c>
      <c r="J713" s="1">
        <v>2</v>
      </c>
    </row>
    <row r="714" spans="1:10" x14ac:dyDescent="0.2">
      <c r="A714" s="1">
        <v>414</v>
      </c>
      <c r="B714" s="1">
        <v>0</v>
      </c>
      <c r="C714" s="1">
        <v>8</v>
      </c>
      <c r="D714" s="1">
        <v>4</v>
      </c>
      <c r="E714" s="1">
        <v>2</v>
      </c>
      <c r="F714" s="1">
        <v>9</v>
      </c>
      <c r="G714" s="1">
        <v>4</v>
      </c>
      <c r="H714" s="1">
        <v>0</v>
      </c>
      <c r="I714" s="1">
        <v>3</v>
      </c>
      <c r="J714" s="1">
        <v>2</v>
      </c>
    </row>
    <row r="715" spans="1:10" x14ac:dyDescent="0.2">
      <c r="A715" s="1">
        <v>1182</v>
      </c>
      <c r="B715" s="1">
        <v>0</v>
      </c>
      <c r="C715" s="1">
        <v>5</v>
      </c>
      <c r="D715" s="1">
        <v>3</v>
      </c>
      <c r="E715" s="1">
        <v>2</v>
      </c>
      <c r="F715" s="1">
        <v>10</v>
      </c>
      <c r="G715" s="1">
        <v>4</v>
      </c>
      <c r="H715" s="1">
        <v>0</v>
      </c>
      <c r="I715" s="1">
        <v>2</v>
      </c>
      <c r="J715" s="1">
        <v>2</v>
      </c>
    </row>
    <row r="716" spans="1:10" x14ac:dyDescent="0.2">
      <c r="A716" s="1">
        <v>322</v>
      </c>
      <c r="B716" s="1">
        <v>0</v>
      </c>
      <c r="C716" s="1">
        <v>8</v>
      </c>
      <c r="D716" s="1">
        <v>4</v>
      </c>
      <c r="E716" s="1">
        <v>2</v>
      </c>
      <c r="F716" s="1">
        <v>10</v>
      </c>
      <c r="G716" s="1">
        <v>4</v>
      </c>
      <c r="H716" s="1">
        <v>1</v>
      </c>
      <c r="I716" s="1">
        <v>1</v>
      </c>
      <c r="J716" s="1">
        <v>2</v>
      </c>
    </row>
    <row r="717" spans="1:10" x14ac:dyDescent="0.2">
      <c r="A717" s="1">
        <v>2284</v>
      </c>
      <c r="B717" s="1">
        <v>0</v>
      </c>
      <c r="C717" s="1">
        <v>10</v>
      </c>
      <c r="D717" s="1">
        <v>5</v>
      </c>
      <c r="E717" s="1">
        <v>2</v>
      </c>
      <c r="F717" s="1">
        <v>10</v>
      </c>
      <c r="G717" s="1">
        <v>4</v>
      </c>
      <c r="H717" s="1">
        <v>0</v>
      </c>
      <c r="I717" s="1">
        <v>1</v>
      </c>
      <c r="J717" s="1">
        <v>2</v>
      </c>
    </row>
    <row r="718" spans="1:10" x14ac:dyDescent="0.2">
      <c r="A718" s="1">
        <v>1762</v>
      </c>
      <c r="B718" s="1">
        <v>0</v>
      </c>
      <c r="C718" s="1">
        <v>6</v>
      </c>
      <c r="D718" s="1">
        <v>2</v>
      </c>
      <c r="E718" s="1">
        <v>3</v>
      </c>
      <c r="F718" s="1">
        <v>10</v>
      </c>
      <c r="G718" s="1">
        <v>4</v>
      </c>
      <c r="H718" s="1">
        <v>0</v>
      </c>
      <c r="I718" s="1">
        <v>1</v>
      </c>
      <c r="J718" s="1">
        <v>2</v>
      </c>
    </row>
    <row r="719" spans="1:10" x14ac:dyDescent="0.2">
      <c r="A719" s="1">
        <v>1229</v>
      </c>
      <c r="B719" s="1">
        <v>0</v>
      </c>
      <c r="C719" s="1">
        <v>16</v>
      </c>
      <c r="D719" s="1">
        <v>5</v>
      </c>
      <c r="E719" s="1">
        <v>3</v>
      </c>
      <c r="F719" s="1">
        <v>10</v>
      </c>
      <c r="G719" s="1">
        <v>4</v>
      </c>
      <c r="H719" s="1">
        <v>1</v>
      </c>
      <c r="I719" s="1">
        <v>0</v>
      </c>
      <c r="J719" s="1">
        <v>2</v>
      </c>
    </row>
    <row r="720" spans="1:10" x14ac:dyDescent="0.2">
      <c r="A720" s="1">
        <v>556</v>
      </c>
      <c r="B720" s="1">
        <v>0</v>
      </c>
      <c r="C720" s="1">
        <v>17</v>
      </c>
      <c r="D720" s="1">
        <v>4</v>
      </c>
      <c r="E720" s="1">
        <v>1</v>
      </c>
      <c r="F720" s="1">
        <v>1</v>
      </c>
      <c r="G720" s="1">
        <v>5</v>
      </c>
      <c r="H720" s="1">
        <v>0</v>
      </c>
      <c r="I720" s="1">
        <v>1</v>
      </c>
      <c r="J720" s="1">
        <v>2</v>
      </c>
    </row>
    <row r="721" spans="1:10" x14ac:dyDescent="0.2">
      <c r="A721" s="1">
        <v>52</v>
      </c>
      <c r="B721" s="1">
        <v>0</v>
      </c>
      <c r="C721" s="1">
        <v>6</v>
      </c>
      <c r="D721" s="1">
        <v>4</v>
      </c>
      <c r="E721" s="1">
        <v>2</v>
      </c>
      <c r="F721" s="1">
        <v>1</v>
      </c>
      <c r="G721" s="1">
        <v>5</v>
      </c>
      <c r="H721" s="1">
        <v>0</v>
      </c>
      <c r="I721" s="1">
        <v>3</v>
      </c>
      <c r="J721" s="1">
        <v>2</v>
      </c>
    </row>
    <row r="722" spans="1:10" x14ac:dyDescent="0.2">
      <c r="A722" s="1">
        <v>1845</v>
      </c>
      <c r="B722" s="1">
        <v>0</v>
      </c>
      <c r="C722" s="1">
        <v>14</v>
      </c>
      <c r="D722" s="1">
        <v>2</v>
      </c>
      <c r="E722" s="1">
        <v>2</v>
      </c>
      <c r="F722" s="1">
        <v>1</v>
      </c>
      <c r="G722" s="1">
        <v>5</v>
      </c>
      <c r="H722" s="1">
        <v>1</v>
      </c>
      <c r="I722" s="1">
        <v>2</v>
      </c>
      <c r="J722" s="1">
        <v>2</v>
      </c>
    </row>
    <row r="723" spans="1:10" x14ac:dyDescent="0.2">
      <c r="A723" s="1">
        <v>726</v>
      </c>
      <c r="B723" s="1">
        <v>0</v>
      </c>
      <c r="C723" s="1">
        <v>20</v>
      </c>
      <c r="D723" s="1">
        <v>4</v>
      </c>
      <c r="E723" s="1">
        <v>2</v>
      </c>
      <c r="F723" s="1">
        <v>1</v>
      </c>
      <c r="G723" s="1">
        <v>5</v>
      </c>
      <c r="H723" s="1">
        <v>0</v>
      </c>
      <c r="I723" s="1">
        <v>3</v>
      </c>
      <c r="J723" s="1">
        <v>2</v>
      </c>
    </row>
    <row r="724" spans="1:10" x14ac:dyDescent="0.2">
      <c r="A724" s="1">
        <v>500</v>
      </c>
      <c r="B724" s="1">
        <v>0</v>
      </c>
      <c r="C724" s="1">
        <v>8</v>
      </c>
      <c r="D724" s="1">
        <v>1</v>
      </c>
      <c r="E724" s="1">
        <v>1</v>
      </c>
      <c r="F724" s="1">
        <v>2</v>
      </c>
      <c r="G724" s="1">
        <v>5</v>
      </c>
      <c r="H724" s="1">
        <v>0</v>
      </c>
      <c r="I724" s="1">
        <v>1</v>
      </c>
      <c r="J724" s="1">
        <v>2</v>
      </c>
    </row>
    <row r="725" spans="1:10" x14ac:dyDescent="0.2">
      <c r="A725" s="1">
        <v>109</v>
      </c>
      <c r="B725" s="1">
        <v>0</v>
      </c>
      <c r="C725" s="1">
        <v>15</v>
      </c>
      <c r="D725" s="1">
        <v>2</v>
      </c>
      <c r="E725" s="1">
        <v>1</v>
      </c>
      <c r="F725" s="1">
        <v>2</v>
      </c>
      <c r="G725" s="1">
        <v>5</v>
      </c>
      <c r="H725" s="1">
        <v>1</v>
      </c>
      <c r="I725" s="1">
        <v>2</v>
      </c>
      <c r="J725" s="1">
        <v>2</v>
      </c>
    </row>
    <row r="726" spans="1:10" x14ac:dyDescent="0.2">
      <c r="A726" s="1">
        <v>1164</v>
      </c>
      <c r="B726" s="1">
        <v>0</v>
      </c>
      <c r="C726" s="1">
        <v>12</v>
      </c>
      <c r="D726" s="1">
        <v>4</v>
      </c>
      <c r="E726" s="1">
        <v>2</v>
      </c>
      <c r="F726" s="1">
        <v>2</v>
      </c>
      <c r="G726" s="1">
        <v>5</v>
      </c>
      <c r="H726" s="1">
        <v>0</v>
      </c>
      <c r="I726" s="1">
        <v>1</v>
      </c>
      <c r="J726" s="1">
        <v>2</v>
      </c>
    </row>
    <row r="727" spans="1:10" x14ac:dyDescent="0.2">
      <c r="A727" s="1">
        <v>1245</v>
      </c>
      <c r="B727" s="1">
        <v>0</v>
      </c>
      <c r="C727" s="1">
        <v>10</v>
      </c>
      <c r="D727" s="1">
        <v>5</v>
      </c>
      <c r="E727" s="1">
        <v>3</v>
      </c>
      <c r="F727" s="1">
        <v>2</v>
      </c>
      <c r="G727" s="1">
        <v>5</v>
      </c>
      <c r="H727" s="1">
        <v>1</v>
      </c>
      <c r="I727" s="1">
        <v>3</v>
      </c>
      <c r="J727" s="1">
        <v>2</v>
      </c>
    </row>
    <row r="728" spans="1:10" x14ac:dyDescent="0.2">
      <c r="A728" s="1">
        <v>2364</v>
      </c>
      <c r="B728" s="1">
        <v>0</v>
      </c>
      <c r="C728" s="1">
        <v>12</v>
      </c>
      <c r="D728" s="1">
        <v>2</v>
      </c>
      <c r="E728" s="1">
        <v>3</v>
      </c>
      <c r="F728" s="1">
        <v>2</v>
      </c>
      <c r="G728" s="1">
        <v>5</v>
      </c>
      <c r="H728" s="1">
        <v>1</v>
      </c>
      <c r="I728" s="1">
        <v>0</v>
      </c>
      <c r="J728" s="1">
        <v>2</v>
      </c>
    </row>
    <row r="729" spans="1:10" x14ac:dyDescent="0.2">
      <c r="A729" s="1">
        <v>2038</v>
      </c>
      <c r="B729" s="1">
        <v>0</v>
      </c>
      <c r="C729" s="1">
        <v>14</v>
      </c>
      <c r="D729" s="1">
        <v>5</v>
      </c>
      <c r="E729" s="1">
        <v>3</v>
      </c>
      <c r="F729" s="1">
        <v>2</v>
      </c>
      <c r="G729" s="1">
        <v>5</v>
      </c>
      <c r="H729" s="1">
        <v>0</v>
      </c>
      <c r="I729" s="1">
        <v>2</v>
      </c>
      <c r="J729" s="1">
        <v>2</v>
      </c>
    </row>
    <row r="730" spans="1:10" x14ac:dyDescent="0.2">
      <c r="A730" s="1">
        <v>424</v>
      </c>
      <c r="B730" s="1">
        <v>0</v>
      </c>
      <c r="C730" s="1">
        <v>5</v>
      </c>
      <c r="D730" s="1">
        <v>5</v>
      </c>
      <c r="E730" s="1">
        <v>1</v>
      </c>
      <c r="F730" s="1">
        <v>3</v>
      </c>
      <c r="G730" s="1">
        <v>5</v>
      </c>
      <c r="H730" s="1">
        <v>0</v>
      </c>
      <c r="I730" s="1">
        <v>0</v>
      </c>
      <c r="J730" s="1">
        <v>2</v>
      </c>
    </row>
    <row r="731" spans="1:10" x14ac:dyDescent="0.2">
      <c r="A731" s="1">
        <v>2047</v>
      </c>
      <c r="B731" s="1">
        <v>0</v>
      </c>
      <c r="C731" s="1">
        <v>7</v>
      </c>
      <c r="D731" s="1">
        <v>3</v>
      </c>
      <c r="E731" s="1">
        <v>1</v>
      </c>
      <c r="F731" s="1">
        <v>3</v>
      </c>
      <c r="G731" s="1">
        <v>5</v>
      </c>
      <c r="H731" s="1">
        <v>0</v>
      </c>
      <c r="I731" s="1">
        <v>0</v>
      </c>
      <c r="J731" s="1">
        <v>2</v>
      </c>
    </row>
    <row r="732" spans="1:10" x14ac:dyDescent="0.2">
      <c r="A732" s="1">
        <v>1214</v>
      </c>
      <c r="B732" s="1">
        <v>0</v>
      </c>
      <c r="C732" s="1">
        <v>18</v>
      </c>
      <c r="D732" s="1">
        <v>1</v>
      </c>
      <c r="E732" s="1">
        <v>1</v>
      </c>
      <c r="F732" s="1">
        <v>3</v>
      </c>
      <c r="G732" s="1">
        <v>5</v>
      </c>
      <c r="H732" s="1">
        <v>0</v>
      </c>
      <c r="I732" s="1">
        <v>3</v>
      </c>
      <c r="J732" s="1">
        <v>2</v>
      </c>
    </row>
    <row r="733" spans="1:10" x14ac:dyDescent="0.2">
      <c r="A733" s="1">
        <v>1243</v>
      </c>
      <c r="B733" s="1">
        <v>0</v>
      </c>
      <c r="C733" s="1">
        <v>20</v>
      </c>
      <c r="D733" s="1">
        <v>2</v>
      </c>
      <c r="E733" s="1">
        <v>1</v>
      </c>
      <c r="F733" s="1">
        <v>3</v>
      </c>
      <c r="G733" s="1">
        <v>5</v>
      </c>
      <c r="H733" s="1">
        <v>0</v>
      </c>
      <c r="I733" s="1">
        <v>1</v>
      </c>
      <c r="J733" s="1">
        <v>2</v>
      </c>
    </row>
    <row r="734" spans="1:10" x14ac:dyDescent="0.2">
      <c r="A734" s="1">
        <v>721</v>
      </c>
      <c r="B734" s="1">
        <v>0</v>
      </c>
      <c r="C734" s="1">
        <v>10</v>
      </c>
      <c r="D734" s="1">
        <v>2</v>
      </c>
      <c r="E734" s="1">
        <v>2</v>
      </c>
      <c r="F734" s="1">
        <v>3</v>
      </c>
      <c r="G734" s="1">
        <v>5</v>
      </c>
      <c r="H734" s="1">
        <v>1</v>
      </c>
      <c r="I734" s="1">
        <v>1</v>
      </c>
      <c r="J734" s="1">
        <v>2</v>
      </c>
    </row>
    <row r="735" spans="1:10" x14ac:dyDescent="0.2">
      <c r="A735" s="1">
        <v>2389</v>
      </c>
      <c r="B735" s="1">
        <v>0</v>
      </c>
      <c r="C735" s="1">
        <v>10</v>
      </c>
      <c r="D735" s="1">
        <v>5</v>
      </c>
      <c r="E735" s="1">
        <v>3</v>
      </c>
      <c r="F735" s="1">
        <v>3</v>
      </c>
      <c r="G735" s="1">
        <v>5</v>
      </c>
      <c r="H735" s="1">
        <v>0</v>
      </c>
      <c r="I735" s="1">
        <v>3</v>
      </c>
      <c r="J735" s="1">
        <v>2</v>
      </c>
    </row>
    <row r="736" spans="1:10" x14ac:dyDescent="0.2">
      <c r="A736" s="1">
        <v>2072</v>
      </c>
      <c r="B736" s="1">
        <v>0</v>
      </c>
      <c r="C736" s="1">
        <v>16</v>
      </c>
      <c r="D736" s="1">
        <v>2</v>
      </c>
      <c r="E736" s="1">
        <v>3</v>
      </c>
      <c r="F736" s="1">
        <v>3</v>
      </c>
      <c r="G736" s="1">
        <v>5</v>
      </c>
      <c r="H736" s="1">
        <v>0</v>
      </c>
      <c r="I736" s="1">
        <v>3</v>
      </c>
      <c r="J736" s="1">
        <v>2</v>
      </c>
    </row>
    <row r="737" spans="1:10" x14ac:dyDescent="0.2">
      <c r="A737" s="1">
        <v>1405</v>
      </c>
      <c r="B737" s="1">
        <v>0</v>
      </c>
      <c r="C737" s="1">
        <v>17</v>
      </c>
      <c r="D737" s="1">
        <v>2</v>
      </c>
      <c r="E737" s="1">
        <v>3</v>
      </c>
      <c r="F737" s="1">
        <v>3</v>
      </c>
      <c r="G737" s="1">
        <v>5</v>
      </c>
      <c r="H737" s="1">
        <v>0</v>
      </c>
      <c r="I737" s="1">
        <v>1</v>
      </c>
      <c r="J737" s="1">
        <v>2</v>
      </c>
    </row>
    <row r="738" spans="1:10" x14ac:dyDescent="0.2">
      <c r="A738" s="1">
        <v>696</v>
      </c>
      <c r="B738" s="1">
        <v>0</v>
      </c>
      <c r="C738" s="1">
        <v>19</v>
      </c>
      <c r="D738" s="1">
        <v>2</v>
      </c>
      <c r="E738" s="1">
        <v>3</v>
      </c>
      <c r="F738" s="1">
        <v>3</v>
      </c>
      <c r="G738" s="1">
        <v>5</v>
      </c>
      <c r="H738" s="1">
        <v>0</v>
      </c>
      <c r="I738" s="1">
        <v>2</v>
      </c>
      <c r="J738" s="1">
        <v>2</v>
      </c>
    </row>
    <row r="739" spans="1:10" x14ac:dyDescent="0.2">
      <c r="A739" s="1">
        <v>802</v>
      </c>
      <c r="B739" s="1">
        <v>0</v>
      </c>
      <c r="C739" s="1">
        <v>11</v>
      </c>
      <c r="D739" s="1">
        <v>5</v>
      </c>
      <c r="E739" s="1">
        <v>1</v>
      </c>
      <c r="F739" s="1">
        <v>4</v>
      </c>
      <c r="G739" s="1">
        <v>5</v>
      </c>
      <c r="H739" s="1">
        <v>0</v>
      </c>
      <c r="I739" s="1">
        <v>0</v>
      </c>
      <c r="J739" s="1">
        <v>2</v>
      </c>
    </row>
    <row r="740" spans="1:10" x14ac:dyDescent="0.2">
      <c r="A740" s="1">
        <v>2212</v>
      </c>
      <c r="B740" s="1">
        <v>0</v>
      </c>
      <c r="C740" s="1">
        <v>19</v>
      </c>
      <c r="D740" s="1">
        <v>5</v>
      </c>
      <c r="E740" s="1">
        <v>1</v>
      </c>
      <c r="F740" s="1">
        <v>4</v>
      </c>
      <c r="G740" s="1">
        <v>5</v>
      </c>
      <c r="H740" s="1">
        <v>1</v>
      </c>
      <c r="I740" s="1">
        <v>2</v>
      </c>
      <c r="J740" s="1">
        <v>2</v>
      </c>
    </row>
    <row r="741" spans="1:10" x14ac:dyDescent="0.2">
      <c r="A741" s="1">
        <v>733</v>
      </c>
      <c r="B741" s="1">
        <v>0</v>
      </c>
      <c r="C741" s="1">
        <v>8</v>
      </c>
      <c r="D741" s="1">
        <v>2</v>
      </c>
      <c r="E741" s="1">
        <v>2</v>
      </c>
      <c r="F741" s="1">
        <v>4</v>
      </c>
      <c r="G741" s="1">
        <v>5</v>
      </c>
      <c r="H741" s="1">
        <v>0</v>
      </c>
      <c r="I741" s="1">
        <v>0</v>
      </c>
      <c r="J741" s="1">
        <v>2</v>
      </c>
    </row>
    <row r="742" spans="1:10" x14ac:dyDescent="0.2">
      <c r="A742" s="1">
        <v>2168</v>
      </c>
      <c r="B742" s="1">
        <v>0</v>
      </c>
      <c r="C742" s="1">
        <v>10</v>
      </c>
      <c r="D742" s="1">
        <v>2</v>
      </c>
      <c r="E742" s="1">
        <v>2</v>
      </c>
      <c r="F742" s="1">
        <v>4</v>
      </c>
      <c r="G742" s="1">
        <v>5</v>
      </c>
      <c r="H742" s="1">
        <v>0</v>
      </c>
      <c r="I742" s="1">
        <v>0</v>
      </c>
      <c r="J742" s="1">
        <v>2</v>
      </c>
    </row>
    <row r="743" spans="1:10" x14ac:dyDescent="0.2">
      <c r="A743" s="1">
        <v>2110</v>
      </c>
      <c r="B743" s="1">
        <v>0</v>
      </c>
      <c r="C743" s="1">
        <v>19</v>
      </c>
      <c r="D743" s="1">
        <v>5</v>
      </c>
      <c r="E743" s="1">
        <v>1</v>
      </c>
      <c r="F743" s="1">
        <v>5</v>
      </c>
      <c r="G743" s="1">
        <v>5</v>
      </c>
      <c r="H743" s="1">
        <v>0</v>
      </c>
      <c r="I743" s="1">
        <v>1</v>
      </c>
      <c r="J743" s="1">
        <v>2</v>
      </c>
    </row>
    <row r="744" spans="1:10" x14ac:dyDescent="0.2">
      <c r="A744" s="1">
        <v>1465</v>
      </c>
      <c r="B744" s="1">
        <v>0</v>
      </c>
      <c r="C744" s="1">
        <v>20</v>
      </c>
      <c r="D744" s="1">
        <v>3</v>
      </c>
      <c r="E744" s="1">
        <v>2</v>
      </c>
      <c r="F744" s="1">
        <v>5</v>
      </c>
      <c r="G744" s="1">
        <v>5</v>
      </c>
      <c r="H744" s="1">
        <v>0</v>
      </c>
      <c r="I744" s="1">
        <v>1</v>
      </c>
      <c r="J744" s="1">
        <v>2</v>
      </c>
    </row>
    <row r="745" spans="1:10" x14ac:dyDescent="0.2">
      <c r="A745" s="1">
        <v>2325</v>
      </c>
      <c r="B745" s="1">
        <v>0</v>
      </c>
      <c r="C745" s="1">
        <v>10</v>
      </c>
      <c r="D745" s="1">
        <v>3</v>
      </c>
      <c r="E745" s="1">
        <v>3</v>
      </c>
      <c r="F745" s="1">
        <v>5</v>
      </c>
      <c r="G745" s="1">
        <v>5</v>
      </c>
      <c r="H745" s="1">
        <v>1</v>
      </c>
      <c r="I745" s="1">
        <v>2</v>
      </c>
      <c r="J745" s="1">
        <v>2</v>
      </c>
    </row>
    <row r="746" spans="1:10" x14ac:dyDescent="0.2">
      <c r="A746" s="1">
        <v>600</v>
      </c>
      <c r="B746" s="1">
        <v>0</v>
      </c>
      <c r="C746" s="1">
        <v>10</v>
      </c>
      <c r="D746" s="1">
        <v>1</v>
      </c>
      <c r="E746" s="1">
        <v>1</v>
      </c>
      <c r="F746" s="1">
        <v>6</v>
      </c>
      <c r="G746" s="1">
        <v>5</v>
      </c>
      <c r="H746" s="1">
        <v>1</v>
      </c>
      <c r="I746" s="1">
        <v>2</v>
      </c>
      <c r="J746" s="1">
        <v>2</v>
      </c>
    </row>
    <row r="747" spans="1:10" x14ac:dyDescent="0.2">
      <c r="A747" s="1">
        <v>2122</v>
      </c>
      <c r="B747" s="1">
        <v>0</v>
      </c>
      <c r="C747" s="1">
        <v>5</v>
      </c>
      <c r="D747" s="1">
        <v>2</v>
      </c>
      <c r="E747" s="1">
        <v>2</v>
      </c>
      <c r="F747" s="1">
        <v>6</v>
      </c>
      <c r="G747" s="1">
        <v>5</v>
      </c>
      <c r="H747" s="1">
        <v>0</v>
      </c>
      <c r="I747" s="1">
        <v>1</v>
      </c>
      <c r="J747" s="1">
        <v>2</v>
      </c>
    </row>
    <row r="748" spans="1:10" x14ac:dyDescent="0.2">
      <c r="A748" s="1">
        <v>1093</v>
      </c>
      <c r="B748" s="1">
        <v>0</v>
      </c>
      <c r="C748" s="1">
        <v>16</v>
      </c>
      <c r="D748" s="1">
        <v>2</v>
      </c>
      <c r="E748" s="1">
        <v>2</v>
      </c>
      <c r="F748" s="1">
        <v>6</v>
      </c>
      <c r="G748" s="1">
        <v>5</v>
      </c>
      <c r="H748" s="1">
        <v>1</v>
      </c>
      <c r="I748" s="1">
        <v>2</v>
      </c>
      <c r="J748" s="1">
        <v>2</v>
      </c>
    </row>
    <row r="749" spans="1:10" x14ac:dyDescent="0.2">
      <c r="A749" s="1">
        <v>690</v>
      </c>
      <c r="B749" s="1">
        <v>0</v>
      </c>
      <c r="C749" s="1">
        <v>20</v>
      </c>
      <c r="D749" s="1">
        <v>5</v>
      </c>
      <c r="E749" s="1">
        <v>2</v>
      </c>
      <c r="F749" s="1">
        <v>6</v>
      </c>
      <c r="G749" s="1">
        <v>5</v>
      </c>
      <c r="H749" s="1">
        <v>1</v>
      </c>
      <c r="I749" s="1">
        <v>0</v>
      </c>
      <c r="J749" s="1">
        <v>2</v>
      </c>
    </row>
    <row r="750" spans="1:10" x14ac:dyDescent="0.2">
      <c r="A750" s="1">
        <v>1756</v>
      </c>
      <c r="B750" s="1">
        <v>0</v>
      </c>
      <c r="C750" s="1">
        <v>5</v>
      </c>
      <c r="D750" s="1">
        <v>1</v>
      </c>
      <c r="E750" s="1">
        <v>1</v>
      </c>
      <c r="F750" s="1">
        <v>7</v>
      </c>
      <c r="G750" s="1">
        <v>5</v>
      </c>
      <c r="H750" s="1">
        <v>1</v>
      </c>
      <c r="I750" s="1">
        <v>2</v>
      </c>
      <c r="J750" s="1">
        <v>2</v>
      </c>
    </row>
    <row r="751" spans="1:10" x14ac:dyDescent="0.2">
      <c r="A751" s="1">
        <v>160</v>
      </c>
      <c r="B751" s="1">
        <v>0</v>
      </c>
      <c r="C751" s="1">
        <v>19</v>
      </c>
      <c r="D751" s="1">
        <v>4</v>
      </c>
      <c r="E751" s="1">
        <v>2</v>
      </c>
      <c r="F751" s="1">
        <v>7</v>
      </c>
      <c r="G751" s="1">
        <v>5</v>
      </c>
      <c r="H751" s="1">
        <v>1</v>
      </c>
      <c r="I751" s="1">
        <v>3</v>
      </c>
      <c r="J751" s="1">
        <v>2</v>
      </c>
    </row>
    <row r="752" spans="1:10" x14ac:dyDescent="0.2">
      <c r="A752" s="1">
        <v>1537</v>
      </c>
      <c r="B752" s="1">
        <v>0</v>
      </c>
      <c r="C752" s="1">
        <v>7</v>
      </c>
      <c r="D752" s="1">
        <v>4</v>
      </c>
      <c r="E752" s="1">
        <v>3</v>
      </c>
      <c r="F752" s="1">
        <v>7</v>
      </c>
      <c r="G752" s="1">
        <v>5</v>
      </c>
      <c r="H752" s="1">
        <v>1</v>
      </c>
      <c r="I752" s="1">
        <v>2</v>
      </c>
      <c r="J752" s="1">
        <v>2</v>
      </c>
    </row>
    <row r="753" spans="1:10" x14ac:dyDescent="0.2">
      <c r="A753" s="1">
        <v>2098</v>
      </c>
      <c r="B753" s="1">
        <v>0</v>
      </c>
      <c r="C753" s="1">
        <v>12</v>
      </c>
      <c r="D753" s="1">
        <v>3</v>
      </c>
      <c r="E753" s="1">
        <v>3</v>
      </c>
      <c r="F753" s="1">
        <v>7</v>
      </c>
      <c r="G753" s="1">
        <v>5</v>
      </c>
      <c r="H753" s="1">
        <v>0</v>
      </c>
      <c r="I753" s="1">
        <v>3</v>
      </c>
      <c r="J753" s="1">
        <v>2</v>
      </c>
    </row>
    <row r="754" spans="1:10" x14ac:dyDescent="0.2">
      <c r="A754" s="1">
        <v>2493</v>
      </c>
      <c r="B754" s="1">
        <v>0</v>
      </c>
      <c r="C754" s="1">
        <v>20</v>
      </c>
      <c r="D754" s="1">
        <v>3</v>
      </c>
      <c r="E754" s="1">
        <v>3</v>
      </c>
      <c r="F754" s="1">
        <v>7</v>
      </c>
      <c r="G754" s="1">
        <v>5</v>
      </c>
      <c r="H754" s="1">
        <v>0</v>
      </c>
      <c r="I754" s="1">
        <v>0</v>
      </c>
      <c r="J754" s="1">
        <v>2</v>
      </c>
    </row>
    <row r="755" spans="1:10" x14ac:dyDescent="0.2">
      <c r="A755" s="1">
        <v>420</v>
      </c>
      <c r="B755" s="1">
        <v>0</v>
      </c>
      <c r="C755" s="1">
        <v>13</v>
      </c>
      <c r="D755" s="1">
        <v>4</v>
      </c>
      <c r="E755" s="1">
        <v>1</v>
      </c>
      <c r="F755" s="1">
        <v>9</v>
      </c>
      <c r="G755" s="1">
        <v>5</v>
      </c>
      <c r="H755" s="1">
        <v>0</v>
      </c>
      <c r="I755" s="1">
        <v>3</v>
      </c>
      <c r="J755" s="1">
        <v>2</v>
      </c>
    </row>
    <row r="756" spans="1:10" x14ac:dyDescent="0.2">
      <c r="A756" s="1">
        <v>2376</v>
      </c>
      <c r="B756" s="1">
        <v>0</v>
      </c>
      <c r="C756" s="1">
        <v>19</v>
      </c>
      <c r="D756" s="1">
        <v>3</v>
      </c>
      <c r="E756" s="1">
        <v>1</v>
      </c>
      <c r="F756" s="1">
        <v>9</v>
      </c>
      <c r="G756" s="1">
        <v>5</v>
      </c>
      <c r="H756" s="1">
        <v>0</v>
      </c>
      <c r="I756" s="1">
        <v>3</v>
      </c>
      <c r="J756" s="1">
        <v>2</v>
      </c>
    </row>
    <row r="757" spans="1:10" x14ac:dyDescent="0.2">
      <c r="A757" s="1">
        <v>724</v>
      </c>
      <c r="B757" s="1">
        <v>0</v>
      </c>
      <c r="C757" s="1">
        <v>13</v>
      </c>
      <c r="D757" s="1">
        <v>5</v>
      </c>
      <c r="E757" s="1">
        <v>2</v>
      </c>
      <c r="F757" s="1">
        <v>9</v>
      </c>
      <c r="G757" s="1">
        <v>5</v>
      </c>
      <c r="H757" s="1">
        <v>1</v>
      </c>
      <c r="I757" s="1">
        <v>2</v>
      </c>
      <c r="J757" s="1">
        <v>2</v>
      </c>
    </row>
    <row r="758" spans="1:10" x14ac:dyDescent="0.2">
      <c r="A758" s="1">
        <v>1302</v>
      </c>
      <c r="B758" s="1">
        <v>0</v>
      </c>
      <c r="C758" s="1">
        <v>7</v>
      </c>
      <c r="D758" s="1">
        <v>2</v>
      </c>
      <c r="E758" s="1">
        <v>3</v>
      </c>
      <c r="F758" s="1">
        <v>9</v>
      </c>
      <c r="G758" s="1">
        <v>5</v>
      </c>
      <c r="H758" s="1">
        <v>0</v>
      </c>
      <c r="I758" s="1">
        <v>3</v>
      </c>
      <c r="J758" s="1">
        <v>2</v>
      </c>
    </row>
    <row r="759" spans="1:10" x14ac:dyDescent="0.2">
      <c r="A759" s="1">
        <v>826</v>
      </c>
      <c r="B759" s="1">
        <v>0</v>
      </c>
      <c r="C759" s="1">
        <v>6</v>
      </c>
      <c r="D759" s="1">
        <v>1</v>
      </c>
      <c r="E759" s="1">
        <v>2</v>
      </c>
      <c r="F759" s="1">
        <v>10</v>
      </c>
      <c r="G759" s="1">
        <v>5</v>
      </c>
      <c r="H759" s="1">
        <v>0</v>
      </c>
      <c r="I759" s="1">
        <v>0</v>
      </c>
      <c r="J759" s="1">
        <v>2</v>
      </c>
    </row>
    <row r="760" spans="1:10" x14ac:dyDescent="0.2">
      <c r="A760" s="1">
        <v>2179</v>
      </c>
      <c r="B760" s="1">
        <v>0</v>
      </c>
      <c r="C760" s="1">
        <v>7</v>
      </c>
      <c r="D760" s="1">
        <v>2</v>
      </c>
      <c r="E760" s="1">
        <v>2</v>
      </c>
      <c r="F760" s="1">
        <v>10</v>
      </c>
      <c r="G760" s="1">
        <v>5</v>
      </c>
      <c r="H760" s="1">
        <v>0</v>
      </c>
      <c r="I760" s="1">
        <v>0</v>
      </c>
      <c r="J760" s="1">
        <v>2</v>
      </c>
    </row>
    <row r="761" spans="1:10" x14ac:dyDescent="0.2">
      <c r="A761" s="1">
        <v>179</v>
      </c>
      <c r="B761" s="1">
        <v>0</v>
      </c>
      <c r="C761" s="1">
        <v>13</v>
      </c>
      <c r="D761" s="1">
        <v>4</v>
      </c>
      <c r="E761" s="1">
        <v>2</v>
      </c>
      <c r="F761" s="1">
        <v>10</v>
      </c>
      <c r="G761" s="1">
        <v>5</v>
      </c>
      <c r="H761" s="1">
        <v>1</v>
      </c>
      <c r="I761" s="1">
        <v>0</v>
      </c>
      <c r="J761" s="1">
        <v>2</v>
      </c>
    </row>
    <row r="762" spans="1:10" x14ac:dyDescent="0.2">
      <c r="A762" s="1">
        <v>882</v>
      </c>
      <c r="B762" s="1">
        <v>0</v>
      </c>
      <c r="C762" s="1">
        <v>16</v>
      </c>
      <c r="D762" s="1">
        <v>3</v>
      </c>
      <c r="E762" s="1">
        <v>2</v>
      </c>
      <c r="F762" s="1">
        <v>10</v>
      </c>
      <c r="G762" s="1">
        <v>5</v>
      </c>
      <c r="H762" s="1">
        <v>0</v>
      </c>
      <c r="I762" s="1">
        <v>2</v>
      </c>
      <c r="J762" s="1">
        <v>2</v>
      </c>
    </row>
    <row r="763" spans="1:10" x14ac:dyDescent="0.2">
      <c r="A763" s="1">
        <v>1495</v>
      </c>
      <c r="B763" s="1">
        <v>0</v>
      </c>
      <c r="C763" s="1">
        <v>17</v>
      </c>
      <c r="D763" s="1">
        <v>3</v>
      </c>
      <c r="E763" s="1">
        <v>2</v>
      </c>
      <c r="F763" s="1">
        <v>10</v>
      </c>
      <c r="G763" s="1">
        <v>5</v>
      </c>
      <c r="H763" s="1">
        <v>1</v>
      </c>
      <c r="I763" s="1">
        <v>0</v>
      </c>
      <c r="J763" s="1">
        <v>2</v>
      </c>
    </row>
    <row r="764" spans="1:10" x14ac:dyDescent="0.2">
      <c r="A764" s="1">
        <v>1113</v>
      </c>
      <c r="B764" s="1">
        <v>0</v>
      </c>
      <c r="C764" s="1">
        <v>18</v>
      </c>
      <c r="D764" s="1">
        <v>1</v>
      </c>
      <c r="E764" s="1">
        <v>2</v>
      </c>
      <c r="F764" s="1">
        <v>1</v>
      </c>
      <c r="G764" s="1">
        <v>6</v>
      </c>
      <c r="H764" s="1">
        <v>1</v>
      </c>
      <c r="I764" s="1">
        <v>3</v>
      </c>
      <c r="J764" s="1">
        <v>2</v>
      </c>
    </row>
    <row r="765" spans="1:10" x14ac:dyDescent="0.2">
      <c r="A765" s="1">
        <v>371</v>
      </c>
      <c r="B765" s="1">
        <v>0</v>
      </c>
      <c r="C765" s="1">
        <v>13</v>
      </c>
      <c r="D765" s="1">
        <v>4</v>
      </c>
      <c r="E765" s="1">
        <v>3</v>
      </c>
      <c r="F765" s="1">
        <v>1</v>
      </c>
      <c r="G765" s="1">
        <v>6</v>
      </c>
      <c r="H765" s="1">
        <v>0</v>
      </c>
      <c r="I765" s="1">
        <v>1</v>
      </c>
      <c r="J765" s="1">
        <v>2</v>
      </c>
    </row>
    <row r="766" spans="1:10" x14ac:dyDescent="0.2">
      <c r="A766" s="1">
        <v>1557</v>
      </c>
      <c r="B766" s="1">
        <v>0</v>
      </c>
      <c r="C766" s="1">
        <v>9</v>
      </c>
      <c r="D766" s="1">
        <v>1</v>
      </c>
      <c r="E766" s="1">
        <v>2</v>
      </c>
      <c r="F766" s="1">
        <v>2</v>
      </c>
      <c r="G766" s="1">
        <v>6</v>
      </c>
      <c r="H766" s="1">
        <v>1</v>
      </c>
      <c r="I766" s="1">
        <v>2</v>
      </c>
      <c r="J766" s="1">
        <v>2</v>
      </c>
    </row>
    <row r="767" spans="1:10" x14ac:dyDescent="0.2">
      <c r="A767" s="1">
        <v>899</v>
      </c>
      <c r="B767" s="1">
        <v>0</v>
      </c>
      <c r="C767" s="1">
        <v>11</v>
      </c>
      <c r="D767" s="1">
        <v>5</v>
      </c>
      <c r="E767" s="1">
        <v>3</v>
      </c>
      <c r="F767" s="1">
        <v>2</v>
      </c>
      <c r="G767" s="1">
        <v>6</v>
      </c>
      <c r="H767" s="1">
        <v>0</v>
      </c>
      <c r="I767" s="1">
        <v>1</v>
      </c>
      <c r="J767" s="1">
        <v>2</v>
      </c>
    </row>
    <row r="768" spans="1:10" x14ac:dyDescent="0.2">
      <c r="A768" s="1">
        <v>1520</v>
      </c>
      <c r="B768" s="1">
        <v>0</v>
      </c>
      <c r="C768" s="1">
        <v>18</v>
      </c>
      <c r="D768" s="1">
        <v>2</v>
      </c>
      <c r="E768" s="1">
        <v>3</v>
      </c>
      <c r="F768" s="1">
        <v>2</v>
      </c>
      <c r="G768" s="1">
        <v>6</v>
      </c>
      <c r="H768" s="1">
        <v>0</v>
      </c>
      <c r="I768" s="1">
        <v>1</v>
      </c>
      <c r="J768" s="1">
        <v>2</v>
      </c>
    </row>
    <row r="769" spans="1:10" x14ac:dyDescent="0.2">
      <c r="A769" s="1">
        <v>67</v>
      </c>
      <c r="B769" s="1">
        <v>0</v>
      </c>
      <c r="C769" s="1">
        <v>19</v>
      </c>
      <c r="D769" s="1">
        <v>1</v>
      </c>
      <c r="E769" s="1">
        <v>3</v>
      </c>
      <c r="F769" s="1">
        <v>2</v>
      </c>
      <c r="G769" s="1">
        <v>6</v>
      </c>
      <c r="H769" s="1">
        <v>0</v>
      </c>
      <c r="I769" s="1">
        <v>2</v>
      </c>
      <c r="J769" s="1">
        <v>2</v>
      </c>
    </row>
    <row r="770" spans="1:10" x14ac:dyDescent="0.2">
      <c r="A770" s="1">
        <v>1096</v>
      </c>
      <c r="B770" s="1">
        <v>0</v>
      </c>
      <c r="C770" s="1">
        <v>15</v>
      </c>
      <c r="D770" s="1">
        <v>4</v>
      </c>
      <c r="E770" s="1">
        <v>1</v>
      </c>
      <c r="F770" s="1">
        <v>3</v>
      </c>
      <c r="G770" s="1">
        <v>6</v>
      </c>
      <c r="H770" s="1">
        <v>0</v>
      </c>
      <c r="I770" s="1">
        <v>0</v>
      </c>
      <c r="J770" s="1">
        <v>2</v>
      </c>
    </row>
    <row r="771" spans="1:10" x14ac:dyDescent="0.2">
      <c r="A771" s="1">
        <v>1690</v>
      </c>
      <c r="B771" s="1">
        <v>0</v>
      </c>
      <c r="C771" s="1">
        <v>15</v>
      </c>
      <c r="D771" s="1">
        <v>2</v>
      </c>
      <c r="E771" s="1">
        <v>1</v>
      </c>
      <c r="F771" s="1">
        <v>3</v>
      </c>
      <c r="G771" s="1">
        <v>6</v>
      </c>
      <c r="H771" s="1">
        <v>1</v>
      </c>
      <c r="I771" s="1">
        <v>1</v>
      </c>
      <c r="J771" s="1">
        <v>2</v>
      </c>
    </row>
    <row r="772" spans="1:10" x14ac:dyDescent="0.2">
      <c r="A772" s="1">
        <v>439</v>
      </c>
      <c r="B772" s="1">
        <v>0</v>
      </c>
      <c r="C772" s="1">
        <v>20</v>
      </c>
      <c r="D772" s="1">
        <v>5</v>
      </c>
      <c r="E772" s="1">
        <v>2</v>
      </c>
      <c r="F772" s="1">
        <v>3</v>
      </c>
      <c r="G772" s="1">
        <v>6</v>
      </c>
      <c r="H772" s="1">
        <v>0</v>
      </c>
      <c r="I772" s="1">
        <v>2</v>
      </c>
      <c r="J772" s="1">
        <v>2</v>
      </c>
    </row>
    <row r="773" spans="1:10" x14ac:dyDescent="0.2">
      <c r="A773" s="1">
        <v>161</v>
      </c>
      <c r="B773" s="1">
        <v>0</v>
      </c>
      <c r="C773" s="1">
        <v>8</v>
      </c>
      <c r="D773" s="1">
        <v>5</v>
      </c>
      <c r="E773" s="1">
        <v>3</v>
      </c>
      <c r="F773" s="1">
        <v>3</v>
      </c>
      <c r="G773" s="1">
        <v>6</v>
      </c>
      <c r="H773" s="1">
        <v>0</v>
      </c>
      <c r="I773" s="1">
        <v>2</v>
      </c>
      <c r="J773" s="1">
        <v>2</v>
      </c>
    </row>
    <row r="774" spans="1:10" x14ac:dyDescent="0.2">
      <c r="A774" s="1">
        <v>782</v>
      </c>
      <c r="B774" s="1">
        <v>0</v>
      </c>
      <c r="C774" s="1">
        <v>8</v>
      </c>
      <c r="D774" s="1">
        <v>4</v>
      </c>
      <c r="E774" s="1">
        <v>3</v>
      </c>
      <c r="F774" s="1">
        <v>3</v>
      </c>
      <c r="G774" s="1">
        <v>6</v>
      </c>
      <c r="H774" s="1">
        <v>1</v>
      </c>
      <c r="I774" s="1">
        <v>1</v>
      </c>
      <c r="J774" s="1">
        <v>2</v>
      </c>
    </row>
    <row r="775" spans="1:10" x14ac:dyDescent="0.2">
      <c r="A775" s="1">
        <v>851</v>
      </c>
      <c r="B775" s="1">
        <v>0</v>
      </c>
      <c r="C775" s="1">
        <v>11</v>
      </c>
      <c r="D775" s="1">
        <v>1</v>
      </c>
      <c r="E775" s="1">
        <v>3</v>
      </c>
      <c r="F775" s="1">
        <v>3</v>
      </c>
      <c r="G775" s="1">
        <v>6</v>
      </c>
      <c r="H775" s="1">
        <v>1</v>
      </c>
      <c r="I775" s="1">
        <v>2</v>
      </c>
      <c r="J775" s="1">
        <v>2</v>
      </c>
    </row>
    <row r="776" spans="1:10" x14ac:dyDescent="0.2">
      <c r="A776" s="1">
        <v>68</v>
      </c>
      <c r="B776" s="1">
        <v>0</v>
      </c>
      <c r="C776" s="1">
        <v>14</v>
      </c>
      <c r="D776" s="1">
        <v>3</v>
      </c>
      <c r="E776" s="1">
        <v>3</v>
      </c>
      <c r="F776" s="1">
        <v>3</v>
      </c>
      <c r="G776" s="1">
        <v>6</v>
      </c>
      <c r="H776" s="1">
        <v>0</v>
      </c>
      <c r="I776" s="1">
        <v>2</v>
      </c>
      <c r="J776" s="1">
        <v>2</v>
      </c>
    </row>
    <row r="777" spans="1:10" x14ac:dyDescent="0.2">
      <c r="A777" s="1">
        <v>2004</v>
      </c>
      <c r="B777" s="1">
        <v>0</v>
      </c>
      <c r="C777" s="1">
        <v>5</v>
      </c>
      <c r="D777" s="1">
        <v>4</v>
      </c>
      <c r="E777" s="1">
        <v>1</v>
      </c>
      <c r="F777" s="1">
        <v>4</v>
      </c>
      <c r="G777" s="1">
        <v>6</v>
      </c>
      <c r="H777" s="1">
        <v>1</v>
      </c>
      <c r="I777" s="1">
        <v>3</v>
      </c>
      <c r="J777" s="1">
        <v>2</v>
      </c>
    </row>
    <row r="778" spans="1:10" x14ac:dyDescent="0.2">
      <c r="A778" s="1">
        <v>884</v>
      </c>
      <c r="B778" s="1">
        <v>0</v>
      </c>
      <c r="C778" s="1">
        <v>13</v>
      </c>
      <c r="D778" s="1">
        <v>2</v>
      </c>
      <c r="E778" s="1">
        <v>1</v>
      </c>
      <c r="F778" s="1">
        <v>4</v>
      </c>
      <c r="G778" s="1">
        <v>6</v>
      </c>
      <c r="H778" s="1">
        <v>1</v>
      </c>
      <c r="I778" s="1">
        <v>3</v>
      </c>
      <c r="J778" s="1">
        <v>2</v>
      </c>
    </row>
    <row r="779" spans="1:10" x14ac:dyDescent="0.2">
      <c r="A779" s="1">
        <v>2175</v>
      </c>
      <c r="B779" s="1">
        <v>0</v>
      </c>
      <c r="C779" s="1">
        <v>15</v>
      </c>
      <c r="D779" s="1">
        <v>1</v>
      </c>
      <c r="E779" s="1">
        <v>1</v>
      </c>
      <c r="F779" s="1">
        <v>4</v>
      </c>
      <c r="G779" s="1">
        <v>6</v>
      </c>
      <c r="H779" s="1">
        <v>1</v>
      </c>
      <c r="I779" s="1">
        <v>1</v>
      </c>
      <c r="J779" s="1">
        <v>2</v>
      </c>
    </row>
    <row r="780" spans="1:10" x14ac:dyDescent="0.2">
      <c r="A780" s="1">
        <v>444</v>
      </c>
      <c r="B780" s="1">
        <v>0</v>
      </c>
      <c r="C780" s="1">
        <v>13</v>
      </c>
      <c r="D780" s="1">
        <v>4</v>
      </c>
      <c r="E780" s="1">
        <v>2</v>
      </c>
      <c r="F780" s="1">
        <v>4</v>
      </c>
      <c r="G780" s="1">
        <v>6</v>
      </c>
      <c r="H780" s="1">
        <v>1</v>
      </c>
      <c r="I780" s="1">
        <v>3</v>
      </c>
      <c r="J780" s="1">
        <v>2</v>
      </c>
    </row>
    <row r="781" spans="1:10" x14ac:dyDescent="0.2">
      <c r="A781" s="1">
        <v>283</v>
      </c>
      <c r="B781" s="1">
        <v>0</v>
      </c>
      <c r="C781" s="1">
        <v>20</v>
      </c>
      <c r="D781" s="1">
        <v>4</v>
      </c>
      <c r="E781" s="1">
        <v>2</v>
      </c>
      <c r="F781" s="1">
        <v>4</v>
      </c>
      <c r="G781" s="1">
        <v>6</v>
      </c>
      <c r="H781" s="1">
        <v>1</v>
      </c>
      <c r="I781" s="1">
        <v>0</v>
      </c>
      <c r="J781" s="1">
        <v>2</v>
      </c>
    </row>
    <row r="782" spans="1:10" x14ac:dyDescent="0.2">
      <c r="A782" s="1">
        <v>599</v>
      </c>
      <c r="B782" s="1">
        <v>0</v>
      </c>
      <c r="C782" s="1">
        <v>5</v>
      </c>
      <c r="D782" s="1">
        <v>5</v>
      </c>
      <c r="E782" s="1">
        <v>3</v>
      </c>
      <c r="F782" s="1">
        <v>4</v>
      </c>
      <c r="G782" s="1">
        <v>6</v>
      </c>
      <c r="H782" s="1">
        <v>1</v>
      </c>
      <c r="I782" s="1">
        <v>0</v>
      </c>
      <c r="J782" s="1">
        <v>2</v>
      </c>
    </row>
    <row r="783" spans="1:10" x14ac:dyDescent="0.2">
      <c r="A783" s="1">
        <v>1865</v>
      </c>
      <c r="B783" s="1">
        <v>0</v>
      </c>
      <c r="C783" s="1">
        <v>14</v>
      </c>
      <c r="D783" s="1">
        <v>5</v>
      </c>
      <c r="E783" s="1">
        <v>3</v>
      </c>
      <c r="F783" s="1">
        <v>4</v>
      </c>
      <c r="G783" s="1">
        <v>6</v>
      </c>
      <c r="H783" s="1">
        <v>0</v>
      </c>
      <c r="I783" s="1">
        <v>2</v>
      </c>
      <c r="J783" s="1">
        <v>2</v>
      </c>
    </row>
    <row r="784" spans="1:10" x14ac:dyDescent="0.2">
      <c r="A784" s="1">
        <v>1702</v>
      </c>
      <c r="B784" s="1">
        <v>0</v>
      </c>
      <c r="C784" s="1">
        <v>5</v>
      </c>
      <c r="D784" s="1">
        <v>3</v>
      </c>
      <c r="E784" s="1">
        <v>2</v>
      </c>
      <c r="F784" s="1">
        <v>5</v>
      </c>
      <c r="G784" s="1">
        <v>6</v>
      </c>
      <c r="H784" s="1">
        <v>1</v>
      </c>
      <c r="I784" s="1">
        <v>1</v>
      </c>
      <c r="J784" s="1">
        <v>2</v>
      </c>
    </row>
    <row r="785" spans="1:10" x14ac:dyDescent="0.2">
      <c r="A785" s="1">
        <v>808</v>
      </c>
      <c r="B785" s="1">
        <v>0</v>
      </c>
      <c r="C785" s="1">
        <v>16</v>
      </c>
      <c r="D785" s="1">
        <v>3</v>
      </c>
      <c r="E785" s="1">
        <v>2</v>
      </c>
      <c r="F785" s="1">
        <v>5</v>
      </c>
      <c r="G785" s="1">
        <v>6</v>
      </c>
      <c r="H785" s="1">
        <v>1</v>
      </c>
      <c r="I785" s="1">
        <v>0</v>
      </c>
      <c r="J785" s="1">
        <v>2</v>
      </c>
    </row>
    <row r="786" spans="1:10" x14ac:dyDescent="0.2">
      <c r="A786" s="1">
        <v>1599</v>
      </c>
      <c r="B786" s="1">
        <v>0</v>
      </c>
      <c r="C786" s="1">
        <v>11</v>
      </c>
      <c r="D786" s="1">
        <v>1</v>
      </c>
      <c r="E786" s="1">
        <v>3</v>
      </c>
      <c r="F786" s="1">
        <v>5</v>
      </c>
      <c r="G786" s="1">
        <v>6</v>
      </c>
      <c r="H786" s="1">
        <v>1</v>
      </c>
      <c r="I786" s="1">
        <v>3</v>
      </c>
      <c r="J786" s="1">
        <v>2</v>
      </c>
    </row>
    <row r="787" spans="1:10" x14ac:dyDescent="0.2">
      <c r="A787" s="1">
        <v>1967</v>
      </c>
      <c r="B787" s="1">
        <v>0</v>
      </c>
      <c r="C787" s="1">
        <v>13</v>
      </c>
      <c r="D787" s="1">
        <v>3</v>
      </c>
      <c r="E787" s="1">
        <v>3</v>
      </c>
      <c r="F787" s="1">
        <v>5</v>
      </c>
      <c r="G787" s="1">
        <v>6</v>
      </c>
      <c r="H787" s="1">
        <v>1</v>
      </c>
      <c r="I787" s="1">
        <v>2</v>
      </c>
      <c r="J787" s="1">
        <v>2</v>
      </c>
    </row>
    <row r="788" spans="1:10" x14ac:dyDescent="0.2">
      <c r="A788" s="1">
        <v>865</v>
      </c>
      <c r="B788" s="1">
        <v>0</v>
      </c>
      <c r="C788" s="1">
        <v>15</v>
      </c>
      <c r="D788" s="1">
        <v>3</v>
      </c>
      <c r="E788" s="1">
        <v>3</v>
      </c>
      <c r="F788" s="1">
        <v>5</v>
      </c>
      <c r="G788" s="1">
        <v>6</v>
      </c>
      <c r="H788" s="1">
        <v>1</v>
      </c>
      <c r="I788" s="1">
        <v>1</v>
      </c>
      <c r="J788" s="1">
        <v>2</v>
      </c>
    </row>
    <row r="789" spans="1:10" x14ac:dyDescent="0.2">
      <c r="A789" s="1">
        <v>2261</v>
      </c>
      <c r="B789" s="1">
        <v>0</v>
      </c>
      <c r="C789" s="1">
        <v>15</v>
      </c>
      <c r="D789" s="1">
        <v>3</v>
      </c>
      <c r="E789" s="1">
        <v>2</v>
      </c>
      <c r="F789" s="1">
        <v>6</v>
      </c>
      <c r="G789" s="1">
        <v>6</v>
      </c>
      <c r="H789" s="1">
        <v>1</v>
      </c>
      <c r="I789" s="1">
        <v>1</v>
      </c>
      <c r="J789" s="1">
        <v>2</v>
      </c>
    </row>
    <row r="790" spans="1:10" x14ac:dyDescent="0.2">
      <c r="A790" s="1">
        <v>1988</v>
      </c>
      <c r="B790" s="1">
        <v>0</v>
      </c>
      <c r="C790" s="1">
        <v>17</v>
      </c>
      <c r="D790" s="1">
        <v>5</v>
      </c>
      <c r="E790" s="1">
        <v>2</v>
      </c>
      <c r="F790" s="1">
        <v>6</v>
      </c>
      <c r="G790" s="1">
        <v>6</v>
      </c>
      <c r="H790" s="1">
        <v>1</v>
      </c>
      <c r="I790" s="1">
        <v>1</v>
      </c>
      <c r="J790" s="1">
        <v>2</v>
      </c>
    </row>
    <row r="791" spans="1:10" x14ac:dyDescent="0.2">
      <c r="A791" s="1">
        <v>198</v>
      </c>
      <c r="B791" s="1">
        <v>0</v>
      </c>
      <c r="C791" s="1">
        <v>6</v>
      </c>
      <c r="D791" s="1">
        <v>3</v>
      </c>
      <c r="E791" s="1">
        <v>3</v>
      </c>
      <c r="F791" s="1">
        <v>6</v>
      </c>
      <c r="G791" s="1">
        <v>6</v>
      </c>
      <c r="H791" s="1">
        <v>1</v>
      </c>
      <c r="I791" s="1">
        <v>0</v>
      </c>
      <c r="J791" s="1">
        <v>2</v>
      </c>
    </row>
    <row r="792" spans="1:10" x14ac:dyDescent="0.2">
      <c r="A792" s="1">
        <v>385</v>
      </c>
      <c r="B792" s="1">
        <v>0</v>
      </c>
      <c r="C792" s="1">
        <v>6</v>
      </c>
      <c r="D792" s="1">
        <v>4</v>
      </c>
      <c r="E792" s="1">
        <v>3</v>
      </c>
      <c r="F792" s="1">
        <v>6</v>
      </c>
      <c r="G792" s="1">
        <v>6</v>
      </c>
      <c r="H792" s="1">
        <v>1</v>
      </c>
      <c r="I792" s="1">
        <v>2</v>
      </c>
      <c r="J792" s="1">
        <v>2</v>
      </c>
    </row>
    <row r="793" spans="1:10" x14ac:dyDescent="0.2">
      <c r="A793" s="1">
        <v>90</v>
      </c>
      <c r="B793" s="1">
        <v>0</v>
      </c>
      <c r="C793" s="1">
        <v>15</v>
      </c>
      <c r="D793" s="1">
        <v>4</v>
      </c>
      <c r="E793" s="1">
        <v>1</v>
      </c>
      <c r="F793" s="1">
        <v>7</v>
      </c>
      <c r="G793" s="1">
        <v>6</v>
      </c>
      <c r="H793" s="1">
        <v>1</v>
      </c>
      <c r="I793" s="1">
        <v>1</v>
      </c>
      <c r="J793" s="1">
        <v>2</v>
      </c>
    </row>
    <row r="794" spans="1:10" x14ac:dyDescent="0.2">
      <c r="A794" s="1">
        <v>2076</v>
      </c>
      <c r="B794" s="1">
        <v>0</v>
      </c>
      <c r="C794" s="1">
        <v>15</v>
      </c>
      <c r="D794" s="1">
        <v>4</v>
      </c>
      <c r="E794" s="1">
        <v>2</v>
      </c>
      <c r="F794" s="1">
        <v>7</v>
      </c>
      <c r="G794" s="1">
        <v>6</v>
      </c>
      <c r="H794" s="1">
        <v>0</v>
      </c>
      <c r="I794" s="1">
        <v>1</v>
      </c>
      <c r="J794" s="1">
        <v>2</v>
      </c>
    </row>
    <row r="795" spans="1:10" x14ac:dyDescent="0.2">
      <c r="A795" s="1">
        <v>2128</v>
      </c>
      <c r="B795" s="1">
        <v>0</v>
      </c>
      <c r="C795" s="1">
        <v>6</v>
      </c>
      <c r="D795" s="1">
        <v>5</v>
      </c>
      <c r="E795" s="1">
        <v>3</v>
      </c>
      <c r="F795" s="1">
        <v>7</v>
      </c>
      <c r="G795" s="1">
        <v>6</v>
      </c>
      <c r="H795" s="1">
        <v>1</v>
      </c>
      <c r="I795" s="1">
        <v>2</v>
      </c>
      <c r="J795" s="1">
        <v>2</v>
      </c>
    </row>
    <row r="796" spans="1:10" x14ac:dyDescent="0.2">
      <c r="A796" s="1">
        <v>1494</v>
      </c>
      <c r="B796" s="1">
        <v>0</v>
      </c>
      <c r="C796" s="1">
        <v>15</v>
      </c>
      <c r="D796" s="1">
        <v>5</v>
      </c>
      <c r="E796" s="1">
        <v>3</v>
      </c>
      <c r="F796" s="1">
        <v>7</v>
      </c>
      <c r="G796" s="1">
        <v>6</v>
      </c>
      <c r="H796" s="1">
        <v>0</v>
      </c>
      <c r="I796" s="1">
        <v>0</v>
      </c>
      <c r="J796" s="1">
        <v>2</v>
      </c>
    </row>
    <row r="797" spans="1:10" x14ac:dyDescent="0.2">
      <c r="A797" s="1">
        <v>1170</v>
      </c>
      <c r="B797" s="1">
        <v>0</v>
      </c>
      <c r="C797" s="1">
        <v>15</v>
      </c>
      <c r="D797" s="1">
        <v>2</v>
      </c>
      <c r="E797" s="1">
        <v>1</v>
      </c>
      <c r="F797" s="1">
        <v>8</v>
      </c>
      <c r="G797" s="1">
        <v>6</v>
      </c>
      <c r="H797" s="1">
        <v>1</v>
      </c>
      <c r="I797" s="1">
        <v>0</v>
      </c>
      <c r="J797" s="1">
        <v>2</v>
      </c>
    </row>
    <row r="798" spans="1:10" x14ac:dyDescent="0.2">
      <c r="A798" s="1">
        <v>113</v>
      </c>
      <c r="B798" s="1">
        <v>0</v>
      </c>
      <c r="C798" s="1">
        <v>7</v>
      </c>
      <c r="D798" s="1">
        <v>2</v>
      </c>
      <c r="E798" s="1">
        <v>2</v>
      </c>
      <c r="F798" s="1">
        <v>8</v>
      </c>
      <c r="G798" s="1">
        <v>6</v>
      </c>
      <c r="H798" s="1">
        <v>1</v>
      </c>
      <c r="I798" s="1">
        <v>1</v>
      </c>
      <c r="J798" s="1">
        <v>2</v>
      </c>
    </row>
    <row r="799" spans="1:10" x14ac:dyDescent="0.2">
      <c r="A799" s="1">
        <v>1303</v>
      </c>
      <c r="B799" s="1">
        <v>0</v>
      </c>
      <c r="C799" s="1">
        <v>10</v>
      </c>
      <c r="D799" s="1">
        <v>4</v>
      </c>
      <c r="E799" s="1">
        <v>2</v>
      </c>
      <c r="F799" s="1">
        <v>8</v>
      </c>
      <c r="G799" s="1">
        <v>6</v>
      </c>
      <c r="H799" s="1">
        <v>0</v>
      </c>
      <c r="I799" s="1">
        <v>2</v>
      </c>
      <c r="J799" s="1">
        <v>2</v>
      </c>
    </row>
    <row r="800" spans="1:10" x14ac:dyDescent="0.2">
      <c r="A800" s="1">
        <v>2390</v>
      </c>
      <c r="B800" s="1">
        <v>0</v>
      </c>
      <c r="C800" s="1">
        <v>20</v>
      </c>
      <c r="D800" s="1">
        <v>4</v>
      </c>
      <c r="E800" s="1">
        <v>2</v>
      </c>
      <c r="F800" s="1">
        <v>8</v>
      </c>
      <c r="G800" s="1">
        <v>6</v>
      </c>
      <c r="H800" s="1">
        <v>1</v>
      </c>
      <c r="I800" s="1">
        <v>0</v>
      </c>
      <c r="J800" s="1">
        <v>2</v>
      </c>
    </row>
    <row r="801" spans="1:10" x14ac:dyDescent="0.2">
      <c r="A801" s="1">
        <v>2260</v>
      </c>
      <c r="B801" s="1">
        <v>0</v>
      </c>
      <c r="C801" s="1">
        <v>16</v>
      </c>
      <c r="D801" s="1">
        <v>4</v>
      </c>
      <c r="E801" s="1">
        <v>3</v>
      </c>
      <c r="F801" s="1">
        <v>8</v>
      </c>
      <c r="G801" s="1">
        <v>6</v>
      </c>
      <c r="H801" s="1">
        <v>0</v>
      </c>
      <c r="I801" s="1">
        <v>2</v>
      </c>
      <c r="J801" s="1">
        <v>2</v>
      </c>
    </row>
    <row r="802" spans="1:10" x14ac:dyDescent="0.2">
      <c r="A802" s="1">
        <v>1316</v>
      </c>
      <c r="B802" s="1">
        <v>0</v>
      </c>
      <c r="C802" s="1">
        <v>14</v>
      </c>
      <c r="D802" s="1">
        <v>3</v>
      </c>
      <c r="E802" s="1">
        <v>2</v>
      </c>
      <c r="F802" s="1">
        <v>9</v>
      </c>
      <c r="G802" s="1">
        <v>6</v>
      </c>
      <c r="H802" s="1">
        <v>0</v>
      </c>
      <c r="I802" s="1">
        <v>0</v>
      </c>
      <c r="J802" s="1">
        <v>2</v>
      </c>
    </row>
    <row r="803" spans="1:10" x14ac:dyDescent="0.2">
      <c r="A803" s="1">
        <v>579</v>
      </c>
      <c r="B803" s="1">
        <v>0</v>
      </c>
      <c r="C803" s="1">
        <v>5</v>
      </c>
      <c r="D803" s="1">
        <v>4</v>
      </c>
      <c r="E803" s="1">
        <v>3</v>
      </c>
      <c r="F803" s="1">
        <v>9</v>
      </c>
      <c r="G803" s="1">
        <v>6</v>
      </c>
      <c r="H803" s="1">
        <v>1</v>
      </c>
      <c r="I803" s="1">
        <v>0</v>
      </c>
      <c r="J803" s="1">
        <v>2</v>
      </c>
    </row>
    <row r="804" spans="1:10" x14ac:dyDescent="0.2">
      <c r="A804" s="1">
        <v>330</v>
      </c>
      <c r="B804" s="1">
        <v>0</v>
      </c>
      <c r="C804" s="1">
        <v>7</v>
      </c>
      <c r="D804" s="1">
        <v>4</v>
      </c>
      <c r="E804" s="1">
        <v>3</v>
      </c>
      <c r="F804" s="1">
        <v>9</v>
      </c>
      <c r="G804" s="1">
        <v>6</v>
      </c>
      <c r="H804" s="1">
        <v>0</v>
      </c>
      <c r="I804" s="1">
        <v>2</v>
      </c>
      <c r="J804" s="1">
        <v>2</v>
      </c>
    </row>
    <row r="805" spans="1:10" x14ac:dyDescent="0.2">
      <c r="A805" s="1">
        <v>897</v>
      </c>
      <c r="B805" s="1">
        <v>0</v>
      </c>
      <c r="C805" s="1">
        <v>10</v>
      </c>
      <c r="D805" s="1">
        <v>5</v>
      </c>
      <c r="E805" s="1">
        <v>3</v>
      </c>
      <c r="F805" s="1">
        <v>9</v>
      </c>
      <c r="G805" s="1">
        <v>6</v>
      </c>
      <c r="H805" s="1">
        <v>0</v>
      </c>
      <c r="I805" s="1">
        <v>1</v>
      </c>
      <c r="J805" s="1">
        <v>2</v>
      </c>
    </row>
    <row r="806" spans="1:10" x14ac:dyDescent="0.2">
      <c r="A806" s="1">
        <v>488</v>
      </c>
      <c r="B806" s="1">
        <v>0</v>
      </c>
      <c r="C806" s="1">
        <v>19</v>
      </c>
      <c r="D806" s="1">
        <v>2</v>
      </c>
      <c r="E806" s="1">
        <v>3</v>
      </c>
      <c r="F806" s="1">
        <v>9</v>
      </c>
      <c r="G806" s="1">
        <v>6</v>
      </c>
      <c r="H806" s="1">
        <v>1</v>
      </c>
      <c r="I806" s="1">
        <v>1</v>
      </c>
      <c r="J806" s="1">
        <v>2</v>
      </c>
    </row>
    <row r="807" spans="1:10" x14ac:dyDescent="0.2">
      <c r="A807" s="1">
        <v>2352</v>
      </c>
      <c r="B807" s="1">
        <v>0</v>
      </c>
      <c r="C807" s="1">
        <v>20</v>
      </c>
      <c r="D807" s="1">
        <v>3</v>
      </c>
      <c r="E807" s="1">
        <v>3</v>
      </c>
      <c r="F807" s="1">
        <v>9</v>
      </c>
      <c r="G807" s="1">
        <v>6</v>
      </c>
      <c r="H807" s="1">
        <v>0</v>
      </c>
      <c r="I807" s="1">
        <v>1</v>
      </c>
      <c r="J807" s="1">
        <v>2</v>
      </c>
    </row>
    <row r="808" spans="1:10" x14ac:dyDescent="0.2">
      <c r="A808" s="1">
        <v>233</v>
      </c>
      <c r="B808" s="1">
        <v>0</v>
      </c>
      <c r="C808" s="1">
        <v>10</v>
      </c>
      <c r="D808" s="1">
        <v>3</v>
      </c>
      <c r="E808" s="1">
        <v>2</v>
      </c>
      <c r="F808" s="1">
        <v>10</v>
      </c>
      <c r="G808" s="1">
        <v>6</v>
      </c>
      <c r="H808" s="1">
        <v>0</v>
      </c>
      <c r="I808" s="1">
        <v>2</v>
      </c>
      <c r="J808" s="1">
        <v>2</v>
      </c>
    </row>
    <row r="809" spans="1:10" x14ac:dyDescent="0.2">
      <c r="A809" s="1">
        <v>2332</v>
      </c>
      <c r="B809" s="1">
        <v>0</v>
      </c>
      <c r="C809" s="1">
        <v>18</v>
      </c>
      <c r="D809" s="1">
        <v>4</v>
      </c>
      <c r="E809" s="1">
        <v>2</v>
      </c>
      <c r="F809" s="1">
        <v>10</v>
      </c>
      <c r="G809" s="1">
        <v>6</v>
      </c>
      <c r="H809" s="1">
        <v>1</v>
      </c>
      <c r="I809" s="1">
        <v>1</v>
      </c>
      <c r="J809" s="1">
        <v>2</v>
      </c>
    </row>
    <row r="810" spans="1:10" x14ac:dyDescent="0.2">
      <c r="A810" s="1">
        <v>1683</v>
      </c>
      <c r="B810" s="1">
        <v>0</v>
      </c>
      <c r="C810" s="1">
        <v>7</v>
      </c>
      <c r="D810" s="1">
        <v>3</v>
      </c>
      <c r="E810" s="1">
        <v>3</v>
      </c>
      <c r="F810" s="1">
        <v>10</v>
      </c>
      <c r="G810" s="1">
        <v>6</v>
      </c>
      <c r="H810" s="1">
        <v>1</v>
      </c>
      <c r="I810" s="1">
        <v>3</v>
      </c>
      <c r="J810" s="1">
        <v>2</v>
      </c>
    </row>
    <row r="811" spans="1:10" x14ac:dyDescent="0.2">
      <c r="A811" s="1">
        <v>1283</v>
      </c>
      <c r="B811" s="1">
        <v>0</v>
      </c>
      <c r="C811" s="1">
        <v>12</v>
      </c>
      <c r="D811" s="1">
        <v>2</v>
      </c>
      <c r="E811" s="1">
        <v>3</v>
      </c>
      <c r="F811" s="1">
        <v>10</v>
      </c>
      <c r="G811" s="1">
        <v>6</v>
      </c>
      <c r="H811" s="1">
        <v>1</v>
      </c>
      <c r="I811" s="1">
        <v>3</v>
      </c>
      <c r="J811" s="1">
        <v>2</v>
      </c>
    </row>
    <row r="812" spans="1:10" x14ac:dyDescent="0.2">
      <c r="A812" s="1">
        <v>397</v>
      </c>
      <c r="B812" s="1">
        <v>0</v>
      </c>
      <c r="C812" s="1">
        <v>19</v>
      </c>
      <c r="D812" s="1">
        <v>5</v>
      </c>
      <c r="E812" s="1">
        <v>3</v>
      </c>
      <c r="F812" s="1">
        <v>10</v>
      </c>
      <c r="G812" s="1">
        <v>6</v>
      </c>
      <c r="H812" s="1">
        <v>0</v>
      </c>
      <c r="I812" s="1">
        <v>1</v>
      </c>
      <c r="J812" s="1">
        <v>2</v>
      </c>
    </row>
    <row r="813" spans="1:10" x14ac:dyDescent="0.2">
      <c r="A813" s="1">
        <v>860</v>
      </c>
      <c r="B813" s="1">
        <v>0</v>
      </c>
      <c r="C813" s="1">
        <v>11</v>
      </c>
      <c r="D813" s="1">
        <v>5</v>
      </c>
      <c r="E813" s="1">
        <v>2</v>
      </c>
      <c r="F813" s="1">
        <v>1</v>
      </c>
      <c r="G813" s="1">
        <v>7</v>
      </c>
      <c r="H813" s="1">
        <v>1</v>
      </c>
      <c r="I813" s="1">
        <v>1</v>
      </c>
      <c r="J813" s="1">
        <v>2</v>
      </c>
    </row>
    <row r="814" spans="1:10" x14ac:dyDescent="0.2">
      <c r="A814" s="1">
        <v>2381</v>
      </c>
      <c r="B814" s="1">
        <v>0</v>
      </c>
      <c r="C814" s="1">
        <v>19</v>
      </c>
      <c r="D814" s="1">
        <v>5</v>
      </c>
      <c r="E814" s="1">
        <v>2</v>
      </c>
      <c r="F814" s="1">
        <v>1</v>
      </c>
      <c r="G814" s="1">
        <v>7</v>
      </c>
      <c r="H814" s="1">
        <v>1</v>
      </c>
      <c r="I814" s="1">
        <v>3</v>
      </c>
      <c r="J814" s="1">
        <v>2</v>
      </c>
    </row>
    <row r="815" spans="1:10" x14ac:dyDescent="0.2">
      <c r="A815" s="1">
        <v>1435</v>
      </c>
      <c r="B815" s="1">
        <v>0</v>
      </c>
      <c r="C815" s="1">
        <v>16</v>
      </c>
      <c r="D815" s="1">
        <v>3</v>
      </c>
      <c r="E815" s="1">
        <v>3</v>
      </c>
      <c r="F815" s="1">
        <v>1</v>
      </c>
      <c r="G815" s="1">
        <v>7</v>
      </c>
      <c r="H815" s="1">
        <v>0</v>
      </c>
      <c r="I815" s="1">
        <v>2</v>
      </c>
      <c r="J815" s="1">
        <v>2</v>
      </c>
    </row>
    <row r="816" spans="1:10" x14ac:dyDescent="0.2">
      <c r="A816" s="1">
        <v>687</v>
      </c>
      <c r="B816" s="1">
        <v>0</v>
      </c>
      <c r="C816" s="1">
        <v>11</v>
      </c>
      <c r="D816" s="1">
        <v>1</v>
      </c>
      <c r="E816" s="1">
        <v>1</v>
      </c>
      <c r="F816" s="1">
        <v>2</v>
      </c>
      <c r="G816" s="1">
        <v>7</v>
      </c>
      <c r="H816" s="1">
        <v>0</v>
      </c>
      <c r="I816" s="1">
        <v>2</v>
      </c>
      <c r="J816" s="1">
        <v>2</v>
      </c>
    </row>
    <row r="817" spans="1:10" x14ac:dyDescent="0.2">
      <c r="A817" s="1">
        <v>498</v>
      </c>
      <c r="B817" s="1">
        <v>0</v>
      </c>
      <c r="C817" s="1">
        <v>15</v>
      </c>
      <c r="D817" s="1">
        <v>4</v>
      </c>
      <c r="E817" s="1">
        <v>1</v>
      </c>
      <c r="F817" s="1">
        <v>2</v>
      </c>
      <c r="G817" s="1">
        <v>7</v>
      </c>
      <c r="H817" s="1">
        <v>1</v>
      </c>
      <c r="I817" s="1">
        <v>3</v>
      </c>
      <c r="J817" s="1">
        <v>2</v>
      </c>
    </row>
    <row r="818" spans="1:10" x14ac:dyDescent="0.2">
      <c r="A818" s="1">
        <v>766</v>
      </c>
      <c r="B818" s="1">
        <v>0</v>
      </c>
      <c r="C818" s="1">
        <v>16</v>
      </c>
      <c r="D818" s="1">
        <v>3</v>
      </c>
      <c r="E818" s="1">
        <v>1</v>
      </c>
      <c r="F818" s="1">
        <v>2</v>
      </c>
      <c r="G818" s="1">
        <v>7</v>
      </c>
      <c r="H818" s="1">
        <v>1</v>
      </c>
      <c r="I818" s="1">
        <v>0</v>
      </c>
      <c r="J818" s="1">
        <v>2</v>
      </c>
    </row>
    <row r="819" spans="1:10" x14ac:dyDescent="0.2">
      <c r="A819" s="1">
        <v>1957</v>
      </c>
      <c r="B819" s="1">
        <v>0</v>
      </c>
      <c r="C819" s="1">
        <v>8</v>
      </c>
      <c r="D819" s="1">
        <v>3</v>
      </c>
      <c r="E819" s="1">
        <v>3</v>
      </c>
      <c r="F819" s="1">
        <v>2</v>
      </c>
      <c r="G819" s="1">
        <v>7</v>
      </c>
      <c r="H819" s="1">
        <v>1</v>
      </c>
      <c r="I819" s="1">
        <v>0</v>
      </c>
      <c r="J819" s="1">
        <v>2</v>
      </c>
    </row>
    <row r="820" spans="1:10" x14ac:dyDescent="0.2">
      <c r="A820" s="1">
        <v>2442</v>
      </c>
      <c r="B820" s="1">
        <v>0</v>
      </c>
      <c r="C820" s="1">
        <v>9</v>
      </c>
      <c r="D820" s="1">
        <v>2</v>
      </c>
      <c r="E820" s="1">
        <v>3</v>
      </c>
      <c r="F820" s="1">
        <v>2</v>
      </c>
      <c r="G820" s="1">
        <v>7</v>
      </c>
      <c r="H820" s="1">
        <v>0</v>
      </c>
      <c r="I820" s="1">
        <v>0</v>
      </c>
      <c r="J820" s="1">
        <v>2</v>
      </c>
    </row>
    <row r="821" spans="1:10" x14ac:dyDescent="0.2">
      <c r="A821" s="1">
        <v>1467</v>
      </c>
      <c r="B821" s="1">
        <v>0</v>
      </c>
      <c r="C821" s="1">
        <v>10</v>
      </c>
      <c r="D821" s="1">
        <v>5</v>
      </c>
      <c r="E821" s="1">
        <v>3</v>
      </c>
      <c r="F821" s="1">
        <v>2</v>
      </c>
      <c r="G821" s="1">
        <v>7</v>
      </c>
      <c r="H821" s="1">
        <v>0</v>
      </c>
      <c r="I821" s="1">
        <v>1</v>
      </c>
      <c r="J821" s="1">
        <v>2</v>
      </c>
    </row>
    <row r="822" spans="1:10" x14ac:dyDescent="0.2">
      <c r="A822" s="1">
        <v>2365</v>
      </c>
      <c r="B822" s="1">
        <v>0</v>
      </c>
      <c r="C822" s="1">
        <v>12</v>
      </c>
      <c r="D822" s="1">
        <v>1</v>
      </c>
      <c r="E822" s="1">
        <v>3</v>
      </c>
      <c r="F822" s="1">
        <v>2</v>
      </c>
      <c r="G822" s="1">
        <v>7</v>
      </c>
      <c r="H822" s="1">
        <v>0</v>
      </c>
      <c r="I822" s="1">
        <v>0</v>
      </c>
      <c r="J822" s="1">
        <v>2</v>
      </c>
    </row>
    <row r="823" spans="1:10" x14ac:dyDescent="0.2">
      <c r="A823" s="1">
        <v>123</v>
      </c>
      <c r="B823" s="1">
        <v>0</v>
      </c>
      <c r="C823" s="1">
        <v>14</v>
      </c>
      <c r="D823" s="1">
        <v>1</v>
      </c>
      <c r="E823" s="1">
        <v>1</v>
      </c>
      <c r="F823" s="1">
        <v>3</v>
      </c>
      <c r="G823" s="1">
        <v>7</v>
      </c>
      <c r="H823" s="1">
        <v>1</v>
      </c>
      <c r="I823" s="1">
        <v>0</v>
      </c>
      <c r="J823" s="1">
        <v>2</v>
      </c>
    </row>
    <row r="824" spans="1:10" x14ac:dyDescent="0.2">
      <c r="A824" s="1">
        <v>2159</v>
      </c>
      <c r="B824" s="1">
        <v>0</v>
      </c>
      <c r="C824" s="1">
        <v>13</v>
      </c>
      <c r="D824" s="1">
        <v>3</v>
      </c>
      <c r="E824" s="1">
        <v>2</v>
      </c>
      <c r="F824" s="1">
        <v>3</v>
      </c>
      <c r="G824" s="1">
        <v>7</v>
      </c>
      <c r="H824" s="1">
        <v>0</v>
      </c>
      <c r="I824" s="1">
        <v>3</v>
      </c>
      <c r="J824" s="1">
        <v>2</v>
      </c>
    </row>
    <row r="825" spans="1:10" x14ac:dyDescent="0.2">
      <c r="A825" s="1">
        <v>516</v>
      </c>
      <c r="B825" s="1">
        <v>0</v>
      </c>
      <c r="C825" s="1">
        <v>18</v>
      </c>
      <c r="D825" s="1">
        <v>3</v>
      </c>
      <c r="E825" s="1">
        <v>2</v>
      </c>
      <c r="F825" s="1">
        <v>3</v>
      </c>
      <c r="G825" s="1">
        <v>7</v>
      </c>
      <c r="H825" s="1">
        <v>0</v>
      </c>
      <c r="I825" s="1">
        <v>3</v>
      </c>
      <c r="J825" s="1">
        <v>2</v>
      </c>
    </row>
    <row r="826" spans="1:10" x14ac:dyDescent="0.2">
      <c r="A826" s="1">
        <v>361</v>
      </c>
      <c r="B826" s="1">
        <v>0</v>
      </c>
      <c r="C826" s="1">
        <v>5</v>
      </c>
      <c r="D826" s="1">
        <v>5</v>
      </c>
      <c r="E826" s="1">
        <v>3</v>
      </c>
      <c r="F826" s="1">
        <v>3</v>
      </c>
      <c r="G826" s="1">
        <v>7</v>
      </c>
      <c r="H826" s="1">
        <v>1</v>
      </c>
      <c r="I826" s="1">
        <v>3</v>
      </c>
      <c r="J826" s="1">
        <v>2</v>
      </c>
    </row>
    <row r="827" spans="1:10" x14ac:dyDescent="0.2">
      <c r="A827" s="1">
        <v>2393</v>
      </c>
      <c r="B827" s="1">
        <v>0</v>
      </c>
      <c r="C827" s="1">
        <v>5</v>
      </c>
      <c r="D827" s="1">
        <v>3</v>
      </c>
      <c r="E827" s="1">
        <v>3</v>
      </c>
      <c r="F827" s="1">
        <v>3</v>
      </c>
      <c r="G827" s="1">
        <v>7</v>
      </c>
      <c r="H827" s="1">
        <v>1</v>
      </c>
      <c r="I827" s="1">
        <v>3</v>
      </c>
      <c r="J827" s="1">
        <v>2</v>
      </c>
    </row>
    <row r="828" spans="1:10" x14ac:dyDescent="0.2">
      <c r="A828" s="1">
        <v>562</v>
      </c>
      <c r="B828" s="1">
        <v>0</v>
      </c>
      <c r="C828" s="1">
        <v>16</v>
      </c>
      <c r="D828" s="1">
        <v>3</v>
      </c>
      <c r="E828" s="1">
        <v>3</v>
      </c>
      <c r="F828" s="1">
        <v>3</v>
      </c>
      <c r="G828" s="1">
        <v>7</v>
      </c>
      <c r="H828" s="1">
        <v>0</v>
      </c>
      <c r="I828" s="1">
        <v>1</v>
      </c>
      <c r="J828" s="1">
        <v>2</v>
      </c>
    </row>
    <row r="829" spans="1:10" x14ac:dyDescent="0.2">
      <c r="A829" s="1">
        <v>2138</v>
      </c>
      <c r="B829" s="1">
        <v>0</v>
      </c>
      <c r="C829" s="1">
        <v>7</v>
      </c>
      <c r="D829" s="1">
        <v>1</v>
      </c>
      <c r="E829" s="1">
        <v>1</v>
      </c>
      <c r="F829" s="1">
        <v>4</v>
      </c>
      <c r="G829" s="1">
        <v>7</v>
      </c>
      <c r="H829" s="1">
        <v>1</v>
      </c>
      <c r="I829" s="1">
        <v>3</v>
      </c>
      <c r="J829" s="1">
        <v>2</v>
      </c>
    </row>
    <row r="830" spans="1:10" x14ac:dyDescent="0.2">
      <c r="A830" s="1">
        <v>853</v>
      </c>
      <c r="B830" s="1">
        <v>0</v>
      </c>
      <c r="C830" s="1">
        <v>15</v>
      </c>
      <c r="D830" s="1">
        <v>2</v>
      </c>
      <c r="E830" s="1">
        <v>1</v>
      </c>
      <c r="F830" s="1">
        <v>4</v>
      </c>
      <c r="G830" s="1">
        <v>7</v>
      </c>
      <c r="H830" s="1">
        <v>1</v>
      </c>
      <c r="I830" s="1">
        <v>3</v>
      </c>
      <c r="J830" s="1">
        <v>2</v>
      </c>
    </row>
    <row r="831" spans="1:10" x14ac:dyDescent="0.2">
      <c r="A831" s="1">
        <v>2070</v>
      </c>
      <c r="B831" s="1">
        <v>0</v>
      </c>
      <c r="C831" s="1">
        <v>20</v>
      </c>
      <c r="D831" s="1">
        <v>5</v>
      </c>
      <c r="E831" s="1">
        <v>1</v>
      </c>
      <c r="F831" s="1">
        <v>4</v>
      </c>
      <c r="G831" s="1">
        <v>7</v>
      </c>
      <c r="H831" s="1">
        <v>1</v>
      </c>
      <c r="I831" s="1">
        <v>0</v>
      </c>
      <c r="J831" s="1">
        <v>2</v>
      </c>
    </row>
    <row r="832" spans="1:10" x14ac:dyDescent="0.2">
      <c r="A832" s="1">
        <v>2141</v>
      </c>
      <c r="B832" s="1">
        <v>0</v>
      </c>
      <c r="C832" s="1">
        <v>12</v>
      </c>
      <c r="D832" s="1">
        <v>2</v>
      </c>
      <c r="E832" s="1">
        <v>2</v>
      </c>
      <c r="F832" s="1">
        <v>4</v>
      </c>
      <c r="G832" s="1">
        <v>7</v>
      </c>
      <c r="H832" s="1">
        <v>1</v>
      </c>
      <c r="I832" s="1">
        <v>1</v>
      </c>
      <c r="J832" s="1">
        <v>2</v>
      </c>
    </row>
    <row r="833" spans="1:10" x14ac:dyDescent="0.2">
      <c r="A833" s="1">
        <v>1125</v>
      </c>
      <c r="B833" s="1">
        <v>0</v>
      </c>
      <c r="C833" s="1">
        <v>5</v>
      </c>
      <c r="D833" s="1">
        <v>5</v>
      </c>
      <c r="E833" s="1">
        <v>3</v>
      </c>
      <c r="F833" s="1">
        <v>4</v>
      </c>
      <c r="G833" s="1">
        <v>7</v>
      </c>
      <c r="H833" s="1">
        <v>0</v>
      </c>
      <c r="I833" s="1">
        <v>3</v>
      </c>
      <c r="J833" s="1">
        <v>2</v>
      </c>
    </row>
    <row r="834" spans="1:10" x14ac:dyDescent="0.2">
      <c r="A834" s="1">
        <v>995</v>
      </c>
      <c r="B834" s="1">
        <v>0</v>
      </c>
      <c r="C834" s="1">
        <v>10</v>
      </c>
      <c r="D834" s="1">
        <v>2</v>
      </c>
      <c r="E834" s="1">
        <v>3</v>
      </c>
      <c r="F834" s="1">
        <v>4</v>
      </c>
      <c r="G834" s="1">
        <v>7</v>
      </c>
      <c r="H834" s="1">
        <v>0</v>
      </c>
      <c r="I834" s="1">
        <v>3</v>
      </c>
      <c r="J834" s="1">
        <v>2</v>
      </c>
    </row>
    <row r="835" spans="1:10" x14ac:dyDescent="0.2">
      <c r="A835" s="1">
        <v>1309</v>
      </c>
      <c r="B835" s="1">
        <v>0</v>
      </c>
      <c r="C835" s="1">
        <v>17</v>
      </c>
      <c r="D835" s="1">
        <v>5</v>
      </c>
      <c r="E835" s="1">
        <v>1</v>
      </c>
      <c r="F835" s="1">
        <v>5</v>
      </c>
      <c r="G835" s="1">
        <v>7</v>
      </c>
      <c r="H835" s="1">
        <v>1</v>
      </c>
      <c r="I835" s="1">
        <v>1</v>
      </c>
      <c r="J835" s="1">
        <v>2</v>
      </c>
    </row>
    <row r="836" spans="1:10" x14ac:dyDescent="0.2">
      <c r="A836" s="1">
        <v>1848</v>
      </c>
      <c r="B836" s="1">
        <v>0</v>
      </c>
      <c r="C836" s="1">
        <v>15</v>
      </c>
      <c r="D836" s="1">
        <v>2</v>
      </c>
      <c r="E836" s="1">
        <v>2</v>
      </c>
      <c r="F836" s="1">
        <v>5</v>
      </c>
      <c r="G836" s="1">
        <v>7</v>
      </c>
      <c r="H836" s="1">
        <v>1</v>
      </c>
      <c r="I836" s="1">
        <v>1</v>
      </c>
      <c r="J836" s="1">
        <v>2</v>
      </c>
    </row>
    <row r="837" spans="1:10" x14ac:dyDescent="0.2">
      <c r="A837" s="1">
        <v>2037</v>
      </c>
      <c r="B837" s="1">
        <v>0</v>
      </c>
      <c r="C837" s="1">
        <v>15</v>
      </c>
      <c r="D837" s="1">
        <v>2</v>
      </c>
      <c r="E837" s="1">
        <v>2</v>
      </c>
      <c r="F837" s="1">
        <v>5</v>
      </c>
      <c r="G837" s="1">
        <v>7</v>
      </c>
      <c r="H837" s="1">
        <v>0</v>
      </c>
      <c r="I837" s="1">
        <v>3</v>
      </c>
      <c r="J837" s="1">
        <v>2</v>
      </c>
    </row>
    <row r="838" spans="1:10" x14ac:dyDescent="0.2">
      <c r="A838" s="1">
        <v>18</v>
      </c>
      <c r="B838" s="1">
        <v>0</v>
      </c>
      <c r="C838" s="1">
        <v>7</v>
      </c>
      <c r="D838" s="1">
        <v>1</v>
      </c>
      <c r="E838" s="1">
        <v>3</v>
      </c>
      <c r="F838" s="1">
        <v>5</v>
      </c>
      <c r="G838" s="1">
        <v>7</v>
      </c>
      <c r="H838" s="1">
        <v>1</v>
      </c>
      <c r="I838" s="1">
        <v>2</v>
      </c>
      <c r="J838" s="1">
        <v>2</v>
      </c>
    </row>
    <row r="839" spans="1:10" x14ac:dyDescent="0.2">
      <c r="A839" s="1">
        <v>603</v>
      </c>
      <c r="B839" s="1">
        <v>0</v>
      </c>
      <c r="C839" s="1">
        <v>9</v>
      </c>
      <c r="D839" s="1">
        <v>4</v>
      </c>
      <c r="E839" s="1">
        <v>3</v>
      </c>
      <c r="F839" s="1">
        <v>5</v>
      </c>
      <c r="G839" s="1">
        <v>7</v>
      </c>
      <c r="H839" s="1">
        <v>0</v>
      </c>
      <c r="I839" s="1">
        <v>2</v>
      </c>
      <c r="J839" s="1">
        <v>2</v>
      </c>
    </row>
    <row r="840" spans="1:10" x14ac:dyDescent="0.2">
      <c r="A840" s="1">
        <v>2081</v>
      </c>
      <c r="B840" s="1">
        <v>0</v>
      </c>
      <c r="C840" s="1">
        <v>5</v>
      </c>
      <c r="D840" s="1">
        <v>5</v>
      </c>
      <c r="E840" s="1">
        <v>1</v>
      </c>
      <c r="F840" s="1">
        <v>6</v>
      </c>
      <c r="G840" s="1">
        <v>7</v>
      </c>
      <c r="H840" s="1">
        <v>1</v>
      </c>
      <c r="I840" s="1">
        <v>0</v>
      </c>
      <c r="J840" s="1">
        <v>2</v>
      </c>
    </row>
    <row r="841" spans="1:10" x14ac:dyDescent="0.2">
      <c r="A841" s="1">
        <v>191</v>
      </c>
      <c r="B841" s="1">
        <v>0</v>
      </c>
      <c r="C841" s="1">
        <v>12</v>
      </c>
      <c r="D841" s="1">
        <v>2</v>
      </c>
      <c r="E841" s="1">
        <v>1</v>
      </c>
      <c r="F841" s="1">
        <v>6</v>
      </c>
      <c r="G841" s="1">
        <v>7</v>
      </c>
      <c r="H841" s="1">
        <v>1</v>
      </c>
      <c r="I841" s="1">
        <v>2</v>
      </c>
      <c r="J841" s="1">
        <v>2</v>
      </c>
    </row>
    <row r="842" spans="1:10" x14ac:dyDescent="0.2">
      <c r="A842" s="1">
        <v>5</v>
      </c>
      <c r="B842" s="1">
        <v>0</v>
      </c>
      <c r="C842" s="1">
        <v>13</v>
      </c>
      <c r="D842" s="1">
        <v>1</v>
      </c>
      <c r="E842" s="1">
        <v>2</v>
      </c>
      <c r="F842" s="1">
        <v>6</v>
      </c>
      <c r="G842" s="1">
        <v>7</v>
      </c>
      <c r="H842" s="1">
        <v>1</v>
      </c>
      <c r="I842" s="1">
        <v>1</v>
      </c>
      <c r="J842" s="1">
        <v>2</v>
      </c>
    </row>
    <row r="843" spans="1:10" x14ac:dyDescent="0.2">
      <c r="A843" s="1">
        <v>1831</v>
      </c>
      <c r="B843" s="1">
        <v>0</v>
      </c>
      <c r="C843" s="1">
        <v>14</v>
      </c>
      <c r="D843" s="1">
        <v>3</v>
      </c>
      <c r="E843" s="1">
        <v>2</v>
      </c>
      <c r="F843" s="1">
        <v>6</v>
      </c>
      <c r="G843" s="1">
        <v>7</v>
      </c>
      <c r="H843" s="1">
        <v>0</v>
      </c>
      <c r="I843" s="1">
        <v>1</v>
      </c>
      <c r="J843" s="1">
        <v>2</v>
      </c>
    </row>
    <row r="844" spans="1:10" x14ac:dyDescent="0.2">
      <c r="A844" s="1">
        <v>2410</v>
      </c>
      <c r="B844" s="1">
        <v>0</v>
      </c>
      <c r="C844" s="1">
        <v>15</v>
      </c>
      <c r="D844" s="1">
        <v>3</v>
      </c>
      <c r="E844" s="1">
        <v>2</v>
      </c>
      <c r="F844" s="1">
        <v>6</v>
      </c>
      <c r="G844" s="1">
        <v>7</v>
      </c>
      <c r="H844" s="1">
        <v>0</v>
      </c>
      <c r="I844" s="1">
        <v>2</v>
      </c>
      <c r="J844" s="1">
        <v>2</v>
      </c>
    </row>
    <row r="845" spans="1:10" x14ac:dyDescent="0.2">
      <c r="A845" s="1">
        <v>269</v>
      </c>
      <c r="B845" s="1">
        <v>0</v>
      </c>
      <c r="C845" s="1">
        <v>11</v>
      </c>
      <c r="D845" s="1">
        <v>3</v>
      </c>
      <c r="E845" s="1">
        <v>3</v>
      </c>
      <c r="F845" s="1">
        <v>6</v>
      </c>
      <c r="G845" s="1">
        <v>7</v>
      </c>
      <c r="H845" s="1">
        <v>0</v>
      </c>
      <c r="I845" s="1">
        <v>0</v>
      </c>
      <c r="J845" s="1">
        <v>2</v>
      </c>
    </row>
    <row r="846" spans="1:10" x14ac:dyDescent="0.2">
      <c r="A846" s="1">
        <v>513</v>
      </c>
      <c r="B846" s="1">
        <v>0</v>
      </c>
      <c r="C846" s="1">
        <v>7</v>
      </c>
      <c r="D846" s="1">
        <v>4</v>
      </c>
      <c r="E846" s="1">
        <v>1</v>
      </c>
      <c r="F846" s="1">
        <v>7</v>
      </c>
      <c r="G846" s="1">
        <v>7</v>
      </c>
      <c r="H846" s="1">
        <v>0</v>
      </c>
      <c r="I846" s="1">
        <v>0</v>
      </c>
      <c r="J846" s="1">
        <v>2</v>
      </c>
    </row>
    <row r="847" spans="1:10" x14ac:dyDescent="0.2">
      <c r="A847" s="1">
        <v>1985</v>
      </c>
      <c r="B847" s="1">
        <v>0</v>
      </c>
      <c r="C847" s="1">
        <v>18</v>
      </c>
      <c r="D847" s="1">
        <v>5</v>
      </c>
      <c r="E847" s="1">
        <v>1</v>
      </c>
      <c r="F847" s="1">
        <v>7</v>
      </c>
      <c r="G847" s="1">
        <v>7</v>
      </c>
      <c r="H847" s="1">
        <v>0</v>
      </c>
      <c r="I847" s="1">
        <v>3</v>
      </c>
      <c r="J847" s="1">
        <v>2</v>
      </c>
    </row>
    <row r="848" spans="1:10" x14ac:dyDescent="0.2">
      <c r="A848" s="1">
        <v>403</v>
      </c>
      <c r="B848" s="1">
        <v>0</v>
      </c>
      <c r="C848" s="1">
        <v>15</v>
      </c>
      <c r="D848" s="1">
        <v>5</v>
      </c>
      <c r="E848" s="1">
        <v>3</v>
      </c>
      <c r="F848" s="1">
        <v>7</v>
      </c>
      <c r="G848" s="1">
        <v>7</v>
      </c>
      <c r="H848" s="1">
        <v>1</v>
      </c>
      <c r="I848" s="1">
        <v>1</v>
      </c>
      <c r="J848" s="1">
        <v>2</v>
      </c>
    </row>
    <row r="849" spans="1:10" x14ac:dyDescent="0.2">
      <c r="A849" s="1">
        <v>200</v>
      </c>
      <c r="B849" s="1">
        <v>0</v>
      </c>
      <c r="C849" s="1">
        <v>18</v>
      </c>
      <c r="D849" s="1">
        <v>2</v>
      </c>
      <c r="E849" s="1">
        <v>3</v>
      </c>
      <c r="F849" s="1">
        <v>7</v>
      </c>
      <c r="G849" s="1">
        <v>7</v>
      </c>
      <c r="H849" s="1">
        <v>0</v>
      </c>
      <c r="I849" s="1">
        <v>3</v>
      </c>
      <c r="J849" s="1">
        <v>2</v>
      </c>
    </row>
    <row r="850" spans="1:10" x14ac:dyDescent="0.2">
      <c r="A850" s="1">
        <v>1850</v>
      </c>
      <c r="B850" s="1">
        <v>0</v>
      </c>
      <c r="C850" s="1">
        <v>12</v>
      </c>
      <c r="D850" s="1">
        <v>2</v>
      </c>
      <c r="E850" s="1">
        <v>2</v>
      </c>
      <c r="F850" s="1">
        <v>8</v>
      </c>
      <c r="G850" s="1">
        <v>7</v>
      </c>
      <c r="H850" s="1">
        <v>1</v>
      </c>
      <c r="I850" s="1">
        <v>2</v>
      </c>
      <c r="J850" s="1">
        <v>2</v>
      </c>
    </row>
    <row r="851" spans="1:10" x14ac:dyDescent="0.2">
      <c r="A851" s="1">
        <v>1023</v>
      </c>
      <c r="B851" s="1">
        <v>0</v>
      </c>
      <c r="C851" s="1">
        <v>5</v>
      </c>
      <c r="D851" s="1">
        <v>1</v>
      </c>
      <c r="E851" s="1">
        <v>3</v>
      </c>
      <c r="F851" s="1">
        <v>8</v>
      </c>
      <c r="G851" s="1">
        <v>7</v>
      </c>
      <c r="H851" s="1">
        <v>0</v>
      </c>
      <c r="I851" s="1">
        <v>3</v>
      </c>
      <c r="J851" s="1">
        <v>2</v>
      </c>
    </row>
    <row r="852" spans="1:10" x14ac:dyDescent="0.2">
      <c r="A852" s="1">
        <v>471</v>
      </c>
      <c r="B852" s="1">
        <v>0</v>
      </c>
      <c r="C852" s="1">
        <v>6</v>
      </c>
      <c r="D852" s="1">
        <v>4</v>
      </c>
      <c r="E852" s="1">
        <v>2</v>
      </c>
      <c r="F852" s="1">
        <v>9</v>
      </c>
      <c r="G852" s="1">
        <v>7</v>
      </c>
      <c r="H852" s="1">
        <v>0</v>
      </c>
      <c r="I852" s="1">
        <v>1</v>
      </c>
      <c r="J852" s="1">
        <v>2</v>
      </c>
    </row>
    <row r="853" spans="1:10" x14ac:dyDescent="0.2">
      <c r="A853" s="1">
        <v>862</v>
      </c>
      <c r="B853" s="1">
        <v>0</v>
      </c>
      <c r="C853" s="1">
        <v>13</v>
      </c>
      <c r="D853" s="1">
        <v>3</v>
      </c>
      <c r="E853" s="1">
        <v>2</v>
      </c>
      <c r="F853" s="1">
        <v>9</v>
      </c>
      <c r="G853" s="1">
        <v>7</v>
      </c>
      <c r="H853" s="1">
        <v>1</v>
      </c>
      <c r="I853" s="1">
        <v>3</v>
      </c>
      <c r="J853" s="1">
        <v>2</v>
      </c>
    </row>
    <row r="854" spans="1:10" x14ac:dyDescent="0.2">
      <c r="A854" s="1">
        <v>316</v>
      </c>
      <c r="B854" s="1">
        <v>0</v>
      </c>
      <c r="C854" s="1">
        <v>19</v>
      </c>
      <c r="D854" s="1">
        <v>5</v>
      </c>
      <c r="E854" s="1">
        <v>2</v>
      </c>
      <c r="F854" s="1">
        <v>9</v>
      </c>
      <c r="G854" s="1">
        <v>7</v>
      </c>
      <c r="H854" s="1">
        <v>1</v>
      </c>
      <c r="I854" s="1">
        <v>3</v>
      </c>
      <c r="J854" s="1">
        <v>2</v>
      </c>
    </row>
    <row r="855" spans="1:10" x14ac:dyDescent="0.2">
      <c r="A855" s="1">
        <v>1330</v>
      </c>
      <c r="B855" s="1">
        <v>0</v>
      </c>
      <c r="C855" s="1">
        <v>20</v>
      </c>
      <c r="D855" s="1">
        <v>3</v>
      </c>
      <c r="E855" s="1">
        <v>2</v>
      </c>
      <c r="F855" s="1">
        <v>9</v>
      </c>
      <c r="G855" s="1">
        <v>7</v>
      </c>
      <c r="H855" s="1">
        <v>1</v>
      </c>
      <c r="I855" s="1">
        <v>2</v>
      </c>
      <c r="J855" s="1">
        <v>2</v>
      </c>
    </row>
    <row r="856" spans="1:10" x14ac:dyDescent="0.2">
      <c r="A856" s="1">
        <v>878</v>
      </c>
      <c r="B856" s="1">
        <v>0</v>
      </c>
      <c r="C856" s="1">
        <v>7</v>
      </c>
      <c r="D856" s="1">
        <v>4</v>
      </c>
      <c r="E856" s="1">
        <v>3</v>
      </c>
      <c r="F856" s="1">
        <v>9</v>
      </c>
      <c r="G856" s="1">
        <v>7</v>
      </c>
      <c r="H856" s="1">
        <v>0</v>
      </c>
      <c r="I856" s="1">
        <v>0</v>
      </c>
      <c r="J856" s="1">
        <v>2</v>
      </c>
    </row>
    <row r="857" spans="1:10" x14ac:dyDescent="0.2">
      <c r="A857" s="1">
        <v>1759</v>
      </c>
      <c r="B857" s="1">
        <v>0</v>
      </c>
      <c r="C857" s="1">
        <v>10</v>
      </c>
      <c r="D857" s="1">
        <v>4</v>
      </c>
      <c r="E857" s="1">
        <v>3</v>
      </c>
      <c r="F857" s="1">
        <v>9</v>
      </c>
      <c r="G857" s="1">
        <v>7</v>
      </c>
      <c r="H857" s="1">
        <v>0</v>
      </c>
      <c r="I857" s="1">
        <v>3</v>
      </c>
      <c r="J857" s="1">
        <v>2</v>
      </c>
    </row>
    <row r="858" spans="1:10" x14ac:dyDescent="0.2">
      <c r="A858" s="1">
        <v>1368</v>
      </c>
      <c r="B858" s="1">
        <v>0</v>
      </c>
      <c r="C858" s="1">
        <v>8</v>
      </c>
      <c r="D858" s="1">
        <v>1</v>
      </c>
      <c r="E858" s="1">
        <v>2</v>
      </c>
      <c r="F858" s="1">
        <v>10</v>
      </c>
      <c r="G858" s="1">
        <v>7</v>
      </c>
      <c r="H858" s="1">
        <v>1</v>
      </c>
      <c r="I858" s="1">
        <v>0</v>
      </c>
      <c r="J858" s="1">
        <v>2</v>
      </c>
    </row>
    <row r="859" spans="1:10" x14ac:dyDescent="0.2">
      <c r="A859" s="1">
        <v>1870</v>
      </c>
      <c r="B859" s="1">
        <v>0</v>
      </c>
      <c r="C859" s="1">
        <v>8</v>
      </c>
      <c r="D859" s="1">
        <v>4</v>
      </c>
      <c r="E859" s="1">
        <v>3</v>
      </c>
      <c r="F859" s="1">
        <v>10</v>
      </c>
      <c r="G859" s="1">
        <v>7</v>
      </c>
      <c r="H859" s="1">
        <v>1</v>
      </c>
      <c r="I859" s="1">
        <v>0</v>
      </c>
      <c r="J859" s="1">
        <v>2</v>
      </c>
    </row>
    <row r="860" spans="1:10" x14ac:dyDescent="0.2">
      <c r="A860" s="1">
        <v>379</v>
      </c>
      <c r="B860" s="1">
        <v>0</v>
      </c>
      <c r="C860" s="1">
        <v>6</v>
      </c>
      <c r="D860" s="1">
        <v>5</v>
      </c>
      <c r="E860" s="1">
        <v>3</v>
      </c>
      <c r="F860" s="1">
        <v>1</v>
      </c>
      <c r="G860" s="1">
        <v>8</v>
      </c>
      <c r="H860" s="1">
        <v>0</v>
      </c>
      <c r="I860" s="1">
        <v>0</v>
      </c>
      <c r="J860" s="1">
        <v>2</v>
      </c>
    </row>
    <row r="861" spans="1:10" x14ac:dyDescent="0.2">
      <c r="A861" s="1">
        <v>1397</v>
      </c>
      <c r="B861" s="1">
        <v>0</v>
      </c>
      <c r="C861" s="1">
        <v>17</v>
      </c>
      <c r="D861" s="1">
        <v>2</v>
      </c>
      <c r="E861" s="1">
        <v>1</v>
      </c>
      <c r="F861" s="1">
        <v>2</v>
      </c>
      <c r="G861" s="1">
        <v>8</v>
      </c>
      <c r="H861" s="1">
        <v>0</v>
      </c>
      <c r="I861" s="1">
        <v>3</v>
      </c>
      <c r="J861" s="1">
        <v>2</v>
      </c>
    </row>
    <row r="862" spans="1:10" x14ac:dyDescent="0.2">
      <c r="A862" s="1">
        <v>1761</v>
      </c>
      <c r="B862" s="1">
        <v>0</v>
      </c>
      <c r="C862" s="1">
        <v>20</v>
      </c>
      <c r="D862" s="1">
        <v>5</v>
      </c>
      <c r="E862" s="1">
        <v>1</v>
      </c>
      <c r="F862" s="1">
        <v>2</v>
      </c>
      <c r="G862" s="1">
        <v>8</v>
      </c>
      <c r="H862" s="1">
        <v>1</v>
      </c>
      <c r="I862" s="1">
        <v>1</v>
      </c>
      <c r="J862" s="1">
        <v>2</v>
      </c>
    </row>
    <row r="863" spans="1:10" x14ac:dyDescent="0.2">
      <c r="A863" s="1">
        <v>1970</v>
      </c>
      <c r="B863" s="1">
        <v>0</v>
      </c>
      <c r="C863" s="1">
        <v>14</v>
      </c>
      <c r="D863" s="1">
        <v>2</v>
      </c>
      <c r="E863" s="1">
        <v>3</v>
      </c>
      <c r="F863" s="1">
        <v>2</v>
      </c>
      <c r="G863" s="1">
        <v>8</v>
      </c>
      <c r="H863" s="1">
        <v>1</v>
      </c>
      <c r="I863" s="1">
        <v>3</v>
      </c>
      <c r="J863" s="1">
        <v>2</v>
      </c>
    </row>
    <row r="864" spans="1:10" x14ac:dyDescent="0.2">
      <c r="A864" s="1">
        <v>630</v>
      </c>
      <c r="B864" s="1">
        <v>0</v>
      </c>
      <c r="C864" s="1">
        <v>16</v>
      </c>
      <c r="D864" s="1">
        <v>3</v>
      </c>
      <c r="E864" s="1">
        <v>3</v>
      </c>
      <c r="F864" s="1">
        <v>2</v>
      </c>
      <c r="G864" s="1">
        <v>8</v>
      </c>
      <c r="H864" s="1">
        <v>0</v>
      </c>
      <c r="I864" s="1">
        <v>0</v>
      </c>
      <c r="J864" s="1">
        <v>2</v>
      </c>
    </row>
    <row r="865" spans="1:10" x14ac:dyDescent="0.2">
      <c r="A865" s="1">
        <v>524</v>
      </c>
      <c r="B865" s="1">
        <v>0</v>
      </c>
      <c r="C865" s="1">
        <v>6</v>
      </c>
      <c r="D865" s="1">
        <v>4</v>
      </c>
      <c r="E865" s="1">
        <v>1</v>
      </c>
      <c r="F865" s="1">
        <v>3</v>
      </c>
      <c r="G865" s="1">
        <v>8</v>
      </c>
      <c r="H865" s="1">
        <v>1</v>
      </c>
      <c r="I865" s="1">
        <v>1</v>
      </c>
      <c r="J865" s="1">
        <v>2</v>
      </c>
    </row>
    <row r="866" spans="1:10" x14ac:dyDescent="0.2">
      <c r="A866" s="1">
        <v>1166</v>
      </c>
      <c r="B866" s="1">
        <v>0</v>
      </c>
      <c r="C866" s="1">
        <v>9</v>
      </c>
      <c r="D866" s="1">
        <v>5</v>
      </c>
      <c r="E866" s="1">
        <v>1</v>
      </c>
      <c r="F866" s="1">
        <v>3</v>
      </c>
      <c r="G866" s="1">
        <v>8</v>
      </c>
      <c r="H866" s="1">
        <v>1</v>
      </c>
      <c r="I866" s="1">
        <v>2</v>
      </c>
      <c r="J866" s="1">
        <v>2</v>
      </c>
    </row>
    <row r="867" spans="1:10" x14ac:dyDescent="0.2">
      <c r="A867" s="1">
        <v>613</v>
      </c>
      <c r="B867" s="1">
        <v>0</v>
      </c>
      <c r="C867" s="1">
        <v>14</v>
      </c>
      <c r="D867" s="1">
        <v>5</v>
      </c>
      <c r="E867" s="1">
        <v>3</v>
      </c>
      <c r="F867" s="1">
        <v>3</v>
      </c>
      <c r="G867" s="1">
        <v>8</v>
      </c>
      <c r="H867" s="1">
        <v>1</v>
      </c>
      <c r="I867" s="1">
        <v>0</v>
      </c>
      <c r="J867" s="1">
        <v>2</v>
      </c>
    </row>
    <row r="868" spans="1:10" x14ac:dyDescent="0.2">
      <c r="A868" s="1">
        <v>2065</v>
      </c>
      <c r="B868" s="1">
        <v>0</v>
      </c>
      <c r="C868" s="1">
        <v>14</v>
      </c>
      <c r="D868" s="1">
        <v>1</v>
      </c>
      <c r="E868" s="1">
        <v>3</v>
      </c>
      <c r="F868" s="1">
        <v>3</v>
      </c>
      <c r="G868" s="1">
        <v>8</v>
      </c>
      <c r="H868" s="1">
        <v>0</v>
      </c>
      <c r="I868" s="1">
        <v>3</v>
      </c>
      <c r="J868" s="1">
        <v>2</v>
      </c>
    </row>
    <row r="869" spans="1:10" x14ac:dyDescent="0.2">
      <c r="A869" s="1">
        <v>1072</v>
      </c>
      <c r="B869" s="1">
        <v>0</v>
      </c>
      <c r="C869" s="1">
        <v>20</v>
      </c>
      <c r="D869" s="1">
        <v>4</v>
      </c>
      <c r="E869" s="1">
        <v>3</v>
      </c>
      <c r="F869" s="1">
        <v>3</v>
      </c>
      <c r="G869" s="1">
        <v>8</v>
      </c>
      <c r="H869" s="1">
        <v>1</v>
      </c>
      <c r="I869" s="1">
        <v>2</v>
      </c>
      <c r="J869" s="1">
        <v>2</v>
      </c>
    </row>
    <row r="870" spans="1:10" x14ac:dyDescent="0.2">
      <c r="A870" s="1">
        <v>357</v>
      </c>
      <c r="B870" s="1">
        <v>0</v>
      </c>
      <c r="C870" s="1">
        <v>15</v>
      </c>
      <c r="D870" s="1">
        <v>2</v>
      </c>
      <c r="E870" s="1">
        <v>3</v>
      </c>
      <c r="F870" s="1">
        <v>4</v>
      </c>
      <c r="G870" s="1">
        <v>8</v>
      </c>
      <c r="H870" s="1">
        <v>0</v>
      </c>
      <c r="I870" s="1">
        <v>1</v>
      </c>
      <c r="J870" s="1">
        <v>2</v>
      </c>
    </row>
    <row r="871" spans="1:10" x14ac:dyDescent="0.2">
      <c r="A871" s="1">
        <v>2301</v>
      </c>
      <c r="B871" s="1">
        <v>0</v>
      </c>
      <c r="C871" s="1">
        <v>7</v>
      </c>
      <c r="D871" s="1">
        <v>1</v>
      </c>
      <c r="E871" s="1">
        <v>2</v>
      </c>
      <c r="F871" s="1">
        <v>5</v>
      </c>
      <c r="G871" s="1">
        <v>8</v>
      </c>
      <c r="H871" s="1">
        <v>0</v>
      </c>
      <c r="I871" s="1">
        <v>0</v>
      </c>
      <c r="J871" s="1">
        <v>2</v>
      </c>
    </row>
    <row r="872" spans="1:10" x14ac:dyDescent="0.2">
      <c r="A872" s="1">
        <v>2198</v>
      </c>
      <c r="B872" s="1">
        <v>0</v>
      </c>
      <c r="C872" s="1">
        <v>7</v>
      </c>
      <c r="D872" s="1">
        <v>3</v>
      </c>
      <c r="E872" s="1">
        <v>3</v>
      </c>
      <c r="F872" s="1">
        <v>5</v>
      </c>
      <c r="G872" s="1">
        <v>8</v>
      </c>
      <c r="H872" s="1">
        <v>1</v>
      </c>
      <c r="I872" s="1">
        <v>3</v>
      </c>
      <c r="J872" s="1">
        <v>2</v>
      </c>
    </row>
    <row r="873" spans="1:10" x14ac:dyDescent="0.2">
      <c r="A873" s="1">
        <v>1147</v>
      </c>
      <c r="B873" s="1">
        <v>0</v>
      </c>
      <c r="C873" s="1">
        <v>11</v>
      </c>
      <c r="D873" s="1">
        <v>2</v>
      </c>
      <c r="E873" s="1">
        <v>3</v>
      </c>
      <c r="F873" s="1">
        <v>5</v>
      </c>
      <c r="G873" s="1">
        <v>8</v>
      </c>
      <c r="H873" s="1">
        <v>0</v>
      </c>
      <c r="I873" s="1">
        <v>1</v>
      </c>
      <c r="J873" s="1">
        <v>2</v>
      </c>
    </row>
    <row r="874" spans="1:10" x14ac:dyDescent="0.2">
      <c r="A874" s="1">
        <v>1337</v>
      </c>
      <c r="B874" s="1">
        <v>0</v>
      </c>
      <c r="C874" s="1">
        <v>14</v>
      </c>
      <c r="D874" s="1">
        <v>5</v>
      </c>
      <c r="E874" s="1">
        <v>3</v>
      </c>
      <c r="F874" s="1">
        <v>5</v>
      </c>
      <c r="G874" s="1">
        <v>8</v>
      </c>
      <c r="H874" s="1">
        <v>0</v>
      </c>
      <c r="I874" s="1">
        <v>0</v>
      </c>
      <c r="J874" s="1">
        <v>2</v>
      </c>
    </row>
    <row r="875" spans="1:10" x14ac:dyDescent="0.2">
      <c r="A875" s="1">
        <v>2408</v>
      </c>
      <c r="B875" s="1">
        <v>0</v>
      </c>
      <c r="C875" s="1">
        <v>5</v>
      </c>
      <c r="D875" s="1">
        <v>2</v>
      </c>
      <c r="E875" s="1">
        <v>1</v>
      </c>
      <c r="F875" s="1">
        <v>6</v>
      </c>
      <c r="G875" s="1">
        <v>8</v>
      </c>
      <c r="H875" s="1">
        <v>1</v>
      </c>
      <c r="I875" s="1">
        <v>2</v>
      </c>
      <c r="J875" s="1">
        <v>2</v>
      </c>
    </row>
    <row r="876" spans="1:10" x14ac:dyDescent="0.2">
      <c r="A876" s="1">
        <v>2469</v>
      </c>
      <c r="B876" s="1">
        <v>0</v>
      </c>
      <c r="C876" s="1">
        <v>5</v>
      </c>
      <c r="D876" s="1">
        <v>4</v>
      </c>
      <c r="E876" s="1">
        <v>1</v>
      </c>
      <c r="F876" s="1">
        <v>6</v>
      </c>
      <c r="G876" s="1">
        <v>8</v>
      </c>
      <c r="H876" s="1">
        <v>1</v>
      </c>
      <c r="I876" s="1">
        <v>3</v>
      </c>
      <c r="J876" s="1">
        <v>2</v>
      </c>
    </row>
    <row r="877" spans="1:10" x14ac:dyDescent="0.2">
      <c r="A877" s="1">
        <v>742</v>
      </c>
      <c r="B877" s="1">
        <v>0</v>
      </c>
      <c r="C877" s="1">
        <v>7</v>
      </c>
      <c r="D877" s="1">
        <v>4</v>
      </c>
      <c r="E877" s="1">
        <v>1</v>
      </c>
      <c r="F877" s="1">
        <v>6</v>
      </c>
      <c r="G877" s="1">
        <v>8</v>
      </c>
      <c r="H877" s="1">
        <v>0</v>
      </c>
      <c r="I877" s="1">
        <v>0</v>
      </c>
      <c r="J877" s="1">
        <v>2</v>
      </c>
    </row>
    <row r="878" spans="1:10" x14ac:dyDescent="0.2">
      <c r="A878" s="1">
        <v>2488</v>
      </c>
      <c r="B878" s="1">
        <v>0</v>
      </c>
      <c r="C878" s="1">
        <v>19</v>
      </c>
      <c r="D878" s="1">
        <v>2</v>
      </c>
      <c r="E878" s="1">
        <v>2</v>
      </c>
      <c r="F878" s="1">
        <v>6</v>
      </c>
      <c r="G878" s="1">
        <v>8</v>
      </c>
      <c r="H878" s="1">
        <v>0</v>
      </c>
      <c r="I878" s="1">
        <v>0</v>
      </c>
      <c r="J878" s="1">
        <v>2</v>
      </c>
    </row>
    <row r="879" spans="1:10" x14ac:dyDescent="0.2">
      <c r="A879" s="1">
        <v>37</v>
      </c>
      <c r="B879" s="1">
        <v>0</v>
      </c>
      <c r="C879" s="1">
        <v>13</v>
      </c>
      <c r="D879" s="1">
        <v>4</v>
      </c>
      <c r="E879" s="1">
        <v>3</v>
      </c>
      <c r="F879" s="1">
        <v>6</v>
      </c>
      <c r="G879" s="1">
        <v>8</v>
      </c>
      <c r="H879" s="1">
        <v>1</v>
      </c>
      <c r="I879" s="1">
        <v>2</v>
      </c>
      <c r="J879" s="1">
        <v>2</v>
      </c>
    </row>
    <row r="880" spans="1:10" x14ac:dyDescent="0.2">
      <c r="A880" s="1">
        <v>493</v>
      </c>
      <c r="B880" s="1">
        <v>0</v>
      </c>
      <c r="C880" s="1">
        <v>18</v>
      </c>
      <c r="D880" s="1">
        <v>3</v>
      </c>
      <c r="E880" s="1">
        <v>3</v>
      </c>
      <c r="F880" s="1">
        <v>6</v>
      </c>
      <c r="G880" s="1">
        <v>8</v>
      </c>
      <c r="H880" s="1">
        <v>1</v>
      </c>
      <c r="I880" s="1">
        <v>0</v>
      </c>
      <c r="J880" s="1">
        <v>2</v>
      </c>
    </row>
    <row r="881" spans="1:10" x14ac:dyDescent="0.2">
      <c r="A881" s="1">
        <v>1860</v>
      </c>
      <c r="B881" s="1">
        <v>0</v>
      </c>
      <c r="C881" s="1">
        <v>8</v>
      </c>
      <c r="D881" s="1">
        <v>2</v>
      </c>
      <c r="E881" s="1">
        <v>1</v>
      </c>
      <c r="F881" s="1">
        <v>7</v>
      </c>
      <c r="G881" s="1">
        <v>8</v>
      </c>
      <c r="H881" s="1">
        <v>0</v>
      </c>
      <c r="I881" s="1">
        <v>2</v>
      </c>
      <c r="J881" s="1">
        <v>2</v>
      </c>
    </row>
    <row r="882" spans="1:10" x14ac:dyDescent="0.2">
      <c r="A882" s="1">
        <v>468</v>
      </c>
      <c r="B882" s="1">
        <v>0</v>
      </c>
      <c r="C882" s="1">
        <v>5</v>
      </c>
      <c r="D882" s="1">
        <v>1</v>
      </c>
      <c r="E882" s="1">
        <v>2</v>
      </c>
      <c r="F882" s="1">
        <v>7</v>
      </c>
      <c r="G882" s="1">
        <v>8</v>
      </c>
      <c r="H882" s="1">
        <v>1</v>
      </c>
      <c r="I882" s="1">
        <v>0</v>
      </c>
      <c r="J882" s="1">
        <v>2</v>
      </c>
    </row>
    <row r="883" spans="1:10" x14ac:dyDescent="0.2">
      <c r="A883" s="1">
        <v>790</v>
      </c>
      <c r="B883" s="1">
        <v>0</v>
      </c>
      <c r="C883" s="1">
        <v>7</v>
      </c>
      <c r="D883" s="1">
        <v>1</v>
      </c>
      <c r="E883" s="1">
        <v>2</v>
      </c>
      <c r="F883" s="1">
        <v>7</v>
      </c>
      <c r="G883" s="1">
        <v>8</v>
      </c>
      <c r="H883" s="1">
        <v>1</v>
      </c>
      <c r="I883" s="1">
        <v>1</v>
      </c>
      <c r="J883" s="1">
        <v>2</v>
      </c>
    </row>
    <row r="884" spans="1:10" x14ac:dyDescent="0.2">
      <c r="A884" s="1">
        <v>2409</v>
      </c>
      <c r="B884" s="1">
        <v>0</v>
      </c>
      <c r="C884" s="1">
        <v>11</v>
      </c>
      <c r="D884" s="1">
        <v>3</v>
      </c>
      <c r="E884" s="1">
        <v>3</v>
      </c>
      <c r="F884" s="1">
        <v>7</v>
      </c>
      <c r="G884" s="1">
        <v>8</v>
      </c>
      <c r="H884" s="1">
        <v>1</v>
      </c>
      <c r="I884" s="1">
        <v>1</v>
      </c>
      <c r="J884" s="1">
        <v>2</v>
      </c>
    </row>
    <row r="885" spans="1:10" x14ac:dyDescent="0.2">
      <c r="A885" s="1">
        <v>407</v>
      </c>
      <c r="B885" s="1">
        <v>0</v>
      </c>
      <c r="C885" s="1">
        <v>14</v>
      </c>
      <c r="D885" s="1">
        <v>4</v>
      </c>
      <c r="E885" s="1">
        <v>3</v>
      </c>
      <c r="F885" s="1">
        <v>7</v>
      </c>
      <c r="G885" s="1">
        <v>8</v>
      </c>
      <c r="H885" s="1">
        <v>1</v>
      </c>
      <c r="I885" s="1">
        <v>0</v>
      </c>
      <c r="J885" s="1">
        <v>2</v>
      </c>
    </row>
    <row r="886" spans="1:10" x14ac:dyDescent="0.2">
      <c r="A886" s="1">
        <v>827</v>
      </c>
      <c r="B886" s="1">
        <v>0</v>
      </c>
      <c r="C886" s="1">
        <v>18</v>
      </c>
      <c r="D886" s="1">
        <v>4</v>
      </c>
      <c r="E886" s="1">
        <v>3</v>
      </c>
      <c r="F886" s="1">
        <v>7</v>
      </c>
      <c r="G886" s="1">
        <v>8</v>
      </c>
      <c r="H886" s="1">
        <v>0</v>
      </c>
      <c r="I886" s="1">
        <v>2</v>
      </c>
      <c r="J886" s="1">
        <v>2</v>
      </c>
    </row>
    <row r="887" spans="1:10" x14ac:dyDescent="0.2">
      <c r="A887" s="1">
        <v>2347</v>
      </c>
      <c r="B887" s="1">
        <v>0</v>
      </c>
      <c r="C887" s="1">
        <v>7</v>
      </c>
      <c r="D887" s="1">
        <v>3</v>
      </c>
      <c r="E887" s="1">
        <v>2</v>
      </c>
      <c r="F887" s="1">
        <v>8</v>
      </c>
      <c r="G887" s="1">
        <v>8</v>
      </c>
      <c r="H887" s="1">
        <v>0</v>
      </c>
      <c r="I887" s="1">
        <v>1</v>
      </c>
      <c r="J887" s="1">
        <v>2</v>
      </c>
    </row>
    <row r="888" spans="1:10" x14ac:dyDescent="0.2">
      <c r="A888" s="1">
        <v>930</v>
      </c>
      <c r="B888" s="1">
        <v>0</v>
      </c>
      <c r="C888" s="1">
        <v>12</v>
      </c>
      <c r="D888" s="1">
        <v>5</v>
      </c>
      <c r="E888" s="1">
        <v>2</v>
      </c>
      <c r="F888" s="1">
        <v>8</v>
      </c>
      <c r="G888" s="1">
        <v>8</v>
      </c>
      <c r="H888" s="1">
        <v>0</v>
      </c>
      <c r="I888" s="1">
        <v>1</v>
      </c>
      <c r="J888" s="1">
        <v>2</v>
      </c>
    </row>
    <row r="889" spans="1:10" x14ac:dyDescent="0.2">
      <c r="A889" s="1">
        <v>1527</v>
      </c>
      <c r="B889" s="1">
        <v>0</v>
      </c>
      <c r="C889" s="1">
        <v>13</v>
      </c>
      <c r="D889" s="1">
        <v>5</v>
      </c>
      <c r="E889" s="1">
        <v>2</v>
      </c>
      <c r="F889" s="1">
        <v>8</v>
      </c>
      <c r="G889" s="1">
        <v>8</v>
      </c>
      <c r="H889" s="1">
        <v>1</v>
      </c>
      <c r="I889" s="1">
        <v>2</v>
      </c>
      <c r="J889" s="1">
        <v>2</v>
      </c>
    </row>
    <row r="890" spans="1:10" x14ac:dyDescent="0.2">
      <c r="A890" s="1">
        <v>892</v>
      </c>
      <c r="B890" s="1">
        <v>0</v>
      </c>
      <c r="C890" s="1">
        <v>15</v>
      </c>
      <c r="D890" s="1">
        <v>5</v>
      </c>
      <c r="E890" s="1">
        <v>2</v>
      </c>
      <c r="F890" s="1">
        <v>9</v>
      </c>
      <c r="G890" s="1">
        <v>8</v>
      </c>
      <c r="H890" s="1">
        <v>0</v>
      </c>
      <c r="I890" s="1">
        <v>3</v>
      </c>
      <c r="J890" s="1">
        <v>2</v>
      </c>
    </row>
    <row r="891" spans="1:10" x14ac:dyDescent="0.2">
      <c r="A891" s="1">
        <v>521</v>
      </c>
      <c r="B891" s="1">
        <v>0</v>
      </c>
      <c r="C891" s="1">
        <v>14</v>
      </c>
      <c r="D891" s="1">
        <v>4</v>
      </c>
      <c r="E891" s="1">
        <v>3</v>
      </c>
      <c r="F891" s="1">
        <v>9</v>
      </c>
      <c r="G891" s="1">
        <v>8</v>
      </c>
      <c r="H891" s="1">
        <v>0</v>
      </c>
      <c r="I891" s="1">
        <v>2</v>
      </c>
      <c r="J891" s="1">
        <v>2</v>
      </c>
    </row>
    <row r="892" spans="1:10" x14ac:dyDescent="0.2">
      <c r="A892" s="1">
        <v>1676</v>
      </c>
      <c r="B892" s="1">
        <v>0</v>
      </c>
      <c r="C892" s="1">
        <v>20</v>
      </c>
      <c r="D892" s="1">
        <v>4</v>
      </c>
      <c r="E892" s="1">
        <v>3</v>
      </c>
      <c r="F892" s="1">
        <v>9</v>
      </c>
      <c r="G892" s="1">
        <v>8</v>
      </c>
      <c r="H892" s="1">
        <v>1</v>
      </c>
      <c r="I892" s="1">
        <v>3</v>
      </c>
      <c r="J892" s="1">
        <v>2</v>
      </c>
    </row>
    <row r="893" spans="1:10" x14ac:dyDescent="0.2">
      <c r="A893" s="1">
        <v>904</v>
      </c>
      <c r="B893" s="1">
        <v>0</v>
      </c>
      <c r="C893" s="1">
        <v>12</v>
      </c>
      <c r="D893" s="1">
        <v>2</v>
      </c>
      <c r="E893" s="1">
        <v>2</v>
      </c>
      <c r="F893" s="1">
        <v>10</v>
      </c>
      <c r="G893" s="1">
        <v>8</v>
      </c>
      <c r="H893" s="1">
        <v>0</v>
      </c>
      <c r="I893" s="1">
        <v>0</v>
      </c>
      <c r="J893" s="1">
        <v>2</v>
      </c>
    </row>
    <row r="894" spans="1:10" x14ac:dyDescent="0.2">
      <c r="A894" s="1">
        <v>124</v>
      </c>
      <c r="B894" s="1">
        <v>0</v>
      </c>
      <c r="C894" s="1">
        <v>15</v>
      </c>
      <c r="D894" s="1">
        <v>3</v>
      </c>
      <c r="E894" s="1">
        <v>2</v>
      </c>
      <c r="F894" s="1">
        <v>10</v>
      </c>
      <c r="G894" s="1">
        <v>8</v>
      </c>
      <c r="H894" s="1">
        <v>0</v>
      </c>
      <c r="I894" s="1">
        <v>3</v>
      </c>
      <c r="J894" s="1">
        <v>2</v>
      </c>
    </row>
    <row r="895" spans="1:10" x14ac:dyDescent="0.2">
      <c r="A895" s="1">
        <v>1356</v>
      </c>
      <c r="B895" s="1">
        <v>0</v>
      </c>
      <c r="C895" s="1">
        <v>17</v>
      </c>
      <c r="D895" s="1">
        <v>2</v>
      </c>
      <c r="E895" s="1">
        <v>3</v>
      </c>
      <c r="F895" s="1">
        <v>10</v>
      </c>
      <c r="G895" s="1">
        <v>8</v>
      </c>
      <c r="H895" s="1">
        <v>0</v>
      </c>
      <c r="I895" s="1">
        <v>3</v>
      </c>
      <c r="J895" s="1">
        <v>2</v>
      </c>
    </row>
    <row r="896" spans="1:10" x14ac:dyDescent="0.2">
      <c r="A896" s="1">
        <v>604</v>
      </c>
      <c r="B896" s="1">
        <v>0</v>
      </c>
      <c r="C896" s="1">
        <v>5</v>
      </c>
      <c r="D896" s="1">
        <v>1</v>
      </c>
      <c r="E896" s="1">
        <v>3</v>
      </c>
      <c r="F896" s="1">
        <v>1</v>
      </c>
      <c r="G896" s="1">
        <v>9</v>
      </c>
      <c r="H896" s="1">
        <v>1</v>
      </c>
      <c r="I896" s="1">
        <v>3</v>
      </c>
      <c r="J896" s="1">
        <v>2</v>
      </c>
    </row>
    <row r="897" spans="1:10" x14ac:dyDescent="0.2">
      <c r="A897" s="1">
        <v>216</v>
      </c>
      <c r="B897" s="1">
        <v>0</v>
      </c>
      <c r="C897" s="1">
        <v>15</v>
      </c>
      <c r="D897" s="1">
        <v>4</v>
      </c>
      <c r="E897" s="1">
        <v>3</v>
      </c>
      <c r="F897" s="1">
        <v>1</v>
      </c>
      <c r="G897" s="1">
        <v>9</v>
      </c>
      <c r="H897" s="1">
        <v>1</v>
      </c>
      <c r="I897" s="1">
        <v>2</v>
      </c>
      <c r="J897" s="1">
        <v>2</v>
      </c>
    </row>
    <row r="898" spans="1:10" x14ac:dyDescent="0.2">
      <c r="A898" s="1">
        <v>854</v>
      </c>
      <c r="B898" s="1">
        <v>0</v>
      </c>
      <c r="C898" s="1">
        <v>6</v>
      </c>
      <c r="D898" s="1">
        <v>1</v>
      </c>
      <c r="E898" s="1">
        <v>1</v>
      </c>
      <c r="F898" s="1">
        <v>2</v>
      </c>
      <c r="G898" s="1">
        <v>9</v>
      </c>
      <c r="H898" s="1">
        <v>1</v>
      </c>
      <c r="I898" s="1">
        <v>3</v>
      </c>
      <c r="J898" s="1">
        <v>2</v>
      </c>
    </row>
    <row r="899" spans="1:10" x14ac:dyDescent="0.2">
      <c r="A899" s="1">
        <v>387</v>
      </c>
      <c r="B899" s="1">
        <v>0</v>
      </c>
      <c r="C899" s="1">
        <v>9</v>
      </c>
      <c r="D899" s="1">
        <v>4</v>
      </c>
      <c r="E899" s="1">
        <v>1</v>
      </c>
      <c r="F899" s="1">
        <v>2</v>
      </c>
      <c r="G899" s="1">
        <v>9</v>
      </c>
      <c r="H899" s="1">
        <v>1</v>
      </c>
      <c r="I899" s="1">
        <v>2</v>
      </c>
      <c r="J899" s="1">
        <v>2</v>
      </c>
    </row>
    <row r="900" spans="1:10" x14ac:dyDescent="0.2">
      <c r="A900" s="1">
        <v>71</v>
      </c>
      <c r="B900" s="1">
        <v>0</v>
      </c>
      <c r="C900" s="1">
        <v>12</v>
      </c>
      <c r="D900" s="1">
        <v>5</v>
      </c>
      <c r="E900" s="1">
        <v>1</v>
      </c>
      <c r="F900" s="1">
        <v>2</v>
      </c>
      <c r="G900" s="1">
        <v>9</v>
      </c>
      <c r="H900" s="1">
        <v>0</v>
      </c>
      <c r="I900" s="1">
        <v>3</v>
      </c>
      <c r="J900" s="1">
        <v>2</v>
      </c>
    </row>
    <row r="901" spans="1:10" x14ac:dyDescent="0.2">
      <c r="A901" s="1">
        <v>1124</v>
      </c>
      <c r="B901" s="1">
        <v>0</v>
      </c>
      <c r="C901" s="1">
        <v>6</v>
      </c>
      <c r="D901" s="1">
        <v>5</v>
      </c>
      <c r="E901" s="1">
        <v>2</v>
      </c>
      <c r="F901" s="1">
        <v>2</v>
      </c>
      <c r="G901" s="1">
        <v>9</v>
      </c>
      <c r="H901" s="1">
        <v>0</v>
      </c>
      <c r="I901" s="1">
        <v>0</v>
      </c>
      <c r="J901" s="1">
        <v>2</v>
      </c>
    </row>
    <row r="902" spans="1:10" x14ac:dyDescent="0.2">
      <c r="A902" s="1">
        <v>715</v>
      </c>
      <c r="B902" s="1">
        <v>0</v>
      </c>
      <c r="C902" s="1">
        <v>7</v>
      </c>
      <c r="D902" s="1">
        <v>2</v>
      </c>
      <c r="E902" s="1">
        <v>2</v>
      </c>
      <c r="F902" s="1">
        <v>2</v>
      </c>
      <c r="G902" s="1">
        <v>9</v>
      </c>
      <c r="H902" s="1">
        <v>1</v>
      </c>
      <c r="I902" s="1">
        <v>0</v>
      </c>
      <c r="J902" s="1">
        <v>2</v>
      </c>
    </row>
    <row r="903" spans="1:10" x14ac:dyDescent="0.2">
      <c r="A903" s="1">
        <v>2211</v>
      </c>
      <c r="B903" s="1">
        <v>0</v>
      </c>
      <c r="C903" s="1">
        <v>7</v>
      </c>
      <c r="D903" s="1">
        <v>2</v>
      </c>
      <c r="E903" s="1">
        <v>2</v>
      </c>
      <c r="F903" s="1">
        <v>2</v>
      </c>
      <c r="G903" s="1">
        <v>9</v>
      </c>
      <c r="H903" s="1">
        <v>1</v>
      </c>
      <c r="I903" s="1">
        <v>1</v>
      </c>
      <c r="J903" s="1">
        <v>2</v>
      </c>
    </row>
    <row r="904" spans="1:10" x14ac:dyDescent="0.2">
      <c r="A904" s="1">
        <v>1774</v>
      </c>
      <c r="B904" s="1">
        <v>0</v>
      </c>
      <c r="C904" s="1">
        <v>8</v>
      </c>
      <c r="D904" s="1">
        <v>2</v>
      </c>
      <c r="E904" s="1">
        <v>2</v>
      </c>
      <c r="F904" s="1">
        <v>2</v>
      </c>
      <c r="G904" s="1">
        <v>9</v>
      </c>
      <c r="H904" s="1">
        <v>1</v>
      </c>
      <c r="I904" s="1">
        <v>2</v>
      </c>
      <c r="J904" s="1">
        <v>2</v>
      </c>
    </row>
    <row r="905" spans="1:10" x14ac:dyDescent="0.2">
      <c r="A905" s="1">
        <v>2148</v>
      </c>
      <c r="B905" s="1">
        <v>0</v>
      </c>
      <c r="C905" s="1">
        <v>12</v>
      </c>
      <c r="D905" s="1">
        <v>1</v>
      </c>
      <c r="E905" s="1">
        <v>2</v>
      </c>
      <c r="F905" s="1">
        <v>2</v>
      </c>
      <c r="G905" s="1">
        <v>9</v>
      </c>
      <c r="H905" s="1">
        <v>1</v>
      </c>
      <c r="I905" s="1">
        <v>1</v>
      </c>
      <c r="J905" s="1">
        <v>2</v>
      </c>
    </row>
    <row r="906" spans="1:10" x14ac:dyDescent="0.2">
      <c r="A906" s="1">
        <v>240</v>
      </c>
      <c r="B906" s="1">
        <v>0</v>
      </c>
      <c r="C906" s="1">
        <v>16</v>
      </c>
      <c r="D906" s="1">
        <v>5</v>
      </c>
      <c r="E906" s="1">
        <v>2</v>
      </c>
      <c r="F906" s="1">
        <v>2</v>
      </c>
      <c r="G906" s="1">
        <v>9</v>
      </c>
      <c r="H906" s="1">
        <v>0</v>
      </c>
      <c r="I906" s="1">
        <v>1</v>
      </c>
      <c r="J906" s="1">
        <v>2</v>
      </c>
    </row>
    <row r="907" spans="1:10" x14ac:dyDescent="0.2">
      <c r="A907" s="1">
        <v>1038</v>
      </c>
      <c r="B907" s="1">
        <v>0</v>
      </c>
      <c r="C907" s="1">
        <v>16</v>
      </c>
      <c r="D907" s="1">
        <v>2</v>
      </c>
      <c r="E907" s="1">
        <v>2</v>
      </c>
      <c r="F907" s="1">
        <v>2</v>
      </c>
      <c r="G907" s="1">
        <v>9</v>
      </c>
      <c r="H907" s="1">
        <v>1</v>
      </c>
      <c r="I907" s="1">
        <v>2</v>
      </c>
      <c r="J907" s="1">
        <v>2</v>
      </c>
    </row>
    <row r="908" spans="1:10" x14ac:dyDescent="0.2">
      <c r="A908" s="1">
        <v>2008</v>
      </c>
      <c r="B908" s="1">
        <v>0</v>
      </c>
      <c r="C908" s="1">
        <v>7</v>
      </c>
      <c r="D908" s="1">
        <v>3</v>
      </c>
      <c r="E908" s="1">
        <v>3</v>
      </c>
      <c r="F908" s="1">
        <v>2</v>
      </c>
      <c r="G908" s="1">
        <v>9</v>
      </c>
      <c r="H908" s="1">
        <v>0</v>
      </c>
      <c r="I908" s="1">
        <v>1</v>
      </c>
      <c r="J908" s="1">
        <v>2</v>
      </c>
    </row>
    <row r="909" spans="1:10" x14ac:dyDescent="0.2">
      <c r="A909" s="1">
        <v>753</v>
      </c>
      <c r="B909" s="1">
        <v>0</v>
      </c>
      <c r="C909" s="1">
        <v>8</v>
      </c>
      <c r="D909" s="1">
        <v>5</v>
      </c>
      <c r="E909" s="1">
        <v>3</v>
      </c>
      <c r="F909" s="1">
        <v>2</v>
      </c>
      <c r="G909" s="1">
        <v>9</v>
      </c>
      <c r="H909" s="1">
        <v>1</v>
      </c>
      <c r="I909" s="1">
        <v>3</v>
      </c>
      <c r="J909" s="1">
        <v>2</v>
      </c>
    </row>
    <row r="910" spans="1:10" x14ac:dyDescent="0.2">
      <c r="A910" s="1">
        <v>2350</v>
      </c>
      <c r="B910" s="1">
        <v>0</v>
      </c>
      <c r="C910" s="1">
        <v>17</v>
      </c>
      <c r="D910" s="1">
        <v>4</v>
      </c>
      <c r="E910" s="1">
        <v>3</v>
      </c>
      <c r="F910" s="1">
        <v>2</v>
      </c>
      <c r="G910" s="1">
        <v>9</v>
      </c>
      <c r="H910" s="1">
        <v>0</v>
      </c>
      <c r="I910" s="1">
        <v>1</v>
      </c>
      <c r="J910" s="1">
        <v>2</v>
      </c>
    </row>
    <row r="911" spans="1:10" x14ac:dyDescent="0.2">
      <c r="A911" s="1">
        <v>1265</v>
      </c>
      <c r="B911" s="1">
        <v>0</v>
      </c>
      <c r="C911" s="1">
        <v>20</v>
      </c>
      <c r="D911" s="1">
        <v>5</v>
      </c>
      <c r="E911" s="1">
        <v>3</v>
      </c>
      <c r="F911" s="1">
        <v>2</v>
      </c>
      <c r="G911" s="1">
        <v>9</v>
      </c>
      <c r="H911" s="1">
        <v>0</v>
      </c>
      <c r="I911" s="1">
        <v>2</v>
      </c>
      <c r="J911" s="1">
        <v>2</v>
      </c>
    </row>
    <row r="912" spans="1:10" x14ac:dyDescent="0.2">
      <c r="A912" s="1">
        <v>798</v>
      </c>
      <c r="B912" s="1">
        <v>0</v>
      </c>
      <c r="C912" s="1">
        <v>5</v>
      </c>
      <c r="D912" s="1">
        <v>2</v>
      </c>
      <c r="E912" s="1">
        <v>1</v>
      </c>
      <c r="F912" s="1">
        <v>3</v>
      </c>
      <c r="G912" s="1">
        <v>9</v>
      </c>
      <c r="H912" s="1">
        <v>1</v>
      </c>
      <c r="I912" s="1">
        <v>3</v>
      </c>
      <c r="J912" s="1">
        <v>2</v>
      </c>
    </row>
    <row r="913" spans="1:10" x14ac:dyDescent="0.2">
      <c r="A913" s="1">
        <v>6</v>
      </c>
      <c r="B913" s="1">
        <v>0</v>
      </c>
      <c r="C913" s="1">
        <v>8</v>
      </c>
      <c r="D913" s="1">
        <v>1</v>
      </c>
      <c r="E913" s="1">
        <v>1</v>
      </c>
      <c r="F913" s="1">
        <v>3</v>
      </c>
      <c r="G913" s="1">
        <v>9</v>
      </c>
      <c r="H913" s="1">
        <v>0</v>
      </c>
      <c r="I913" s="1">
        <v>1</v>
      </c>
      <c r="J913" s="1">
        <v>2</v>
      </c>
    </row>
    <row r="914" spans="1:10" x14ac:dyDescent="0.2">
      <c r="A914" s="1">
        <v>1276</v>
      </c>
      <c r="B914" s="1">
        <v>0</v>
      </c>
      <c r="C914" s="1">
        <v>14</v>
      </c>
      <c r="D914" s="1">
        <v>2</v>
      </c>
      <c r="E914" s="1">
        <v>1</v>
      </c>
      <c r="F914" s="1">
        <v>3</v>
      </c>
      <c r="G914" s="1">
        <v>9</v>
      </c>
      <c r="H914" s="1">
        <v>0</v>
      </c>
      <c r="I914" s="1">
        <v>0</v>
      </c>
      <c r="J914" s="1">
        <v>2</v>
      </c>
    </row>
    <row r="915" spans="1:10" x14ac:dyDescent="0.2">
      <c r="A915" s="1">
        <v>1259</v>
      </c>
      <c r="B915" s="1">
        <v>0</v>
      </c>
      <c r="C915" s="1">
        <v>17</v>
      </c>
      <c r="D915" s="1">
        <v>3</v>
      </c>
      <c r="E915" s="1">
        <v>2</v>
      </c>
      <c r="F915" s="1">
        <v>3</v>
      </c>
      <c r="G915" s="1">
        <v>9</v>
      </c>
      <c r="H915" s="1">
        <v>1</v>
      </c>
      <c r="I915" s="1">
        <v>1</v>
      </c>
      <c r="J915" s="1">
        <v>2</v>
      </c>
    </row>
    <row r="916" spans="1:10" x14ac:dyDescent="0.2">
      <c r="A916" s="1">
        <v>2061</v>
      </c>
      <c r="B916" s="1">
        <v>0</v>
      </c>
      <c r="C916" s="1">
        <v>11</v>
      </c>
      <c r="D916" s="1">
        <v>2</v>
      </c>
      <c r="E916" s="1">
        <v>3</v>
      </c>
      <c r="F916" s="1">
        <v>3</v>
      </c>
      <c r="G916" s="1">
        <v>9</v>
      </c>
      <c r="H916" s="1">
        <v>0</v>
      </c>
      <c r="I916" s="1">
        <v>0</v>
      </c>
      <c r="J916" s="1">
        <v>2</v>
      </c>
    </row>
    <row r="917" spans="1:10" x14ac:dyDescent="0.2">
      <c r="A917" s="1">
        <v>197</v>
      </c>
      <c r="B917" s="1">
        <v>0</v>
      </c>
      <c r="C917" s="1">
        <v>15</v>
      </c>
      <c r="D917" s="1">
        <v>5</v>
      </c>
      <c r="E917" s="1">
        <v>3</v>
      </c>
      <c r="F917" s="1">
        <v>3</v>
      </c>
      <c r="G917" s="1">
        <v>9</v>
      </c>
      <c r="H917" s="1">
        <v>1</v>
      </c>
      <c r="I917" s="1">
        <v>3</v>
      </c>
      <c r="J917" s="1">
        <v>2</v>
      </c>
    </row>
    <row r="918" spans="1:10" x14ac:dyDescent="0.2">
      <c r="A918" s="1">
        <v>107</v>
      </c>
      <c r="B918" s="1">
        <v>0</v>
      </c>
      <c r="C918" s="1">
        <v>18</v>
      </c>
      <c r="D918" s="1">
        <v>4</v>
      </c>
      <c r="E918" s="1">
        <v>1</v>
      </c>
      <c r="F918" s="1">
        <v>4</v>
      </c>
      <c r="G918" s="1">
        <v>9</v>
      </c>
      <c r="H918" s="1">
        <v>1</v>
      </c>
      <c r="I918" s="1">
        <v>1</v>
      </c>
      <c r="J918" s="1">
        <v>2</v>
      </c>
    </row>
    <row r="919" spans="1:10" x14ac:dyDescent="0.2">
      <c r="A919" s="1">
        <v>38</v>
      </c>
      <c r="B919" s="1">
        <v>0</v>
      </c>
      <c r="C919" s="1">
        <v>17</v>
      </c>
      <c r="D919" s="1">
        <v>5</v>
      </c>
      <c r="E919" s="1">
        <v>2</v>
      </c>
      <c r="F919" s="1">
        <v>4</v>
      </c>
      <c r="G919" s="1">
        <v>9</v>
      </c>
      <c r="H919" s="1">
        <v>1</v>
      </c>
      <c r="I919" s="1">
        <v>2</v>
      </c>
      <c r="J919" s="1">
        <v>2</v>
      </c>
    </row>
    <row r="920" spans="1:10" x14ac:dyDescent="0.2">
      <c r="A920" s="1">
        <v>207</v>
      </c>
      <c r="B920" s="1">
        <v>0</v>
      </c>
      <c r="C920" s="1">
        <v>5</v>
      </c>
      <c r="D920" s="1">
        <v>2</v>
      </c>
      <c r="E920" s="1">
        <v>2</v>
      </c>
      <c r="F920" s="1">
        <v>5</v>
      </c>
      <c r="G920" s="1">
        <v>9</v>
      </c>
      <c r="H920" s="1">
        <v>1</v>
      </c>
      <c r="I920" s="1">
        <v>0</v>
      </c>
      <c r="J920" s="1">
        <v>2</v>
      </c>
    </row>
    <row r="921" spans="1:10" x14ac:dyDescent="0.2">
      <c r="A921" s="1">
        <v>1458</v>
      </c>
      <c r="B921" s="1">
        <v>0</v>
      </c>
      <c r="C921" s="1">
        <v>14</v>
      </c>
      <c r="D921" s="1">
        <v>2</v>
      </c>
      <c r="E921" s="1">
        <v>2</v>
      </c>
      <c r="F921" s="1">
        <v>5</v>
      </c>
      <c r="G921" s="1">
        <v>9</v>
      </c>
      <c r="H921" s="1">
        <v>1</v>
      </c>
      <c r="I921" s="1">
        <v>1</v>
      </c>
      <c r="J921" s="1">
        <v>2</v>
      </c>
    </row>
    <row r="922" spans="1:10" x14ac:dyDescent="0.2">
      <c r="A922" s="1">
        <v>812</v>
      </c>
      <c r="B922" s="1">
        <v>0</v>
      </c>
      <c r="C922" s="1">
        <v>16</v>
      </c>
      <c r="D922" s="1">
        <v>4</v>
      </c>
      <c r="E922" s="1">
        <v>2</v>
      </c>
      <c r="F922" s="1">
        <v>5</v>
      </c>
      <c r="G922" s="1">
        <v>9</v>
      </c>
      <c r="H922" s="1">
        <v>1</v>
      </c>
      <c r="I922" s="1">
        <v>3</v>
      </c>
      <c r="J922" s="1">
        <v>2</v>
      </c>
    </row>
    <row r="923" spans="1:10" x14ac:dyDescent="0.2">
      <c r="A923" s="1">
        <v>1519</v>
      </c>
      <c r="B923" s="1">
        <v>0</v>
      </c>
      <c r="C923" s="1">
        <v>7</v>
      </c>
      <c r="D923" s="1">
        <v>1</v>
      </c>
      <c r="E923" s="1">
        <v>3</v>
      </c>
      <c r="F923" s="1">
        <v>5</v>
      </c>
      <c r="G923" s="1">
        <v>9</v>
      </c>
      <c r="H923" s="1">
        <v>1</v>
      </c>
      <c r="I923" s="1">
        <v>1</v>
      </c>
      <c r="J923" s="1">
        <v>2</v>
      </c>
    </row>
    <row r="924" spans="1:10" x14ac:dyDescent="0.2">
      <c r="A924" s="1">
        <v>716</v>
      </c>
      <c r="B924" s="1">
        <v>0</v>
      </c>
      <c r="C924" s="1">
        <v>14</v>
      </c>
      <c r="D924" s="1">
        <v>3</v>
      </c>
      <c r="E924" s="1">
        <v>3</v>
      </c>
      <c r="F924" s="1">
        <v>5</v>
      </c>
      <c r="G924" s="1">
        <v>9</v>
      </c>
      <c r="H924" s="1">
        <v>0</v>
      </c>
      <c r="I924" s="1">
        <v>1</v>
      </c>
      <c r="J924" s="1">
        <v>2</v>
      </c>
    </row>
    <row r="925" spans="1:10" x14ac:dyDescent="0.2">
      <c r="A925" s="1">
        <v>2026</v>
      </c>
      <c r="B925" s="1">
        <v>0</v>
      </c>
      <c r="C925" s="1">
        <v>18</v>
      </c>
      <c r="D925" s="1">
        <v>3</v>
      </c>
      <c r="E925" s="1">
        <v>3</v>
      </c>
      <c r="F925" s="1">
        <v>5</v>
      </c>
      <c r="G925" s="1">
        <v>9</v>
      </c>
      <c r="H925" s="1">
        <v>1</v>
      </c>
      <c r="I925" s="1">
        <v>3</v>
      </c>
      <c r="J925" s="1">
        <v>2</v>
      </c>
    </row>
    <row r="926" spans="1:10" x14ac:dyDescent="0.2">
      <c r="A926" s="1">
        <v>231</v>
      </c>
      <c r="B926" s="1">
        <v>0</v>
      </c>
      <c r="C926" s="1">
        <v>20</v>
      </c>
      <c r="D926" s="1">
        <v>1</v>
      </c>
      <c r="E926" s="1">
        <v>3</v>
      </c>
      <c r="F926" s="1">
        <v>5</v>
      </c>
      <c r="G926" s="1">
        <v>9</v>
      </c>
      <c r="H926" s="1">
        <v>1</v>
      </c>
      <c r="I926" s="1">
        <v>3</v>
      </c>
      <c r="J926" s="1">
        <v>2</v>
      </c>
    </row>
    <row r="927" spans="1:10" x14ac:dyDescent="0.2">
      <c r="A927" s="1">
        <v>1839</v>
      </c>
      <c r="B927" s="1">
        <v>0</v>
      </c>
      <c r="C927" s="1">
        <v>20</v>
      </c>
      <c r="D927" s="1">
        <v>1</v>
      </c>
      <c r="E927" s="1">
        <v>3</v>
      </c>
      <c r="F927" s="1">
        <v>5</v>
      </c>
      <c r="G927" s="1">
        <v>9</v>
      </c>
      <c r="H927" s="1">
        <v>0</v>
      </c>
      <c r="I927" s="1">
        <v>2</v>
      </c>
      <c r="J927" s="1">
        <v>2</v>
      </c>
    </row>
    <row r="928" spans="1:10" x14ac:dyDescent="0.2">
      <c r="A928" s="1">
        <v>1222</v>
      </c>
      <c r="B928" s="1">
        <v>0</v>
      </c>
      <c r="C928" s="1">
        <v>6</v>
      </c>
      <c r="D928" s="1">
        <v>3</v>
      </c>
      <c r="E928" s="1">
        <v>2</v>
      </c>
      <c r="F928" s="1">
        <v>6</v>
      </c>
      <c r="G928" s="1">
        <v>9</v>
      </c>
      <c r="H928" s="1">
        <v>0</v>
      </c>
      <c r="I928" s="1">
        <v>1</v>
      </c>
      <c r="J928" s="1">
        <v>2</v>
      </c>
    </row>
    <row r="929" spans="1:10" x14ac:dyDescent="0.2">
      <c r="A929" s="1">
        <v>946</v>
      </c>
      <c r="B929" s="1">
        <v>0</v>
      </c>
      <c r="C929" s="1">
        <v>12</v>
      </c>
      <c r="D929" s="1">
        <v>1</v>
      </c>
      <c r="E929" s="1">
        <v>3</v>
      </c>
      <c r="F929" s="1">
        <v>6</v>
      </c>
      <c r="G929" s="1">
        <v>9</v>
      </c>
      <c r="H929" s="1">
        <v>1</v>
      </c>
      <c r="I929" s="1">
        <v>0</v>
      </c>
      <c r="J929" s="1">
        <v>2</v>
      </c>
    </row>
    <row r="930" spans="1:10" x14ac:dyDescent="0.2">
      <c r="A930" s="1">
        <v>2205</v>
      </c>
      <c r="B930" s="1">
        <v>0</v>
      </c>
      <c r="C930" s="1">
        <v>15</v>
      </c>
      <c r="D930" s="1">
        <v>3</v>
      </c>
      <c r="E930" s="1">
        <v>3</v>
      </c>
      <c r="F930" s="1">
        <v>6</v>
      </c>
      <c r="G930" s="1">
        <v>9</v>
      </c>
      <c r="H930" s="1">
        <v>0</v>
      </c>
      <c r="I930" s="1">
        <v>2</v>
      </c>
      <c r="J930" s="1">
        <v>2</v>
      </c>
    </row>
    <row r="931" spans="1:10" x14ac:dyDescent="0.2">
      <c r="A931" s="1">
        <v>2476</v>
      </c>
      <c r="B931" s="1">
        <v>0</v>
      </c>
      <c r="C931" s="1">
        <v>19</v>
      </c>
      <c r="D931" s="1">
        <v>2</v>
      </c>
      <c r="E931" s="1">
        <v>3</v>
      </c>
      <c r="F931" s="1">
        <v>6</v>
      </c>
      <c r="G931" s="1">
        <v>9</v>
      </c>
      <c r="H931" s="1">
        <v>0</v>
      </c>
      <c r="I931" s="1">
        <v>3</v>
      </c>
      <c r="J931" s="1">
        <v>2</v>
      </c>
    </row>
    <row r="932" spans="1:10" x14ac:dyDescent="0.2">
      <c r="A932" s="1">
        <v>1916</v>
      </c>
      <c r="B932" s="1">
        <v>0</v>
      </c>
      <c r="C932" s="1">
        <v>11</v>
      </c>
      <c r="D932" s="1">
        <v>3</v>
      </c>
      <c r="E932" s="1">
        <v>2</v>
      </c>
      <c r="F932" s="1">
        <v>7</v>
      </c>
      <c r="G932" s="1">
        <v>9</v>
      </c>
      <c r="H932" s="1">
        <v>0</v>
      </c>
      <c r="I932" s="1">
        <v>0</v>
      </c>
      <c r="J932" s="1">
        <v>2</v>
      </c>
    </row>
    <row r="933" spans="1:10" x14ac:dyDescent="0.2">
      <c r="A933" s="1">
        <v>921</v>
      </c>
      <c r="B933" s="1">
        <v>0</v>
      </c>
      <c r="C933" s="1">
        <v>11</v>
      </c>
      <c r="D933" s="1">
        <v>3</v>
      </c>
      <c r="E933" s="1">
        <v>3</v>
      </c>
      <c r="F933" s="1">
        <v>7</v>
      </c>
      <c r="G933" s="1">
        <v>9</v>
      </c>
      <c r="H933" s="1">
        <v>0</v>
      </c>
      <c r="I933" s="1">
        <v>0</v>
      </c>
      <c r="J933" s="1">
        <v>2</v>
      </c>
    </row>
    <row r="934" spans="1:10" x14ac:dyDescent="0.2">
      <c r="A934" s="1">
        <v>1251</v>
      </c>
      <c r="B934" s="1">
        <v>0</v>
      </c>
      <c r="C934" s="1">
        <v>14</v>
      </c>
      <c r="D934" s="1">
        <v>1</v>
      </c>
      <c r="E934" s="1">
        <v>2</v>
      </c>
      <c r="F934" s="1">
        <v>8</v>
      </c>
      <c r="G934" s="1">
        <v>9</v>
      </c>
      <c r="H934" s="1">
        <v>1</v>
      </c>
      <c r="I934" s="1">
        <v>2</v>
      </c>
      <c r="J934" s="1">
        <v>2</v>
      </c>
    </row>
    <row r="935" spans="1:10" x14ac:dyDescent="0.2">
      <c r="A935" s="1">
        <v>1662</v>
      </c>
      <c r="B935" s="1">
        <v>0</v>
      </c>
      <c r="C935" s="1">
        <v>8</v>
      </c>
      <c r="D935" s="1">
        <v>4</v>
      </c>
      <c r="E935" s="1">
        <v>3</v>
      </c>
      <c r="F935" s="1">
        <v>8</v>
      </c>
      <c r="G935" s="1">
        <v>9</v>
      </c>
      <c r="H935" s="1">
        <v>1</v>
      </c>
      <c r="I935" s="1">
        <v>1</v>
      </c>
      <c r="J935" s="1">
        <v>2</v>
      </c>
    </row>
    <row r="936" spans="1:10" x14ac:dyDescent="0.2">
      <c r="A936" s="1">
        <v>1559</v>
      </c>
      <c r="B936" s="1">
        <v>0</v>
      </c>
      <c r="C936" s="1">
        <v>13</v>
      </c>
      <c r="D936" s="1">
        <v>1</v>
      </c>
      <c r="E936" s="1">
        <v>2</v>
      </c>
      <c r="F936" s="1">
        <v>9</v>
      </c>
      <c r="G936" s="1">
        <v>9</v>
      </c>
      <c r="H936" s="1">
        <v>0</v>
      </c>
      <c r="I936" s="1">
        <v>2</v>
      </c>
      <c r="J936" s="1">
        <v>2</v>
      </c>
    </row>
    <row r="937" spans="1:10" x14ac:dyDescent="0.2">
      <c r="A937" s="1">
        <v>1891</v>
      </c>
      <c r="B937" s="1">
        <v>0</v>
      </c>
      <c r="C937" s="1">
        <v>5</v>
      </c>
      <c r="D937" s="1">
        <v>3</v>
      </c>
      <c r="E937" s="1">
        <v>2</v>
      </c>
      <c r="F937" s="1">
        <v>10</v>
      </c>
      <c r="G937" s="1">
        <v>9</v>
      </c>
      <c r="H937" s="1">
        <v>0</v>
      </c>
      <c r="I937" s="1">
        <v>1</v>
      </c>
      <c r="J937" s="1">
        <v>2</v>
      </c>
    </row>
    <row r="938" spans="1:10" x14ac:dyDescent="0.2">
      <c r="A938" s="1">
        <v>2015</v>
      </c>
      <c r="B938" s="1">
        <v>0</v>
      </c>
      <c r="C938" s="1">
        <v>12</v>
      </c>
      <c r="D938" s="1">
        <v>5</v>
      </c>
      <c r="E938" s="1">
        <v>2</v>
      </c>
      <c r="F938" s="1">
        <v>10</v>
      </c>
      <c r="G938" s="1">
        <v>9</v>
      </c>
      <c r="H938" s="1">
        <v>0</v>
      </c>
      <c r="I938" s="1">
        <v>0</v>
      </c>
      <c r="J938" s="1">
        <v>2</v>
      </c>
    </row>
    <row r="939" spans="1:10" x14ac:dyDescent="0.2">
      <c r="A939" s="1">
        <v>1290</v>
      </c>
      <c r="B939" s="1">
        <v>0</v>
      </c>
      <c r="C939" s="1">
        <v>7</v>
      </c>
      <c r="D939" s="1">
        <v>5</v>
      </c>
      <c r="E939" s="1">
        <v>3</v>
      </c>
      <c r="F939" s="1">
        <v>10</v>
      </c>
      <c r="G939" s="1">
        <v>9</v>
      </c>
      <c r="H939" s="1">
        <v>1</v>
      </c>
      <c r="I939" s="1">
        <v>2</v>
      </c>
      <c r="J939" s="1">
        <v>2</v>
      </c>
    </row>
    <row r="940" spans="1:10" x14ac:dyDescent="0.2">
      <c r="A940" s="1">
        <v>2421</v>
      </c>
      <c r="B940" s="1">
        <v>0</v>
      </c>
      <c r="C940" s="1">
        <v>8</v>
      </c>
      <c r="D940" s="1">
        <v>5</v>
      </c>
      <c r="E940" s="1">
        <v>3</v>
      </c>
      <c r="F940" s="1">
        <v>10</v>
      </c>
      <c r="G940" s="1">
        <v>9</v>
      </c>
      <c r="H940" s="1">
        <v>0</v>
      </c>
      <c r="I940" s="1">
        <v>2</v>
      </c>
      <c r="J940" s="1">
        <v>2</v>
      </c>
    </row>
    <row r="941" spans="1:10" x14ac:dyDescent="0.2">
      <c r="A941" s="1">
        <v>50</v>
      </c>
      <c r="B941" s="1">
        <v>0</v>
      </c>
      <c r="C941" s="1">
        <v>5</v>
      </c>
      <c r="D941" s="1">
        <v>4</v>
      </c>
      <c r="E941" s="1">
        <v>2</v>
      </c>
      <c r="F941" s="1">
        <v>1</v>
      </c>
      <c r="G941" s="1">
        <v>10</v>
      </c>
      <c r="H941" s="1">
        <v>1</v>
      </c>
      <c r="I941" s="1">
        <v>2</v>
      </c>
      <c r="J941" s="1">
        <v>2</v>
      </c>
    </row>
    <row r="942" spans="1:10" x14ac:dyDescent="0.2">
      <c r="A942" s="1">
        <v>17</v>
      </c>
      <c r="B942" s="1">
        <v>0</v>
      </c>
      <c r="C942" s="1">
        <v>6</v>
      </c>
      <c r="D942" s="1">
        <v>2</v>
      </c>
      <c r="E942" s="1">
        <v>3</v>
      </c>
      <c r="F942" s="1">
        <v>1</v>
      </c>
      <c r="G942" s="1">
        <v>10</v>
      </c>
      <c r="H942" s="1">
        <v>0</v>
      </c>
      <c r="I942" s="1">
        <v>2</v>
      </c>
      <c r="J942" s="1">
        <v>2</v>
      </c>
    </row>
    <row r="943" spans="1:10" x14ac:dyDescent="0.2">
      <c r="A943" s="1">
        <v>1876</v>
      </c>
      <c r="B943" s="1">
        <v>0</v>
      </c>
      <c r="C943" s="1">
        <v>10</v>
      </c>
      <c r="D943" s="1">
        <v>4</v>
      </c>
      <c r="E943" s="1">
        <v>1</v>
      </c>
      <c r="F943" s="1">
        <v>2</v>
      </c>
      <c r="G943" s="1">
        <v>10</v>
      </c>
      <c r="H943" s="1">
        <v>0</v>
      </c>
      <c r="I943" s="1">
        <v>2</v>
      </c>
      <c r="J943" s="1">
        <v>2</v>
      </c>
    </row>
    <row r="944" spans="1:10" x14ac:dyDescent="0.2">
      <c r="A944" s="1">
        <v>395</v>
      </c>
      <c r="B944" s="1">
        <v>0</v>
      </c>
      <c r="C944" s="1">
        <v>12</v>
      </c>
      <c r="D944" s="1">
        <v>1</v>
      </c>
      <c r="E944" s="1">
        <v>1</v>
      </c>
      <c r="F944" s="1">
        <v>2</v>
      </c>
      <c r="G944" s="1">
        <v>10</v>
      </c>
      <c r="H944" s="1">
        <v>0</v>
      </c>
      <c r="I944" s="1">
        <v>0</v>
      </c>
      <c r="J944" s="1">
        <v>2</v>
      </c>
    </row>
    <row r="945" spans="1:10" x14ac:dyDescent="0.2">
      <c r="A945" s="1">
        <v>911</v>
      </c>
      <c r="B945" s="1">
        <v>0</v>
      </c>
      <c r="C945" s="1">
        <v>17</v>
      </c>
      <c r="D945" s="1">
        <v>4</v>
      </c>
      <c r="E945" s="1">
        <v>1</v>
      </c>
      <c r="F945" s="1">
        <v>2</v>
      </c>
      <c r="G945" s="1">
        <v>10</v>
      </c>
      <c r="H945" s="1">
        <v>0</v>
      </c>
      <c r="I945" s="1">
        <v>1</v>
      </c>
      <c r="J945" s="1">
        <v>2</v>
      </c>
    </row>
    <row r="946" spans="1:10" x14ac:dyDescent="0.2">
      <c r="A946" s="1">
        <v>1233</v>
      </c>
      <c r="B946" s="1">
        <v>0</v>
      </c>
      <c r="C946" s="1">
        <v>9</v>
      </c>
      <c r="D946" s="1">
        <v>1</v>
      </c>
      <c r="E946" s="1">
        <v>2</v>
      </c>
      <c r="F946" s="1">
        <v>2</v>
      </c>
      <c r="G946" s="1">
        <v>10</v>
      </c>
      <c r="H946" s="1">
        <v>0</v>
      </c>
      <c r="I946" s="1">
        <v>1</v>
      </c>
      <c r="J946" s="1">
        <v>2</v>
      </c>
    </row>
    <row r="947" spans="1:10" x14ac:dyDescent="0.2">
      <c r="A947" s="1">
        <v>501</v>
      </c>
      <c r="B947" s="1">
        <v>0</v>
      </c>
      <c r="C947" s="1">
        <v>7</v>
      </c>
      <c r="D947" s="1">
        <v>1</v>
      </c>
      <c r="E947" s="1">
        <v>3</v>
      </c>
      <c r="F947" s="1">
        <v>3</v>
      </c>
      <c r="G947" s="1">
        <v>10</v>
      </c>
      <c r="H947" s="1">
        <v>0</v>
      </c>
      <c r="I947" s="1">
        <v>3</v>
      </c>
      <c r="J947" s="1">
        <v>2</v>
      </c>
    </row>
    <row r="948" spans="1:10" x14ac:dyDescent="0.2">
      <c r="A948" s="1">
        <v>2426</v>
      </c>
      <c r="B948" s="1">
        <v>0</v>
      </c>
      <c r="C948" s="1">
        <v>18</v>
      </c>
      <c r="D948" s="1">
        <v>5</v>
      </c>
      <c r="E948" s="1">
        <v>3</v>
      </c>
      <c r="F948" s="1">
        <v>3</v>
      </c>
      <c r="G948" s="1">
        <v>10</v>
      </c>
      <c r="H948" s="1">
        <v>0</v>
      </c>
      <c r="I948" s="1">
        <v>3</v>
      </c>
      <c r="J948" s="1">
        <v>2</v>
      </c>
    </row>
    <row r="949" spans="1:10" x14ac:dyDescent="0.2">
      <c r="A949" s="1">
        <v>1004</v>
      </c>
      <c r="B949" s="1">
        <v>0</v>
      </c>
      <c r="C949" s="1">
        <v>20</v>
      </c>
      <c r="D949" s="1">
        <v>1</v>
      </c>
      <c r="E949" s="1">
        <v>3</v>
      </c>
      <c r="F949" s="1">
        <v>3</v>
      </c>
      <c r="G949" s="1">
        <v>10</v>
      </c>
      <c r="H949" s="1">
        <v>1</v>
      </c>
      <c r="I949" s="1">
        <v>2</v>
      </c>
      <c r="J949" s="1">
        <v>2</v>
      </c>
    </row>
    <row r="950" spans="1:10" x14ac:dyDescent="0.2">
      <c r="A950" s="1">
        <v>1830</v>
      </c>
      <c r="B950" s="1">
        <v>0</v>
      </c>
      <c r="C950" s="1">
        <v>12</v>
      </c>
      <c r="D950" s="1">
        <v>5</v>
      </c>
      <c r="E950" s="1">
        <v>1</v>
      </c>
      <c r="F950" s="1">
        <v>4</v>
      </c>
      <c r="G950" s="1">
        <v>10</v>
      </c>
      <c r="H950" s="1">
        <v>1</v>
      </c>
      <c r="I950" s="1">
        <v>3</v>
      </c>
      <c r="J950" s="1">
        <v>2</v>
      </c>
    </row>
    <row r="951" spans="1:10" x14ac:dyDescent="0.2">
      <c r="A951" s="1">
        <v>675</v>
      </c>
      <c r="B951" s="1">
        <v>0</v>
      </c>
      <c r="C951" s="1">
        <v>7</v>
      </c>
      <c r="D951" s="1">
        <v>1</v>
      </c>
      <c r="E951" s="1">
        <v>2</v>
      </c>
      <c r="F951" s="1">
        <v>4</v>
      </c>
      <c r="G951" s="1">
        <v>10</v>
      </c>
      <c r="H951" s="1">
        <v>0</v>
      </c>
      <c r="I951" s="1">
        <v>3</v>
      </c>
      <c r="J951" s="1">
        <v>2</v>
      </c>
    </row>
    <row r="952" spans="1:10" x14ac:dyDescent="0.2">
      <c r="A952" s="1">
        <v>2028</v>
      </c>
      <c r="B952" s="1">
        <v>0</v>
      </c>
      <c r="C952" s="1">
        <v>11</v>
      </c>
      <c r="D952" s="1">
        <v>5</v>
      </c>
      <c r="E952" s="1">
        <v>2</v>
      </c>
      <c r="F952" s="1">
        <v>4</v>
      </c>
      <c r="G952" s="1">
        <v>10</v>
      </c>
      <c r="H952" s="1">
        <v>0</v>
      </c>
      <c r="I952" s="1">
        <v>2</v>
      </c>
      <c r="J952" s="1">
        <v>2</v>
      </c>
    </row>
    <row r="953" spans="1:10" x14ac:dyDescent="0.2">
      <c r="A953" s="1">
        <v>1745</v>
      </c>
      <c r="B953" s="1">
        <v>0</v>
      </c>
      <c r="C953" s="1">
        <v>19</v>
      </c>
      <c r="D953" s="1">
        <v>1</v>
      </c>
      <c r="E953" s="1">
        <v>2</v>
      </c>
      <c r="F953" s="1">
        <v>4</v>
      </c>
      <c r="G953" s="1">
        <v>10</v>
      </c>
      <c r="H953" s="1">
        <v>0</v>
      </c>
      <c r="I953" s="1">
        <v>0</v>
      </c>
      <c r="J953" s="1">
        <v>2</v>
      </c>
    </row>
    <row r="954" spans="1:10" x14ac:dyDescent="0.2">
      <c r="A954" s="1">
        <v>2019</v>
      </c>
      <c r="B954" s="1">
        <v>0</v>
      </c>
      <c r="C954" s="1">
        <v>18</v>
      </c>
      <c r="D954" s="1">
        <v>5</v>
      </c>
      <c r="E954" s="1">
        <v>2</v>
      </c>
      <c r="F954" s="1">
        <v>5</v>
      </c>
      <c r="G954" s="1">
        <v>10</v>
      </c>
      <c r="H954" s="1">
        <v>1</v>
      </c>
      <c r="I954" s="1">
        <v>1</v>
      </c>
      <c r="J954" s="1">
        <v>2</v>
      </c>
    </row>
    <row r="955" spans="1:10" x14ac:dyDescent="0.2">
      <c r="A955" s="1">
        <v>454</v>
      </c>
      <c r="B955" s="1">
        <v>0</v>
      </c>
      <c r="C955" s="1">
        <v>7</v>
      </c>
      <c r="D955" s="1">
        <v>3</v>
      </c>
      <c r="E955" s="1">
        <v>3</v>
      </c>
      <c r="F955" s="1">
        <v>5</v>
      </c>
      <c r="G955" s="1">
        <v>10</v>
      </c>
      <c r="H955" s="1">
        <v>0</v>
      </c>
      <c r="I955" s="1">
        <v>1</v>
      </c>
      <c r="J955" s="1">
        <v>2</v>
      </c>
    </row>
    <row r="956" spans="1:10" x14ac:dyDescent="0.2">
      <c r="A956" s="1">
        <v>1439</v>
      </c>
      <c r="B956" s="1">
        <v>0</v>
      </c>
      <c r="C956" s="1">
        <v>10</v>
      </c>
      <c r="D956" s="1">
        <v>2</v>
      </c>
      <c r="E956" s="1">
        <v>3</v>
      </c>
      <c r="F956" s="1">
        <v>5</v>
      </c>
      <c r="G956" s="1">
        <v>10</v>
      </c>
      <c r="H956" s="1">
        <v>1</v>
      </c>
      <c r="I956" s="1">
        <v>3</v>
      </c>
      <c r="J956" s="1">
        <v>2</v>
      </c>
    </row>
    <row r="957" spans="1:10" x14ac:dyDescent="0.2">
      <c r="A957" s="1">
        <v>544</v>
      </c>
      <c r="B957" s="1">
        <v>0</v>
      </c>
      <c r="C957" s="1">
        <v>15</v>
      </c>
      <c r="D957" s="1">
        <v>1</v>
      </c>
      <c r="E957" s="1">
        <v>3</v>
      </c>
      <c r="F957" s="1">
        <v>5</v>
      </c>
      <c r="G957" s="1">
        <v>10</v>
      </c>
      <c r="H957" s="1">
        <v>1</v>
      </c>
      <c r="I957" s="1">
        <v>0</v>
      </c>
      <c r="J957" s="1">
        <v>2</v>
      </c>
    </row>
    <row r="958" spans="1:10" x14ac:dyDescent="0.2">
      <c r="A958" s="1">
        <v>2230</v>
      </c>
      <c r="B958" s="1">
        <v>0</v>
      </c>
      <c r="C958" s="1">
        <v>15</v>
      </c>
      <c r="D958" s="1">
        <v>3</v>
      </c>
      <c r="E958" s="1">
        <v>3</v>
      </c>
      <c r="F958" s="1">
        <v>5</v>
      </c>
      <c r="G958" s="1">
        <v>10</v>
      </c>
      <c r="H958" s="1">
        <v>0</v>
      </c>
      <c r="I958" s="1">
        <v>3</v>
      </c>
      <c r="J958" s="1">
        <v>2</v>
      </c>
    </row>
    <row r="959" spans="1:10" x14ac:dyDescent="0.2">
      <c r="A959" s="1">
        <v>1841</v>
      </c>
      <c r="B959" s="1">
        <v>0</v>
      </c>
      <c r="C959" s="1">
        <v>14</v>
      </c>
      <c r="D959" s="1">
        <v>4</v>
      </c>
      <c r="E959" s="1">
        <v>1</v>
      </c>
      <c r="F959" s="1">
        <v>6</v>
      </c>
      <c r="G959" s="1">
        <v>10</v>
      </c>
      <c r="H959" s="1">
        <v>1</v>
      </c>
      <c r="I959" s="1">
        <v>1</v>
      </c>
      <c r="J959" s="1">
        <v>2</v>
      </c>
    </row>
    <row r="960" spans="1:10" x14ac:dyDescent="0.2">
      <c r="A960" s="1">
        <v>582</v>
      </c>
      <c r="B960" s="1">
        <v>0</v>
      </c>
      <c r="C960" s="1">
        <v>9</v>
      </c>
      <c r="D960" s="1">
        <v>3</v>
      </c>
      <c r="E960" s="1">
        <v>2</v>
      </c>
      <c r="F960" s="1">
        <v>6</v>
      </c>
      <c r="G960" s="1">
        <v>10</v>
      </c>
      <c r="H960" s="1">
        <v>0</v>
      </c>
      <c r="I960" s="1">
        <v>2</v>
      </c>
      <c r="J960" s="1">
        <v>2</v>
      </c>
    </row>
    <row r="961" spans="1:10" x14ac:dyDescent="0.2">
      <c r="A961" s="1">
        <v>1367</v>
      </c>
      <c r="B961" s="1">
        <v>0</v>
      </c>
      <c r="C961" s="1">
        <v>18</v>
      </c>
      <c r="D961" s="1">
        <v>3</v>
      </c>
      <c r="E961" s="1">
        <v>2</v>
      </c>
      <c r="F961" s="1">
        <v>6</v>
      </c>
      <c r="G961" s="1">
        <v>10</v>
      </c>
      <c r="H961" s="1">
        <v>0</v>
      </c>
      <c r="I961" s="1">
        <v>2</v>
      </c>
      <c r="J961" s="1">
        <v>2</v>
      </c>
    </row>
    <row r="962" spans="1:10" x14ac:dyDescent="0.2">
      <c r="A962" s="1">
        <v>1178</v>
      </c>
      <c r="B962" s="1">
        <v>0</v>
      </c>
      <c r="C962" s="1">
        <v>8</v>
      </c>
      <c r="D962" s="1">
        <v>4</v>
      </c>
      <c r="E962" s="1">
        <v>3</v>
      </c>
      <c r="F962" s="1">
        <v>6</v>
      </c>
      <c r="G962" s="1">
        <v>10</v>
      </c>
      <c r="H962" s="1">
        <v>0</v>
      </c>
      <c r="I962" s="1">
        <v>1</v>
      </c>
      <c r="J962" s="1">
        <v>2</v>
      </c>
    </row>
    <row r="963" spans="1:10" x14ac:dyDescent="0.2">
      <c r="A963" s="1">
        <v>502</v>
      </c>
      <c r="B963" s="1">
        <v>0</v>
      </c>
      <c r="C963" s="1">
        <v>20</v>
      </c>
      <c r="D963" s="1">
        <v>2</v>
      </c>
      <c r="E963" s="1">
        <v>3</v>
      </c>
      <c r="F963" s="1">
        <v>6</v>
      </c>
      <c r="G963" s="1">
        <v>10</v>
      </c>
      <c r="H963" s="1">
        <v>1</v>
      </c>
      <c r="I963" s="1">
        <v>0</v>
      </c>
      <c r="J963" s="1">
        <v>2</v>
      </c>
    </row>
    <row r="964" spans="1:10" x14ac:dyDescent="0.2">
      <c r="A964" s="1">
        <v>1220</v>
      </c>
      <c r="B964" s="1">
        <v>0</v>
      </c>
      <c r="C964" s="1">
        <v>6</v>
      </c>
      <c r="D964" s="1">
        <v>4</v>
      </c>
      <c r="E964" s="1">
        <v>2</v>
      </c>
      <c r="F964" s="1">
        <v>7</v>
      </c>
      <c r="G964" s="1">
        <v>10</v>
      </c>
      <c r="H964" s="1">
        <v>1</v>
      </c>
      <c r="I964" s="1">
        <v>2</v>
      </c>
      <c r="J964" s="1">
        <v>2</v>
      </c>
    </row>
    <row r="965" spans="1:10" x14ac:dyDescent="0.2">
      <c r="A965" s="1">
        <v>3</v>
      </c>
      <c r="B965" s="1">
        <v>0</v>
      </c>
      <c r="C965" s="1">
        <v>14</v>
      </c>
      <c r="D965" s="1">
        <v>1</v>
      </c>
      <c r="E965" s="1">
        <v>2</v>
      </c>
      <c r="F965" s="1">
        <v>7</v>
      </c>
      <c r="G965" s="1">
        <v>10</v>
      </c>
      <c r="H965" s="1">
        <v>1</v>
      </c>
      <c r="I965" s="1">
        <v>0</v>
      </c>
      <c r="J965" s="1">
        <v>2</v>
      </c>
    </row>
    <row r="966" spans="1:10" x14ac:dyDescent="0.2">
      <c r="A966" s="1">
        <v>1002</v>
      </c>
      <c r="B966" s="1">
        <v>0</v>
      </c>
      <c r="C966" s="1">
        <v>16</v>
      </c>
      <c r="D966" s="1">
        <v>2</v>
      </c>
      <c r="E966" s="1">
        <v>2</v>
      </c>
      <c r="F966" s="1">
        <v>7</v>
      </c>
      <c r="G966" s="1">
        <v>10</v>
      </c>
      <c r="H966" s="1">
        <v>0</v>
      </c>
      <c r="I966" s="1">
        <v>3</v>
      </c>
      <c r="J966" s="1">
        <v>2</v>
      </c>
    </row>
    <row r="967" spans="1:10" x14ac:dyDescent="0.2">
      <c r="A967" s="1">
        <v>2029</v>
      </c>
      <c r="B967" s="1">
        <v>0</v>
      </c>
      <c r="C967" s="1">
        <v>18</v>
      </c>
      <c r="D967" s="1">
        <v>3</v>
      </c>
      <c r="E967" s="1">
        <v>2</v>
      </c>
      <c r="F967" s="1">
        <v>7</v>
      </c>
      <c r="G967" s="1">
        <v>10</v>
      </c>
      <c r="H967" s="1">
        <v>0</v>
      </c>
      <c r="I967" s="1">
        <v>0</v>
      </c>
      <c r="J967" s="1">
        <v>2</v>
      </c>
    </row>
    <row r="968" spans="1:10" x14ac:dyDescent="0.2">
      <c r="A968" s="1">
        <v>1437</v>
      </c>
      <c r="B968" s="1">
        <v>0</v>
      </c>
      <c r="C968" s="1">
        <v>15</v>
      </c>
      <c r="D968" s="1">
        <v>2</v>
      </c>
      <c r="E968" s="1">
        <v>3</v>
      </c>
      <c r="F968" s="1">
        <v>7</v>
      </c>
      <c r="G968" s="1">
        <v>10</v>
      </c>
      <c r="H968" s="1">
        <v>1</v>
      </c>
      <c r="I968" s="1">
        <v>0</v>
      </c>
      <c r="J968" s="1">
        <v>2</v>
      </c>
    </row>
    <row r="969" spans="1:10" x14ac:dyDescent="0.2">
      <c r="A969" s="1">
        <v>1945</v>
      </c>
      <c r="B969" s="1">
        <v>0</v>
      </c>
      <c r="C969" s="1">
        <v>19</v>
      </c>
      <c r="D969" s="1">
        <v>1</v>
      </c>
      <c r="E969" s="1">
        <v>3</v>
      </c>
      <c r="F969" s="1">
        <v>7</v>
      </c>
      <c r="G969" s="1">
        <v>10</v>
      </c>
      <c r="H969" s="1">
        <v>1</v>
      </c>
      <c r="I969" s="1">
        <v>0</v>
      </c>
      <c r="J969" s="1">
        <v>2</v>
      </c>
    </row>
    <row r="970" spans="1:10" x14ac:dyDescent="0.2">
      <c r="A970" s="1">
        <v>2492</v>
      </c>
      <c r="B970" s="1">
        <v>0</v>
      </c>
      <c r="C970" s="1">
        <v>8</v>
      </c>
      <c r="D970" s="1">
        <v>5</v>
      </c>
      <c r="E970" s="1">
        <v>2</v>
      </c>
      <c r="F970" s="1">
        <v>8</v>
      </c>
      <c r="G970" s="1">
        <v>10</v>
      </c>
      <c r="H970" s="1">
        <v>1</v>
      </c>
      <c r="I970" s="1">
        <v>2</v>
      </c>
      <c r="J970" s="1">
        <v>2</v>
      </c>
    </row>
    <row r="971" spans="1:10" x14ac:dyDescent="0.2">
      <c r="A971" s="1">
        <v>131</v>
      </c>
      <c r="B971" s="1">
        <v>0</v>
      </c>
      <c r="C971" s="1">
        <v>15</v>
      </c>
      <c r="D971" s="1">
        <v>1</v>
      </c>
      <c r="E971" s="1">
        <v>3</v>
      </c>
      <c r="F971" s="1">
        <v>8</v>
      </c>
      <c r="G971" s="1">
        <v>10</v>
      </c>
      <c r="H971" s="1">
        <v>0</v>
      </c>
      <c r="I971" s="1">
        <v>2</v>
      </c>
      <c r="J971" s="1">
        <v>2</v>
      </c>
    </row>
    <row r="972" spans="1:10" x14ac:dyDescent="0.2">
      <c r="A972" s="1">
        <v>755</v>
      </c>
      <c r="B972" s="1">
        <v>0</v>
      </c>
      <c r="C972" s="1">
        <v>12</v>
      </c>
      <c r="D972" s="1">
        <v>2</v>
      </c>
      <c r="E972" s="1">
        <v>3</v>
      </c>
      <c r="F972" s="1">
        <v>9</v>
      </c>
      <c r="G972" s="1">
        <v>10</v>
      </c>
      <c r="H972" s="1">
        <v>0</v>
      </c>
      <c r="I972" s="1">
        <v>0</v>
      </c>
      <c r="J972" s="1">
        <v>2</v>
      </c>
    </row>
    <row r="973" spans="1:10" x14ac:dyDescent="0.2">
      <c r="A973" s="1">
        <v>2445</v>
      </c>
      <c r="B973" s="1">
        <v>0</v>
      </c>
      <c r="C973" s="1">
        <v>15</v>
      </c>
      <c r="D973" s="1">
        <v>5</v>
      </c>
      <c r="E973" s="1">
        <v>3</v>
      </c>
      <c r="F973" s="1">
        <v>9</v>
      </c>
      <c r="G973" s="1">
        <v>10</v>
      </c>
      <c r="H973" s="1">
        <v>0</v>
      </c>
      <c r="I973" s="1">
        <v>0</v>
      </c>
      <c r="J973" s="1">
        <v>2</v>
      </c>
    </row>
    <row r="974" spans="1:10" x14ac:dyDescent="0.2">
      <c r="A974" s="1">
        <v>2133</v>
      </c>
      <c r="B974" s="1">
        <v>0</v>
      </c>
      <c r="C974" s="1">
        <v>5</v>
      </c>
      <c r="D974" s="1">
        <v>1</v>
      </c>
      <c r="E974" s="1">
        <v>3</v>
      </c>
      <c r="F974" s="1">
        <v>10</v>
      </c>
      <c r="G974" s="1">
        <v>10</v>
      </c>
      <c r="H974" s="1">
        <v>1</v>
      </c>
      <c r="I974" s="1">
        <v>3</v>
      </c>
      <c r="J974" s="1">
        <v>2</v>
      </c>
    </row>
    <row r="975" spans="1:10" x14ac:dyDescent="0.2">
      <c r="A975" s="1">
        <v>581</v>
      </c>
      <c r="B975" s="1">
        <v>0</v>
      </c>
      <c r="C975" s="1">
        <v>8</v>
      </c>
      <c r="D975" s="1">
        <v>4</v>
      </c>
      <c r="E975" s="1">
        <v>3</v>
      </c>
      <c r="F975" s="1">
        <v>10</v>
      </c>
      <c r="G975" s="1">
        <v>10</v>
      </c>
      <c r="H975" s="1">
        <v>1</v>
      </c>
      <c r="I975" s="1">
        <v>2</v>
      </c>
      <c r="J975" s="1">
        <v>2</v>
      </c>
    </row>
    <row r="976" spans="1:10" x14ac:dyDescent="0.2">
      <c r="A976" s="1">
        <v>1394</v>
      </c>
      <c r="B976" s="1">
        <v>0</v>
      </c>
      <c r="C976" s="1">
        <v>14</v>
      </c>
      <c r="D976" s="1">
        <v>1</v>
      </c>
      <c r="E976" s="1">
        <v>3</v>
      </c>
      <c r="F976" s="1">
        <v>1</v>
      </c>
      <c r="G976" s="1">
        <v>1</v>
      </c>
      <c r="H976" s="1">
        <v>1</v>
      </c>
      <c r="I976" s="1">
        <v>1</v>
      </c>
      <c r="J976" s="1">
        <v>3</v>
      </c>
    </row>
    <row r="977" spans="1:10" x14ac:dyDescent="0.2">
      <c r="A977" s="1">
        <v>804</v>
      </c>
      <c r="B977" s="1">
        <v>0</v>
      </c>
      <c r="C977" s="1">
        <v>18</v>
      </c>
      <c r="D977" s="1">
        <v>2</v>
      </c>
      <c r="E977" s="1">
        <v>1</v>
      </c>
      <c r="F977" s="1">
        <v>2</v>
      </c>
      <c r="G977" s="1">
        <v>1</v>
      </c>
      <c r="H977" s="1">
        <v>0</v>
      </c>
      <c r="I977" s="1">
        <v>1</v>
      </c>
      <c r="J977" s="1">
        <v>3</v>
      </c>
    </row>
    <row r="978" spans="1:10" x14ac:dyDescent="0.2">
      <c r="A978" s="1">
        <v>1349</v>
      </c>
      <c r="B978" s="1">
        <v>0</v>
      </c>
      <c r="C978" s="1">
        <v>14</v>
      </c>
      <c r="D978" s="1">
        <v>2</v>
      </c>
      <c r="E978" s="1">
        <v>2</v>
      </c>
      <c r="F978" s="1">
        <v>2</v>
      </c>
      <c r="G978" s="1">
        <v>1</v>
      </c>
      <c r="H978" s="1">
        <v>0</v>
      </c>
      <c r="I978" s="1">
        <v>3</v>
      </c>
      <c r="J978" s="1">
        <v>3</v>
      </c>
    </row>
    <row r="979" spans="1:10" x14ac:dyDescent="0.2">
      <c r="A979" s="1">
        <v>646</v>
      </c>
      <c r="B979" s="1">
        <v>0</v>
      </c>
      <c r="C979" s="1">
        <v>15</v>
      </c>
      <c r="D979" s="1">
        <v>2</v>
      </c>
      <c r="E979" s="1">
        <v>2</v>
      </c>
      <c r="F979" s="1">
        <v>2</v>
      </c>
      <c r="G979" s="1">
        <v>1</v>
      </c>
      <c r="H979" s="1">
        <v>1</v>
      </c>
      <c r="I979" s="1">
        <v>0</v>
      </c>
      <c r="J979" s="1">
        <v>3</v>
      </c>
    </row>
    <row r="980" spans="1:10" x14ac:dyDescent="0.2">
      <c r="A980" s="1">
        <v>1295</v>
      </c>
      <c r="B980" s="1">
        <v>0</v>
      </c>
      <c r="C980" s="1">
        <v>11</v>
      </c>
      <c r="D980" s="1">
        <v>3</v>
      </c>
      <c r="E980" s="1">
        <v>2</v>
      </c>
      <c r="F980" s="1">
        <v>3</v>
      </c>
      <c r="G980" s="1">
        <v>1</v>
      </c>
      <c r="H980" s="1">
        <v>0</v>
      </c>
      <c r="I980" s="1">
        <v>3</v>
      </c>
      <c r="J980" s="1">
        <v>3</v>
      </c>
    </row>
    <row r="981" spans="1:10" x14ac:dyDescent="0.2">
      <c r="A981" s="1">
        <v>2433</v>
      </c>
      <c r="B981" s="1">
        <v>0</v>
      </c>
      <c r="C981" s="1">
        <v>13</v>
      </c>
      <c r="D981" s="1">
        <v>1</v>
      </c>
      <c r="E981" s="1">
        <v>2</v>
      </c>
      <c r="F981" s="1">
        <v>3</v>
      </c>
      <c r="G981" s="1">
        <v>1</v>
      </c>
      <c r="H981" s="1">
        <v>0</v>
      </c>
      <c r="I981" s="1">
        <v>2</v>
      </c>
      <c r="J981" s="1">
        <v>3</v>
      </c>
    </row>
    <row r="982" spans="1:10" x14ac:dyDescent="0.2">
      <c r="A982" s="1">
        <v>1292</v>
      </c>
      <c r="B982" s="1">
        <v>0</v>
      </c>
      <c r="C982" s="1">
        <v>17</v>
      </c>
      <c r="D982" s="1">
        <v>3</v>
      </c>
      <c r="E982" s="1">
        <v>2</v>
      </c>
      <c r="F982" s="1">
        <v>3</v>
      </c>
      <c r="G982" s="1">
        <v>1</v>
      </c>
      <c r="H982" s="1">
        <v>0</v>
      </c>
      <c r="I982" s="1">
        <v>1</v>
      </c>
      <c r="J982" s="1">
        <v>3</v>
      </c>
    </row>
    <row r="983" spans="1:10" x14ac:dyDescent="0.2">
      <c r="A983" s="1">
        <v>1621</v>
      </c>
      <c r="B983" s="1">
        <v>0</v>
      </c>
      <c r="C983" s="1">
        <v>18</v>
      </c>
      <c r="D983" s="1">
        <v>1</v>
      </c>
      <c r="E983" s="1">
        <v>3</v>
      </c>
      <c r="F983" s="1">
        <v>3</v>
      </c>
      <c r="G983" s="1">
        <v>1</v>
      </c>
      <c r="H983" s="1">
        <v>0</v>
      </c>
      <c r="I983" s="1">
        <v>0</v>
      </c>
      <c r="J983" s="1">
        <v>3</v>
      </c>
    </row>
    <row r="984" spans="1:10" x14ac:dyDescent="0.2">
      <c r="A984" s="1">
        <v>1755</v>
      </c>
      <c r="B984" s="1">
        <v>0</v>
      </c>
      <c r="C984" s="1">
        <v>14</v>
      </c>
      <c r="D984" s="1">
        <v>3</v>
      </c>
      <c r="E984" s="1">
        <v>1</v>
      </c>
      <c r="F984" s="1">
        <v>4</v>
      </c>
      <c r="G984" s="1">
        <v>1</v>
      </c>
      <c r="H984" s="1">
        <v>1</v>
      </c>
      <c r="I984" s="1">
        <v>2</v>
      </c>
      <c r="J984" s="1">
        <v>3</v>
      </c>
    </row>
    <row r="985" spans="1:10" x14ac:dyDescent="0.2">
      <c r="A985" s="1">
        <v>1895</v>
      </c>
      <c r="B985" s="1">
        <v>0</v>
      </c>
      <c r="C985" s="1">
        <v>19</v>
      </c>
      <c r="D985" s="1">
        <v>5</v>
      </c>
      <c r="E985" s="1">
        <v>1</v>
      </c>
      <c r="F985" s="1">
        <v>4</v>
      </c>
      <c r="G985" s="1">
        <v>1</v>
      </c>
      <c r="H985" s="1">
        <v>0</v>
      </c>
      <c r="I985" s="1">
        <v>1</v>
      </c>
      <c r="J985" s="1">
        <v>3</v>
      </c>
    </row>
    <row r="986" spans="1:10" x14ac:dyDescent="0.2">
      <c r="A986" s="1">
        <v>775</v>
      </c>
      <c r="B986" s="1">
        <v>0</v>
      </c>
      <c r="C986" s="1">
        <v>10</v>
      </c>
      <c r="D986" s="1">
        <v>2</v>
      </c>
      <c r="E986" s="1">
        <v>2</v>
      </c>
      <c r="F986" s="1">
        <v>4</v>
      </c>
      <c r="G986" s="1">
        <v>1</v>
      </c>
      <c r="H986" s="1">
        <v>0</v>
      </c>
      <c r="I986" s="1">
        <v>2</v>
      </c>
      <c r="J986" s="1">
        <v>3</v>
      </c>
    </row>
    <row r="987" spans="1:10" x14ac:dyDescent="0.2">
      <c r="A987" s="1">
        <v>2014</v>
      </c>
      <c r="B987" s="1">
        <v>0</v>
      </c>
      <c r="C987" s="1">
        <v>15</v>
      </c>
      <c r="D987" s="1">
        <v>5</v>
      </c>
      <c r="E987" s="1">
        <v>3</v>
      </c>
      <c r="F987" s="1">
        <v>4</v>
      </c>
      <c r="G987" s="1">
        <v>1</v>
      </c>
      <c r="H987" s="1">
        <v>0</v>
      </c>
      <c r="I987" s="1">
        <v>1</v>
      </c>
      <c r="J987" s="1">
        <v>3</v>
      </c>
    </row>
    <row r="988" spans="1:10" x14ac:dyDescent="0.2">
      <c r="A988" s="1">
        <v>1286</v>
      </c>
      <c r="B988" s="1">
        <v>0</v>
      </c>
      <c r="C988" s="1">
        <v>20</v>
      </c>
      <c r="D988" s="1">
        <v>2</v>
      </c>
      <c r="E988" s="1">
        <v>3</v>
      </c>
      <c r="F988" s="1">
        <v>4</v>
      </c>
      <c r="G988" s="1">
        <v>1</v>
      </c>
      <c r="H988" s="1">
        <v>1</v>
      </c>
      <c r="I988" s="1">
        <v>0</v>
      </c>
      <c r="J988" s="1">
        <v>3</v>
      </c>
    </row>
    <row r="989" spans="1:10" x14ac:dyDescent="0.2">
      <c r="A989" s="1">
        <v>1434</v>
      </c>
      <c r="B989" s="1">
        <v>0</v>
      </c>
      <c r="C989" s="1">
        <v>6</v>
      </c>
      <c r="D989" s="1">
        <v>4</v>
      </c>
      <c r="E989" s="1">
        <v>1</v>
      </c>
      <c r="F989" s="1">
        <v>5</v>
      </c>
      <c r="G989" s="1">
        <v>1</v>
      </c>
      <c r="H989" s="1">
        <v>0</v>
      </c>
      <c r="I989" s="1">
        <v>1</v>
      </c>
      <c r="J989" s="1">
        <v>3</v>
      </c>
    </row>
    <row r="990" spans="1:10" x14ac:dyDescent="0.2">
      <c r="A990" s="1">
        <v>388</v>
      </c>
      <c r="B990" s="1">
        <v>0</v>
      </c>
      <c r="C990" s="1">
        <v>5</v>
      </c>
      <c r="D990" s="1">
        <v>1</v>
      </c>
      <c r="E990" s="1">
        <v>2</v>
      </c>
      <c r="F990" s="1">
        <v>5</v>
      </c>
      <c r="G990" s="1">
        <v>1</v>
      </c>
      <c r="H990" s="1">
        <v>1</v>
      </c>
      <c r="I990" s="1">
        <v>1</v>
      </c>
      <c r="J990" s="1">
        <v>3</v>
      </c>
    </row>
    <row r="991" spans="1:10" x14ac:dyDescent="0.2">
      <c r="A991" s="1">
        <v>2136</v>
      </c>
      <c r="B991" s="1">
        <v>0</v>
      </c>
      <c r="C991" s="1">
        <v>9</v>
      </c>
      <c r="D991" s="1">
        <v>4</v>
      </c>
      <c r="E991" s="1">
        <v>2</v>
      </c>
      <c r="F991" s="1">
        <v>5</v>
      </c>
      <c r="G991" s="1">
        <v>1</v>
      </c>
      <c r="H991" s="1">
        <v>0</v>
      </c>
      <c r="I991" s="1">
        <v>2</v>
      </c>
      <c r="J991" s="1">
        <v>3</v>
      </c>
    </row>
    <row r="992" spans="1:10" x14ac:dyDescent="0.2">
      <c r="A992" s="1">
        <v>2495</v>
      </c>
      <c r="B992" s="1">
        <v>0</v>
      </c>
      <c r="C992" s="1">
        <v>11</v>
      </c>
      <c r="D992" s="1">
        <v>5</v>
      </c>
      <c r="E992" s="1">
        <v>2</v>
      </c>
      <c r="F992" s="1">
        <v>5</v>
      </c>
      <c r="G992" s="1">
        <v>1</v>
      </c>
      <c r="H992" s="1">
        <v>1</v>
      </c>
      <c r="I992" s="1">
        <v>2</v>
      </c>
      <c r="J992" s="1">
        <v>3</v>
      </c>
    </row>
    <row r="993" spans="1:10" x14ac:dyDescent="0.2">
      <c r="A993" s="1">
        <v>2459</v>
      </c>
      <c r="B993" s="1">
        <v>0</v>
      </c>
      <c r="C993" s="1">
        <v>7</v>
      </c>
      <c r="D993" s="1">
        <v>1</v>
      </c>
      <c r="E993" s="1">
        <v>3</v>
      </c>
      <c r="F993" s="1">
        <v>5</v>
      </c>
      <c r="G993" s="1">
        <v>1</v>
      </c>
      <c r="H993" s="1">
        <v>1</v>
      </c>
      <c r="I993" s="1">
        <v>3</v>
      </c>
      <c r="J993" s="1">
        <v>3</v>
      </c>
    </row>
    <row r="994" spans="1:10" x14ac:dyDescent="0.2">
      <c r="A994" s="1">
        <v>1254</v>
      </c>
      <c r="B994" s="1">
        <v>0</v>
      </c>
      <c r="C994" s="1">
        <v>13</v>
      </c>
      <c r="D994" s="1">
        <v>4</v>
      </c>
      <c r="E994" s="1">
        <v>2</v>
      </c>
      <c r="F994" s="1">
        <v>6</v>
      </c>
      <c r="G994" s="1">
        <v>1</v>
      </c>
      <c r="H994" s="1">
        <v>0</v>
      </c>
      <c r="I994" s="1">
        <v>2</v>
      </c>
      <c r="J994" s="1">
        <v>3</v>
      </c>
    </row>
    <row r="995" spans="1:10" x14ac:dyDescent="0.2">
      <c r="A995" s="1">
        <v>2169</v>
      </c>
      <c r="B995" s="1">
        <v>0</v>
      </c>
      <c r="C995" s="1">
        <v>17</v>
      </c>
      <c r="D995" s="1">
        <v>2</v>
      </c>
      <c r="E995" s="1">
        <v>2</v>
      </c>
      <c r="F995" s="1">
        <v>6</v>
      </c>
      <c r="G995" s="1">
        <v>1</v>
      </c>
      <c r="H995" s="1">
        <v>0</v>
      </c>
      <c r="I995" s="1">
        <v>0</v>
      </c>
      <c r="J995" s="1">
        <v>3</v>
      </c>
    </row>
    <row r="996" spans="1:10" x14ac:dyDescent="0.2">
      <c r="A996" s="1">
        <v>1994</v>
      </c>
      <c r="B996" s="1">
        <v>0</v>
      </c>
      <c r="C996" s="1">
        <v>7</v>
      </c>
      <c r="D996" s="1">
        <v>3</v>
      </c>
      <c r="E996" s="1">
        <v>3</v>
      </c>
      <c r="F996" s="1">
        <v>6</v>
      </c>
      <c r="G996" s="1">
        <v>1</v>
      </c>
      <c r="H996" s="1">
        <v>0</v>
      </c>
      <c r="I996" s="1">
        <v>2</v>
      </c>
      <c r="J996" s="1">
        <v>3</v>
      </c>
    </row>
    <row r="997" spans="1:10" x14ac:dyDescent="0.2">
      <c r="A997" s="1">
        <v>1802</v>
      </c>
      <c r="B997" s="1">
        <v>0</v>
      </c>
      <c r="C997" s="1">
        <v>11</v>
      </c>
      <c r="D997" s="1">
        <v>5</v>
      </c>
      <c r="E997" s="1">
        <v>3</v>
      </c>
      <c r="F997" s="1">
        <v>6</v>
      </c>
      <c r="G997" s="1">
        <v>1</v>
      </c>
      <c r="H997" s="1">
        <v>0</v>
      </c>
      <c r="I997" s="1">
        <v>1</v>
      </c>
      <c r="J997" s="1">
        <v>3</v>
      </c>
    </row>
    <row r="998" spans="1:10" x14ac:dyDescent="0.2">
      <c r="A998" s="1">
        <v>326</v>
      </c>
      <c r="B998" s="1">
        <v>0</v>
      </c>
      <c r="C998" s="1">
        <v>14</v>
      </c>
      <c r="D998" s="1">
        <v>4</v>
      </c>
      <c r="E998" s="1">
        <v>3</v>
      </c>
      <c r="F998" s="1">
        <v>6</v>
      </c>
      <c r="G998" s="1">
        <v>1</v>
      </c>
      <c r="H998" s="1">
        <v>0</v>
      </c>
      <c r="I998" s="1">
        <v>1</v>
      </c>
      <c r="J998" s="1">
        <v>3</v>
      </c>
    </row>
    <row r="999" spans="1:10" x14ac:dyDescent="0.2">
      <c r="A999" s="1">
        <v>1452</v>
      </c>
      <c r="B999" s="1">
        <v>0</v>
      </c>
      <c r="C999" s="1">
        <v>18</v>
      </c>
      <c r="D999" s="1">
        <v>1</v>
      </c>
      <c r="E999" s="1">
        <v>3</v>
      </c>
      <c r="F999" s="1">
        <v>6</v>
      </c>
      <c r="G999" s="1">
        <v>1</v>
      </c>
      <c r="H999" s="1">
        <v>0</v>
      </c>
      <c r="I999" s="1">
        <v>0</v>
      </c>
      <c r="J999" s="1">
        <v>3</v>
      </c>
    </row>
    <row r="1000" spans="1:10" x14ac:dyDescent="0.2">
      <c r="A1000" s="1">
        <v>645</v>
      </c>
      <c r="B1000" s="1">
        <v>0</v>
      </c>
      <c r="C1000" s="1">
        <v>7</v>
      </c>
      <c r="D1000" s="1">
        <v>3</v>
      </c>
      <c r="E1000" s="1">
        <v>2</v>
      </c>
      <c r="F1000" s="1">
        <v>7</v>
      </c>
      <c r="G1000" s="1">
        <v>1</v>
      </c>
      <c r="H1000" s="1">
        <v>0</v>
      </c>
      <c r="I1000" s="1">
        <v>0</v>
      </c>
      <c r="J1000" s="1">
        <v>3</v>
      </c>
    </row>
    <row r="1001" spans="1:10" x14ac:dyDescent="0.2">
      <c r="A1001" s="1">
        <v>1090</v>
      </c>
      <c r="B1001" s="1">
        <v>0</v>
      </c>
      <c r="C1001" s="1">
        <v>13</v>
      </c>
      <c r="D1001" s="1">
        <v>2</v>
      </c>
      <c r="E1001" s="1">
        <v>2</v>
      </c>
      <c r="F1001" s="1">
        <v>7</v>
      </c>
      <c r="G1001" s="1">
        <v>1</v>
      </c>
      <c r="H1001" s="1">
        <v>0</v>
      </c>
      <c r="I1001" s="1">
        <v>0</v>
      </c>
      <c r="J1001" s="1">
        <v>3</v>
      </c>
    </row>
    <row r="1002" spans="1:10" x14ac:dyDescent="0.2">
      <c r="A1002" s="1">
        <v>1758</v>
      </c>
      <c r="B1002" s="1">
        <v>0</v>
      </c>
      <c r="C1002" s="1">
        <v>12</v>
      </c>
      <c r="D1002" s="1">
        <v>1</v>
      </c>
      <c r="E1002" s="1">
        <v>3</v>
      </c>
      <c r="F1002" s="1">
        <v>7</v>
      </c>
      <c r="G1002" s="1">
        <v>1</v>
      </c>
      <c r="H1002" s="1">
        <v>0</v>
      </c>
      <c r="I1002" s="1">
        <v>1</v>
      </c>
      <c r="J1002" s="1">
        <v>3</v>
      </c>
    </row>
    <row r="1003" spans="1:10" x14ac:dyDescent="0.2">
      <c r="A1003" s="1">
        <v>1524</v>
      </c>
      <c r="B1003" s="1">
        <v>0</v>
      </c>
      <c r="C1003" s="1">
        <v>20</v>
      </c>
      <c r="D1003" s="1">
        <v>5</v>
      </c>
      <c r="E1003" s="1">
        <v>1</v>
      </c>
      <c r="F1003" s="1">
        <v>8</v>
      </c>
      <c r="G1003" s="1">
        <v>1</v>
      </c>
      <c r="H1003" s="1">
        <v>0</v>
      </c>
      <c r="I1003" s="1">
        <v>3</v>
      </c>
      <c r="J1003" s="1">
        <v>3</v>
      </c>
    </row>
    <row r="1004" spans="1:10" x14ac:dyDescent="0.2">
      <c r="A1004" s="1">
        <v>580</v>
      </c>
      <c r="B1004" s="1">
        <v>0</v>
      </c>
      <c r="C1004" s="1">
        <v>13</v>
      </c>
      <c r="D1004" s="1">
        <v>5</v>
      </c>
      <c r="E1004" s="1">
        <v>2</v>
      </c>
      <c r="F1004" s="1">
        <v>8</v>
      </c>
      <c r="G1004" s="1">
        <v>1</v>
      </c>
      <c r="H1004" s="1">
        <v>0</v>
      </c>
      <c r="I1004" s="1">
        <v>0</v>
      </c>
      <c r="J1004" s="1">
        <v>3</v>
      </c>
    </row>
    <row r="1005" spans="1:10" x14ac:dyDescent="0.2">
      <c r="A1005" s="1">
        <v>1013</v>
      </c>
      <c r="B1005" s="1">
        <v>0</v>
      </c>
      <c r="C1005" s="1">
        <v>13</v>
      </c>
      <c r="D1005" s="1">
        <v>2</v>
      </c>
      <c r="E1005" s="1">
        <v>2</v>
      </c>
      <c r="F1005" s="1">
        <v>8</v>
      </c>
      <c r="G1005" s="1">
        <v>1</v>
      </c>
      <c r="H1005" s="1">
        <v>1</v>
      </c>
      <c r="I1005" s="1">
        <v>2</v>
      </c>
      <c r="J1005" s="1">
        <v>3</v>
      </c>
    </row>
    <row r="1006" spans="1:10" x14ac:dyDescent="0.2">
      <c r="A1006" s="1">
        <v>1479</v>
      </c>
      <c r="B1006" s="1">
        <v>0</v>
      </c>
      <c r="C1006" s="1">
        <v>9</v>
      </c>
      <c r="D1006" s="1">
        <v>1</v>
      </c>
      <c r="E1006" s="1">
        <v>3</v>
      </c>
      <c r="F1006" s="1">
        <v>8</v>
      </c>
      <c r="G1006" s="1">
        <v>1</v>
      </c>
      <c r="H1006" s="1">
        <v>1</v>
      </c>
      <c r="I1006" s="1">
        <v>3</v>
      </c>
      <c r="J1006" s="1">
        <v>3</v>
      </c>
    </row>
    <row r="1007" spans="1:10" x14ac:dyDescent="0.2">
      <c r="A1007" s="1">
        <v>1543</v>
      </c>
      <c r="B1007" s="1">
        <v>0</v>
      </c>
      <c r="C1007" s="1">
        <v>13</v>
      </c>
      <c r="D1007" s="1">
        <v>1</v>
      </c>
      <c r="E1007" s="1">
        <v>1</v>
      </c>
      <c r="F1007" s="1">
        <v>9</v>
      </c>
      <c r="G1007" s="1">
        <v>1</v>
      </c>
      <c r="H1007" s="1">
        <v>1</v>
      </c>
      <c r="I1007" s="1">
        <v>2</v>
      </c>
      <c r="J1007" s="1">
        <v>3</v>
      </c>
    </row>
    <row r="1008" spans="1:10" x14ac:dyDescent="0.2">
      <c r="A1008" s="1">
        <v>41</v>
      </c>
      <c r="B1008" s="1">
        <v>0</v>
      </c>
      <c r="C1008" s="1">
        <v>16</v>
      </c>
      <c r="D1008" s="1">
        <v>1</v>
      </c>
      <c r="E1008" s="1">
        <v>2</v>
      </c>
      <c r="F1008" s="1">
        <v>9</v>
      </c>
      <c r="G1008" s="1">
        <v>1</v>
      </c>
      <c r="H1008" s="1">
        <v>1</v>
      </c>
      <c r="I1008" s="1">
        <v>0</v>
      </c>
      <c r="J1008" s="1">
        <v>3</v>
      </c>
    </row>
    <row r="1009" spans="1:10" x14ac:dyDescent="0.2">
      <c r="A1009" s="1">
        <v>2172</v>
      </c>
      <c r="B1009" s="1">
        <v>0</v>
      </c>
      <c r="C1009" s="1">
        <v>5</v>
      </c>
      <c r="D1009" s="1">
        <v>2</v>
      </c>
      <c r="E1009" s="1">
        <v>3</v>
      </c>
      <c r="F1009" s="1">
        <v>9</v>
      </c>
      <c r="G1009" s="1">
        <v>1</v>
      </c>
      <c r="H1009" s="1">
        <v>1</v>
      </c>
      <c r="I1009" s="1">
        <v>1</v>
      </c>
      <c r="J1009" s="1">
        <v>3</v>
      </c>
    </row>
    <row r="1010" spans="1:10" x14ac:dyDescent="0.2">
      <c r="A1010" s="1">
        <v>1888</v>
      </c>
      <c r="B1010" s="1">
        <v>0</v>
      </c>
      <c r="C1010" s="1">
        <v>6</v>
      </c>
      <c r="D1010" s="1">
        <v>4</v>
      </c>
      <c r="E1010" s="1">
        <v>3</v>
      </c>
      <c r="F1010" s="1">
        <v>9</v>
      </c>
      <c r="G1010" s="1">
        <v>1</v>
      </c>
      <c r="H1010" s="1">
        <v>0</v>
      </c>
      <c r="I1010" s="1">
        <v>0</v>
      </c>
      <c r="J1010" s="1">
        <v>3</v>
      </c>
    </row>
    <row r="1011" spans="1:10" x14ac:dyDescent="0.2">
      <c r="A1011" s="1">
        <v>1176</v>
      </c>
      <c r="B1011" s="1">
        <v>0</v>
      </c>
      <c r="C1011" s="1">
        <v>15</v>
      </c>
      <c r="D1011" s="1">
        <v>2</v>
      </c>
      <c r="E1011" s="1">
        <v>1</v>
      </c>
      <c r="F1011" s="1">
        <v>10</v>
      </c>
      <c r="G1011" s="1">
        <v>1</v>
      </c>
      <c r="H1011" s="1">
        <v>0</v>
      </c>
      <c r="I1011" s="1">
        <v>0</v>
      </c>
      <c r="J1011" s="1">
        <v>3</v>
      </c>
    </row>
    <row r="1012" spans="1:10" x14ac:dyDescent="0.2">
      <c r="A1012" s="1">
        <v>1421</v>
      </c>
      <c r="B1012" s="1">
        <v>0</v>
      </c>
      <c r="C1012" s="1">
        <v>19</v>
      </c>
      <c r="D1012" s="1">
        <v>5</v>
      </c>
      <c r="E1012" s="1">
        <v>1</v>
      </c>
      <c r="F1012" s="1">
        <v>10</v>
      </c>
      <c r="G1012" s="1">
        <v>1</v>
      </c>
      <c r="H1012" s="1">
        <v>1</v>
      </c>
      <c r="I1012" s="1">
        <v>0</v>
      </c>
      <c r="J1012" s="1">
        <v>3</v>
      </c>
    </row>
    <row r="1013" spans="1:10" x14ac:dyDescent="0.2">
      <c r="A1013" s="1">
        <v>1489</v>
      </c>
      <c r="B1013" s="1">
        <v>0</v>
      </c>
      <c r="C1013" s="1">
        <v>6</v>
      </c>
      <c r="D1013" s="1">
        <v>4</v>
      </c>
      <c r="E1013" s="1">
        <v>2</v>
      </c>
      <c r="F1013" s="1">
        <v>10</v>
      </c>
      <c r="G1013" s="1">
        <v>1</v>
      </c>
      <c r="H1013" s="1">
        <v>0</v>
      </c>
      <c r="I1013" s="1">
        <v>3</v>
      </c>
      <c r="J1013" s="1">
        <v>3</v>
      </c>
    </row>
    <row r="1014" spans="1:10" x14ac:dyDescent="0.2">
      <c r="A1014" s="1">
        <v>2394</v>
      </c>
      <c r="B1014" s="1">
        <v>0</v>
      </c>
      <c r="C1014" s="1">
        <v>8</v>
      </c>
      <c r="D1014" s="1">
        <v>3</v>
      </c>
      <c r="E1014" s="1">
        <v>2</v>
      </c>
      <c r="F1014" s="1">
        <v>10</v>
      </c>
      <c r="G1014" s="1">
        <v>1</v>
      </c>
      <c r="H1014" s="1">
        <v>0</v>
      </c>
      <c r="I1014" s="1">
        <v>3</v>
      </c>
      <c r="J1014" s="1">
        <v>3</v>
      </c>
    </row>
    <row r="1015" spans="1:10" x14ac:dyDescent="0.2">
      <c r="A1015" s="1">
        <v>2462</v>
      </c>
      <c r="B1015" s="1">
        <v>0</v>
      </c>
      <c r="C1015" s="1">
        <v>6</v>
      </c>
      <c r="D1015" s="1">
        <v>2</v>
      </c>
      <c r="E1015" s="1">
        <v>1</v>
      </c>
      <c r="F1015" s="1">
        <v>1</v>
      </c>
      <c r="G1015" s="1">
        <v>2</v>
      </c>
      <c r="H1015" s="1">
        <v>0</v>
      </c>
      <c r="I1015" s="1">
        <v>3</v>
      </c>
      <c r="J1015" s="1">
        <v>3</v>
      </c>
    </row>
    <row r="1016" spans="1:10" x14ac:dyDescent="0.2">
      <c r="A1016" s="1">
        <v>805</v>
      </c>
      <c r="B1016" s="1">
        <v>0</v>
      </c>
      <c r="C1016" s="1">
        <v>6</v>
      </c>
      <c r="D1016" s="1">
        <v>1</v>
      </c>
      <c r="E1016" s="1">
        <v>2</v>
      </c>
      <c r="F1016" s="1">
        <v>1</v>
      </c>
      <c r="G1016" s="1">
        <v>2</v>
      </c>
      <c r="H1016" s="1">
        <v>0</v>
      </c>
      <c r="I1016" s="1">
        <v>0</v>
      </c>
      <c r="J1016" s="1">
        <v>3</v>
      </c>
    </row>
    <row r="1017" spans="1:10" x14ac:dyDescent="0.2">
      <c r="A1017" s="1">
        <v>748</v>
      </c>
      <c r="B1017" s="1">
        <v>0</v>
      </c>
      <c r="C1017" s="1">
        <v>18</v>
      </c>
      <c r="D1017" s="1">
        <v>4</v>
      </c>
      <c r="E1017" s="1">
        <v>2</v>
      </c>
      <c r="F1017" s="1">
        <v>1</v>
      </c>
      <c r="G1017" s="1">
        <v>2</v>
      </c>
      <c r="H1017" s="1">
        <v>1</v>
      </c>
      <c r="I1017" s="1">
        <v>2</v>
      </c>
      <c r="J1017" s="1">
        <v>3</v>
      </c>
    </row>
    <row r="1018" spans="1:10" x14ac:dyDescent="0.2">
      <c r="A1018" s="1">
        <v>81</v>
      </c>
      <c r="B1018" s="1">
        <v>0</v>
      </c>
      <c r="C1018" s="1">
        <v>13</v>
      </c>
      <c r="D1018" s="1">
        <v>4</v>
      </c>
      <c r="E1018" s="1">
        <v>3</v>
      </c>
      <c r="F1018" s="1">
        <v>1</v>
      </c>
      <c r="G1018" s="1">
        <v>2</v>
      </c>
      <c r="H1018" s="1">
        <v>0</v>
      </c>
      <c r="I1018" s="1">
        <v>0</v>
      </c>
      <c r="J1018" s="1">
        <v>3</v>
      </c>
    </row>
    <row r="1019" spans="1:10" x14ac:dyDescent="0.2">
      <c r="A1019" s="1">
        <v>1410</v>
      </c>
      <c r="B1019" s="1">
        <v>0</v>
      </c>
      <c r="C1019" s="1">
        <v>14</v>
      </c>
      <c r="D1019" s="1">
        <v>3</v>
      </c>
      <c r="E1019" s="1">
        <v>3</v>
      </c>
      <c r="F1019" s="1">
        <v>1</v>
      </c>
      <c r="G1019" s="1">
        <v>2</v>
      </c>
      <c r="H1019" s="1">
        <v>1</v>
      </c>
      <c r="I1019" s="1">
        <v>3</v>
      </c>
      <c r="J1019" s="1">
        <v>3</v>
      </c>
    </row>
    <row r="1020" spans="1:10" x14ac:dyDescent="0.2">
      <c r="A1020" s="1">
        <v>938</v>
      </c>
      <c r="B1020" s="1">
        <v>0</v>
      </c>
      <c r="C1020" s="1">
        <v>7</v>
      </c>
      <c r="D1020" s="1">
        <v>3</v>
      </c>
      <c r="E1020" s="1">
        <v>2</v>
      </c>
      <c r="F1020" s="1">
        <v>2</v>
      </c>
      <c r="G1020" s="1">
        <v>2</v>
      </c>
      <c r="H1020" s="1">
        <v>0</v>
      </c>
      <c r="I1020" s="1">
        <v>1</v>
      </c>
      <c r="J1020" s="1">
        <v>3</v>
      </c>
    </row>
    <row r="1021" spans="1:10" x14ac:dyDescent="0.2">
      <c r="A1021" s="1">
        <v>1618</v>
      </c>
      <c r="B1021" s="1">
        <v>0</v>
      </c>
      <c r="C1021" s="1">
        <v>8</v>
      </c>
      <c r="D1021" s="1">
        <v>5</v>
      </c>
      <c r="E1021" s="1">
        <v>2</v>
      </c>
      <c r="F1021" s="1">
        <v>2</v>
      </c>
      <c r="G1021" s="1">
        <v>2</v>
      </c>
      <c r="H1021" s="1">
        <v>0</v>
      </c>
      <c r="I1021" s="1">
        <v>1</v>
      </c>
      <c r="J1021" s="1">
        <v>3</v>
      </c>
    </row>
    <row r="1022" spans="1:10" x14ac:dyDescent="0.2">
      <c r="A1022" s="1">
        <v>2304</v>
      </c>
      <c r="B1022" s="1">
        <v>0</v>
      </c>
      <c r="C1022" s="1">
        <v>12</v>
      </c>
      <c r="D1022" s="1">
        <v>4</v>
      </c>
      <c r="E1022" s="1">
        <v>2</v>
      </c>
      <c r="F1022" s="1">
        <v>2</v>
      </c>
      <c r="G1022" s="1">
        <v>2</v>
      </c>
      <c r="H1022" s="1">
        <v>1</v>
      </c>
      <c r="I1022" s="1">
        <v>3</v>
      </c>
      <c r="J1022" s="1">
        <v>3</v>
      </c>
    </row>
    <row r="1023" spans="1:10" x14ac:dyDescent="0.2">
      <c r="A1023" s="1">
        <v>143</v>
      </c>
      <c r="B1023" s="1">
        <v>0</v>
      </c>
      <c r="C1023" s="1">
        <v>17</v>
      </c>
      <c r="D1023" s="1">
        <v>2</v>
      </c>
      <c r="E1023" s="1">
        <v>2</v>
      </c>
      <c r="F1023" s="1">
        <v>2</v>
      </c>
      <c r="G1023" s="1">
        <v>2</v>
      </c>
      <c r="H1023" s="1">
        <v>1</v>
      </c>
      <c r="I1023" s="1">
        <v>2</v>
      </c>
      <c r="J1023" s="1">
        <v>3</v>
      </c>
    </row>
    <row r="1024" spans="1:10" x14ac:dyDescent="0.2">
      <c r="A1024" s="1">
        <v>1826</v>
      </c>
      <c r="B1024" s="1">
        <v>0</v>
      </c>
      <c r="C1024" s="1">
        <v>9</v>
      </c>
      <c r="D1024" s="1">
        <v>3</v>
      </c>
      <c r="E1024" s="1">
        <v>3</v>
      </c>
      <c r="F1024" s="1">
        <v>2</v>
      </c>
      <c r="G1024" s="1">
        <v>2</v>
      </c>
      <c r="H1024" s="1">
        <v>0</v>
      </c>
      <c r="I1024" s="1">
        <v>1</v>
      </c>
      <c r="J1024" s="1">
        <v>3</v>
      </c>
    </row>
    <row r="1025" spans="1:10" x14ac:dyDescent="0.2">
      <c r="A1025" s="1">
        <v>2289</v>
      </c>
      <c r="B1025" s="1">
        <v>0</v>
      </c>
      <c r="C1025" s="1">
        <v>18</v>
      </c>
      <c r="D1025" s="1">
        <v>4</v>
      </c>
      <c r="E1025" s="1">
        <v>1</v>
      </c>
      <c r="F1025" s="1">
        <v>3</v>
      </c>
      <c r="G1025" s="1">
        <v>2</v>
      </c>
      <c r="H1025" s="1">
        <v>0</v>
      </c>
      <c r="I1025" s="1">
        <v>1</v>
      </c>
      <c r="J1025" s="1">
        <v>3</v>
      </c>
    </row>
    <row r="1026" spans="1:10" x14ac:dyDescent="0.2">
      <c r="A1026" s="1">
        <v>1052</v>
      </c>
      <c r="B1026" s="1">
        <v>0</v>
      </c>
      <c r="C1026" s="1">
        <v>18</v>
      </c>
      <c r="D1026" s="1">
        <v>2</v>
      </c>
      <c r="E1026" s="1">
        <v>2</v>
      </c>
      <c r="F1026" s="1">
        <v>3</v>
      </c>
      <c r="G1026" s="1">
        <v>2</v>
      </c>
      <c r="H1026" s="1">
        <v>1</v>
      </c>
      <c r="I1026" s="1">
        <v>0</v>
      </c>
      <c r="J1026" s="1">
        <v>3</v>
      </c>
    </row>
    <row r="1027" spans="1:10" x14ac:dyDescent="0.2">
      <c r="A1027" s="1">
        <v>396</v>
      </c>
      <c r="B1027" s="1">
        <v>0</v>
      </c>
      <c r="C1027" s="1">
        <v>7</v>
      </c>
      <c r="D1027" s="1">
        <v>5</v>
      </c>
      <c r="E1027" s="1">
        <v>3</v>
      </c>
      <c r="F1027" s="1">
        <v>3</v>
      </c>
      <c r="G1027" s="1">
        <v>2</v>
      </c>
      <c r="H1027" s="1">
        <v>1</v>
      </c>
      <c r="I1027" s="1">
        <v>3</v>
      </c>
      <c r="J1027" s="1">
        <v>3</v>
      </c>
    </row>
    <row r="1028" spans="1:10" x14ac:dyDescent="0.2">
      <c r="A1028" s="1">
        <v>1157</v>
      </c>
      <c r="B1028" s="1">
        <v>0</v>
      </c>
      <c r="C1028" s="1">
        <v>7</v>
      </c>
      <c r="D1028" s="1">
        <v>1</v>
      </c>
      <c r="E1028" s="1">
        <v>1</v>
      </c>
      <c r="F1028" s="1">
        <v>4</v>
      </c>
      <c r="G1028" s="1">
        <v>2</v>
      </c>
      <c r="H1028" s="1">
        <v>0</v>
      </c>
      <c r="I1028" s="1">
        <v>3</v>
      </c>
      <c r="J1028" s="1">
        <v>3</v>
      </c>
    </row>
    <row r="1029" spans="1:10" x14ac:dyDescent="0.2">
      <c r="A1029" s="1">
        <v>1114</v>
      </c>
      <c r="B1029" s="1">
        <v>0</v>
      </c>
      <c r="C1029" s="1">
        <v>13</v>
      </c>
      <c r="D1029" s="1">
        <v>3</v>
      </c>
      <c r="E1029" s="1">
        <v>1</v>
      </c>
      <c r="F1029" s="1">
        <v>4</v>
      </c>
      <c r="G1029" s="1">
        <v>2</v>
      </c>
      <c r="H1029" s="1">
        <v>1</v>
      </c>
      <c r="I1029" s="1">
        <v>2</v>
      </c>
      <c r="J1029" s="1">
        <v>3</v>
      </c>
    </row>
    <row r="1030" spans="1:10" x14ac:dyDescent="0.2">
      <c r="A1030" s="1">
        <v>353</v>
      </c>
      <c r="B1030" s="1">
        <v>0</v>
      </c>
      <c r="C1030" s="1">
        <v>7</v>
      </c>
      <c r="D1030" s="1">
        <v>5</v>
      </c>
      <c r="E1030" s="1">
        <v>2</v>
      </c>
      <c r="F1030" s="1">
        <v>4</v>
      </c>
      <c r="G1030" s="1">
        <v>2</v>
      </c>
      <c r="H1030" s="1">
        <v>1</v>
      </c>
      <c r="I1030" s="1">
        <v>0</v>
      </c>
      <c r="J1030" s="1">
        <v>3</v>
      </c>
    </row>
    <row r="1031" spans="1:10" x14ac:dyDescent="0.2">
      <c r="A1031" s="1">
        <v>896</v>
      </c>
      <c r="B1031" s="1">
        <v>0</v>
      </c>
      <c r="C1031" s="1">
        <v>10</v>
      </c>
      <c r="D1031" s="1">
        <v>3</v>
      </c>
      <c r="E1031" s="1">
        <v>2</v>
      </c>
      <c r="F1031" s="1">
        <v>4</v>
      </c>
      <c r="G1031" s="1">
        <v>2</v>
      </c>
      <c r="H1031" s="1">
        <v>0</v>
      </c>
      <c r="I1031" s="1">
        <v>0</v>
      </c>
      <c r="J1031" s="1">
        <v>3</v>
      </c>
    </row>
    <row r="1032" spans="1:10" x14ac:dyDescent="0.2">
      <c r="A1032" s="1">
        <v>112</v>
      </c>
      <c r="B1032" s="1">
        <v>0</v>
      </c>
      <c r="C1032" s="1">
        <v>9</v>
      </c>
      <c r="D1032" s="1">
        <v>5</v>
      </c>
      <c r="E1032" s="1">
        <v>1</v>
      </c>
      <c r="F1032" s="1">
        <v>5</v>
      </c>
      <c r="G1032" s="1">
        <v>2</v>
      </c>
      <c r="H1032" s="1">
        <v>0</v>
      </c>
      <c r="I1032" s="1">
        <v>0</v>
      </c>
      <c r="J1032" s="1">
        <v>3</v>
      </c>
    </row>
    <row r="1033" spans="1:10" x14ac:dyDescent="0.2">
      <c r="A1033" s="1">
        <v>329</v>
      </c>
      <c r="B1033" s="1">
        <v>0</v>
      </c>
      <c r="C1033" s="1">
        <v>17</v>
      </c>
      <c r="D1033" s="1">
        <v>3</v>
      </c>
      <c r="E1033" s="1">
        <v>1</v>
      </c>
      <c r="F1033" s="1">
        <v>5</v>
      </c>
      <c r="G1033" s="1">
        <v>2</v>
      </c>
      <c r="H1033" s="1">
        <v>1</v>
      </c>
      <c r="I1033" s="1">
        <v>2</v>
      </c>
      <c r="J1033" s="1">
        <v>3</v>
      </c>
    </row>
    <row r="1034" spans="1:10" x14ac:dyDescent="0.2">
      <c r="A1034" s="1">
        <v>12</v>
      </c>
      <c r="B1034" s="1">
        <v>0</v>
      </c>
      <c r="C1034" s="1">
        <v>18</v>
      </c>
      <c r="D1034" s="1">
        <v>3</v>
      </c>
      <c r="E1034" s="1">
        <v>1</v>
      </c>
      <c r="F1034" s="1">
        <v>5</v>
      </c>
      <c r="G1034" s="1">
        <v>2</v>
      </c>
      <c r="H1034" s="1">
        <v>1</v>
      </c>
      <c r="I1034" s="1">
        <v>2</v>
      </c>
      <c r="J1034" s="1">
        <v>3</v>
      </c>
    </row>
    <row r="1035" spans="1:10" x14ac:dyDescent="0.2">
      <c r="A1035" s="1">
        <v>2498</v>
      </c>
      <c r="B1035" s="1">
        <v>0</v>
      </c>
      <c r="C1035" s="1">
        <v>19</v>
      </c>
      <c r="D1035" s="1">
        <v>4</v>
      </c>
      <c r="E1035" s="1">
        <v>2</v>
      </c>
      <c r="F1035" s="1">
        <v>5</v>
      </c>
      <c r="G1035" s="1">
        <v>2</v>
      </c>
      <c r="H1035" s="1">
        <v>0</v>
      </c>
      <c r="I1035" s="1">
        <v>1</v>
      </c>
      <c r="J1035" s="1">
        <v>3</v>
      </c>
    </row>
    <row r="1036" spans="1:10" x14ac:dyDescent="0.2">
      <c r="A1036" s="1">
        <v>1879</v>
      </c>
      <c r="B1036" s="1">
        <v>0</v>
      </c>
      <c r="C1036" s="1">
        <v>20</v>
      </c>
      <c r="D1036" s="1">
        <v>1</v>
      </c>
      <c r="E1036" s="1">
        <v>2</v>
      </c>
      <c r="F1036" s="1">
        <v>5</v>
      </c>
      <c r="G1036" s="1">
        <v>2</v>
      </c>
      <c r="H1036" s="1">
        <v>0</v>
      </c>
      <c r="I1036" s="1">
        <v>3</v>
      </c>
      <c r="J1036" s="1">
        <v>3</v>
      </c>
    </row>
    <row r="1037" spans="1:10" x14ac:dyDescent="0.2">
      <c r="A1037" s="1">
        <v>1218</v>
      </c>
      <c r="B1037" s="1">
        <v>0</v>
      </c>
      <c r="C1037" s="1">
        <v>12</v>
      </c>
      <c r="D1037" s="1">
        <v>3</v>
      </c>
      <c r="E1037" s="1">
        <v>1</v>
      </c>
      <c r="F1037" s="1">
        <v>6</v>
      </c>
      <c r="G1037" s="1">
        <v>2</v>
      </c>
      <c r="H1037" s="1">
        <v>1</v>
      </c>
      <c r="I1037" s="1">
        <v>1</v>
      </c>
      <c r="J1037" s="1">
        <v>3</v>
      </c>
    </row>
    <row r="1038" spans="1:10" x14ac:dyDescent="0.2">
      <c r="A1038" s="1">
        <v>394</v>
      </c>
      <c r="B1038" s="1">
        <v>0</v>
      </c>
      <c r="C1038" s="1">
        <v>15</v>
      </c>
      <c r="D1038" s="1">
        <v>2</v>
      </c>
      <c r="E1038" s="1">
        <v>1</v>
      </c>
      <c r="F1038" s="1">
        <v>6</v>
      </c>
      <c r="G1038" s="1">
        <v>2</v>
      </c>
      <c r="H1038" s="1">
        <v>1</v>
      </c>
      <c r="I1038" s="1">
        <v>0</v>
      </c>
      <c r="J1038" s="1">
        <v>3</v>
      </c>
    </row>
    <row r="1039" spans="1:10" x14ac:dyDescent="0.2">
      <c r="A1039" s="1">
        <v>647</v>
      </c>
      <c r="B1039" s="1">
        <v>0</v>
      </c>
      <c r="C1039" s="1">
        <v>15</v>
      </c>
      <c r="D1039" s="1">
        <v>2</v>
      </c>
      <c r="E1039" s="1">
        <v>1</v>
      </c>
      <c r="F1039" s="1">
        <v>6</v>
      </c>
      <c r="G1039" s="1">
        <v>2</v>
      </c>
      <c r="H1039" s="1">
        <v>0</v>
      </c>
      <c r="I1039" s="1">
        <v>0</v>
      </c>
      <c r="J1039" s="1">
        <v>3</v>
      </c>
    </row>
    <row r="1040" spans="1:10" x14ac:dyDescent="0.2">
      <c r="A1040" s="1">
        <v>1682</v>
      </c>
      <c r="B1040" s="1">
        <v>0</v>
      </c>
      <c r="C1040" s="1">
        <v>18</v>
      </c>
      <c r="D1040" s="1">
        <v>2</v>
      </c>
      <c r="E1040" s="1">
        <v>1</v>
      </c>
      <c r="F1040" s="1">
        <v>6</v>
      </c>
      <c r="G1040" s="1">
        <v>2</v>
      </c>
      <c r="H1040" s="1">
        <v>1</v>
      </c>
      <c r="I1040" s="1">
        <v>0</v>
      </c>
      <c r="J1040" s="1">
        <v>3</v>
      </c>
    </row>
    <row r="1041" spans="1:10" x14ac:dyDescent="0.2">
      <c r="A1041" s="1">
        <v>1840</v>
      </c>
      <c r="B1041" s="1">
        <v>0</v>
      </c>
      <c r="C1041" s="1">
        <v>20</v>
      </c>
      <c r="D1041" s="1">
        <v>4</v>
      </c>
      <c r="E1041" s="1">
        <v>1</v>
      </c>
      <c r="F1041" s="1">
        <v>6</v>
      </c>
      <c r="G1041" s="1">
        <v>2</v>
      </c>
      <c r="H1041" s="1">
        <v>0</v>
      </c>
      <c r="I1041" s="1">
        <v>2</v>
      </c>
      <c r="J1041" s="1">
        <v>3</v>
      </c>
    </row>
    <row r="1042" spans="1:10" x14ac:dyDescent="0.2">
      <c r="A1042" s="1">
        <v>1510</v>
      </c>
      <c r="B1042" s="1">
        <v>0</v>
      </c>
      <c r="C1042" s="1">
        <v>13</v>
      </c>
      <c r="D1042" s="1">
        <v>4</v>
      </c>
      <c r="E1042" s="1">
        <v>2</v>
      </c>
      <c r="F1042" s="1">
        <v>6</v>
      </c>
      <c r="G1042" s="1">
        <v>2</v>
      </c>
      <c r="H1042" s="1">
        <v>0</v>
      </c>
      <c r="I1042" s="1">
        <v>2</v>
      </c>
      <c r="J1042" s="1">
        <v>3</v>
      </c>
    </row>
    <row r="1043" spans="1:10" x14ac:dyDescent="0.2">
      <c r="A1043" s="1">
        <v>1598</v>
      </c>
      <c r="B1043" s="1">
        <v>0</v>
      </c>
      <c r="C1043" s="1">
        <v>11</v>
      </c>
      <c r="D1043" s="1">
        <v>1</v>
      </c>
      <c r="E1043" s="1">
        <v>3</v>
      </c>
      <c r="F1043" s="1">
        <v>6</v>
      </c>
      <c r="G1043" s="1">
        <v>2</v>
      </c>
      <c r="H1043" s="1">
        <v>0</v>
      </c>
      <c r="I1043" s="1">
        <v>0</v>
      </c>
      <c r="J1043" s="1">
        <v>3</v>
      </c>
    </row>
    <row r="1044" spans="1:10" x14ac:dyDescent="0.2">
      <c r="A1044" s="1">
        <v>534</v>
      </c>
      <c r="B1044" s="1">
        <v>0</v>
      </c>
      <c r="C1044" s="1">
        <v>13</v>
      </c>
      <c r="D1044" s="1">
        <v>2</v>
      </c>
      <c r="E1044" s="1">
        <v>3</v>
      </c>
      <c r="F1044" s="1">
        <v>6</v>
      </c>
      <c r="G1044" s="1">
        <v>2</v>
      </c>
      <c r="H1044" s="1">
        <v>1</v>
      </c>
      <c r="I1044" s="1">
        <v>2</v>
      </c>
      <c r="J1044" s="1">
        <v>3</v>
      </c>
    </row>
    <row r="1045" spans="1:10" x14ac:dyDescent="0.2">
      <c r="A1045" s="1">
        <v>558</v>
      </c>
      <c r="B1045" s="1">
        <v>0</v>
      </c>
      <c r="C1045" s="1">
        <v>13</v>
      </c>
      <c r="D1045" s="1">
        <v>5</v>
      </c>
      <c r="E1045" s="1">
        <v>3</v>
      </c>
      <c r="F1045" s="1">
        <v>6</v>
      </c>
      <c r="G1045" s="1">
        <v>2</v>
      </c>
      <c r="H1045" s="1">
        <v>0</v>
      </c>
      <c r="I1045" s="1">
        <v>1</v>
      </c>
      <c r="J1045" s="1">
        <v>3</v>
      </c>
    </row>
    <row r="1046" spans="1:10" x14ac:dyDescent="0.2">
      <c r="A1046" s="1">
        <v>1979</v>
      </c>
      <c r="B1046" s="1">
        <v>0</v>
      </c>
      <c r="C1046" s="1">
        <v>19</v>
      </c>
      <c r="D1046" s="1">
        <v>2</v>
      </c>
      <c r="E1046" s="1">
        <v>3</v>
      </c>
      <c r="F1046" s="1">
        <v>6</v>
      </c>
      <c r="G1046" s="1">
        <v>2</v>
      </c>
      <c r="H1046" s="1">
        <v>1</v>
      </c>
      <c r="I1046" s="1">
        <v>1</v>
      </c>
      <c r="J1046" s="1">
        <v>3</v>
      </c>
    </row>
    <row r="1047" spans="1:10" x14ac:dyDescent="0.2">
      <c r="A1047" s="1">
        <v>2209</v>
      </c>
      <c r="B1047" s="1">
        <v>0</v>
      </c>
      <c r="C1047" s="1">
        <v>6</v>
      </c>
      <c r="D1047" s="1">
        <v>1</v>
      </c>
      <c r="E1047" s="1">
        <v>1</v>
      </c>
      <c r="F1047" s="1">
        <v>7</v>
      </c>
      <c r="G1047" s="1">
        <v>2</v>
      </c>
      <c r="H1047" s="1">
        <v>0</v>
      </c>
      <c r="I1047" s="1">
        <v>3</v>
      </c>
      <c r="J1047" s="1">
        <v>3</v>
      </c>
    </row>
    <row r="1048" spans="1:10" x14ac:dyDescent="0.2">
      <c r="A1048" s="1">
        <v>169</v>
      </c>
      <c r="B1048" s="1">
        <v>0</v>
      </c>
      <c r="C1048" s="1">
        <v>7</v>
      </c>
      <c r="D1048" s="1">
        <v>4</v>
      </c>
      <c r="E1048" s="1">
        <v>1</v>
      </c>
      <c r="F1048" s="1">
        <v>7</v>
      </c>
      <c r="G1048" s="1">
        <v>2</v>
      </c>
      <c r="H1048" s="1">
        <v>1</v>
      </c>
      <c r="I1048" s="1">
        <v>1</v>
      </c>
      <c r="J1048" s="1">
        <v>3</v>
      </c>
    </row>
    <row r="1049" spans="1:10" x14ac:dyDescent="0.2">
      <c r="A1049" s="1">
        <v>223</v>
      </c>
      <c r="B1049" s="1">
        <v>0</v>
      </c>
      <c r="C1049" s="1">
        <v>12</v>
      </c>
      <c r="D1049" s="1">
        <v>4</v>
      </c>
      <c r="E1049" s="1">
        <v>1</v>
      </c>
      <c r="F1049" s="1">
        <v>7</v>
      </c>
      <c r="G1049" s="1">
        <v>2</v>
      </c>
      <c r="H1049" s="1">
        <v>0</v>
      </c>
      <c r="I1049" s="1">
        <v>3</v>
      </c>
      <c r="J1049" s="1">
        <v>3</v>
      </c>
    </row>
    <row r="1050" spans="1:10" x14ac:dyDescent="0.2">
      <c r="A1050" s="1">
        <v>1780</v>
      </c>
      <c r="B1050" s="1">
        <v>0</v>
      </c>
      <c r="C1050" s="1">
        <v>15</v>
      </c>
      <c r="D1050" s="1">
        <v>2</v>
      </c>
      <c r="E1050" s="1">
        <v>1</v>
      </c>
      <c r="F1050" s="1">
        <v>8</v>
      </c>
      <c r="G1050" s="1">
        <v>2</v>
      </c>
      <c r="H1050" s="1">
        <v>1</v>
      </c>
      <c r="I1050" s="1">
        <v>1</v>
      </c>
      <c r="J1050" s="1">
        <v>3</v>
      </c>
    </row>
    <row r="1051" spans="1:10" x14ac:dyDescent="0.2">
      <c r="A1051" s="1">
        <v>1165</v>
      </c>
      <c r="B1051" s="1">
        <v>0</v>
      </c>
      <c r="C1051" s="1">
        <v>19</v>
      </c>
      <c r="D1051" s="1">
        <v>2</v>
      </c>
      <c r="E1051" s="1">
        <v>2</v>
      </c>
      <c r="F1051" s="1">
        <v>8</v>
      </c>
      <c r="G1051" s="1">
        <v>2</v>
      </c>
      <c r="H1051" s="1">
        <v>0</v>
      </c>
      <c r="I1051" s="1">
        <v>1</v>
      </c>
      <c r="J1051" s="1">
        <v>3</v>
      </c>
    </row>
    <row r="1052" spans="1:10" x14ac:dyDescent="0.2">
      <c r="A1052" s="1">
        <v>1837</v>
      </c>
      <c r="B1052" s="1">
        <v>0</v>
      </c>
      <c r="C1052" s="1">
        <v>5</v>
      </c>
      <c r="D1052" s="1">
        <v>3</v>
      </c>
      <c r="E1052" s="1">
        <v>1</v>
      </c>
      <c r="F1052" s="1">
        <v>9</v>
      </c>
      <c r="G1052" s="1">
        <v>2</v>
      </c>
      <c r="H1052" s="1">
        <v>0</v>
      </c>
      <c r="I1052" s="1">
        <v>0</v>
      </c>
      <c r="J1052" s="1">
        <v>3</v>
      </c>
    </row>
    <row r="1053" spans="1:10" x14ac:dyDescent="0.2">
      <c r="A1053" s="1">
        <v>1029</v>
      </c>
      <c r="B1053" s="1">
        <v>0</v>
      </c>
      <c r="C1053" s="1">
        <v>11</v>
      </c>
      <c r="D1053" s="1">
        <v>5</v>
      </c>
      <c r="E1053" s="1">
        <v>1</v>
      </c>
      <c r="F1053" s="1">
        <v>9</v>
      </c>
      <c r="G1053" s="1">
        <v>2</v>
      </c>
      <c r="H1053" s="1">
        <v>0</v>
      </c>
      <c r="I1053" s="1">
        <v>3</v>
      </c>
      <c r="J1053" s="1">
        <v>3</v>
      </c>
    </row>
    <row r="1054" spans="1:10" x14ac:dyDescent="0.2">
      <c r="A1054" s="1">
        <v>265</v>
      </c>
      <c r="B1054" s="1">
        <v>0</v>
      </c>
      <c r="C1054" s="1">
        <v>14</v>
      </c>
      <c r="D1054" s="1">
        <v>2</v>
      </c>
      <c r="E1054" s="1">
        <v>2</v>
      </c>
      <c r="F1054" s="1">
        <v>9</v>
      </c>
      <c r="G1054" s="1">
        <v>2</v>
      </c>
      <c r="H1054" s="1">
        <v>0</v>
      </c>
      <c r="I1054" s="1">
        <v>1</v>
      </c>
      <c r="J1054" s="1">
        <v>3</v>
      </c>
    </row>
    <row r="1055" spans="1:10" x14ac:dyDescent="0.2">
      <c r="A1055" s="1">
        <v>412</v>
      </c>
      <c r="B1055" s="1">
        <v>0</v>
      </c>
      <c r="C1055" s="1">
        <v>12</v>
      </c>
      <c r="D1055" s="1">
        <v>1</v>
      </c>
      <c r="E1055" s="1">
        <v>3</v>
      </c>
      <c r="F1055" s="1">
        <v>9</v>
      </c>
      <c r="G1055" s="1">
        <v>2</v>
      </c>
      <c r="H1055" s="1">
        <v>1</v>
      </c>
      <c r="I1055" s="1">
        <v>0</v>
      </c>
      <c r="J1055" s="1">
        <v>3</v>
      </c>
    </row>
    <row r="1056" spans="1:10" x14ac:dyDescent="0.2">
      <c r="A1056" s="1">
        <v>2274</v>
      </c>
      <c r="B1056" s="1">
        <v>0</v>
      </c>
      <c r="C1056" s="1">
        <v>20</v>
      </c>
      <c r="D1056" s="1">
        <v>4</v>
      </c>
      <c r="E1056" s="1">
        <v>3</v>
      </c>
      <c r="F1056" s="1">
        <v>9</v>
      </c>
      <c r="G1056" s="1">
        <v>2</v>
      </c>
      <c r="H1056" s="1">
        <v>0</v>
      </c>
      <c r="I1056" s="1">
        <v>3</v>
      </c>
      <c r="J1056" s="1">
        <v>3</v>
      </c>
    </row>
    <row r="1057" spans="1:10" x14ac:dyDescent="0.2">
      <c r="A1057" s="1">
        <v>2448</v>
      </c>
      <c r="B1057" s="1">
        <v>0</v>
      </c>
      <c r="C1057" s="1">
        <v>16</v>
      </c>
      <c r="D1057" s="1">
        <v>4</v>
      </c>
      <c r="E1057" s="1">
        <v>1</v>
      </c>
      <c r="F1057" s="1">
        <v>10</v>
      </c>
      <c r="G1057" s="1">
        <v>2</v>
      </c>
      <c r="H1057" s="1">
        <v>1</v>
      </c>
      <c r="I1057" s="1">
        <v>2</v>
      </c>
      <c r="J1057" s="1">
        <v>3</v>
      </c>
    </row>
    <row r="1058" spans="1:10" x14ac:dyDescent="0.2">
      <c r="A1058" s="1">
        <v>201</v>
      </c>
      <c r="B1058" s="1">
        <v>0</v>
      </c>
      <c r="C1058" s="1">
        <v>16</v>
      </c>
      <c r="D1058" s="1">
        <v>5</v>
      </c>
      <c r="E1058" s="1">
        <v>2</v>
      </c>
      <c r="F1058" s="1">
        <v>10</v>
      </c>
      <c r="G1058" s="1">
        <v>2</v>
      </c>
      <c r="H1058" s="1">
        <v>1</v>
      </c>
      <c r="I1058" s="1">
        <v>2</v>
      </c>
      <c r="J1058" s="1">
        <v>3</v>
      </c>
    </row>
    <row r="1059" spans="1:10" x14ac:dyDescent="0.2">
      <c r="A1059" s="1">
        <v>362</v>
      </c>
      <c r="B1059" s="1">
        <v>0</v>
      </c>
      <c r="C1059" s="1">
        <v>7</v>
      </c>
      <c r="D1059" s="1">
        <v>4</v>
      </c>
      <c r="E1059" s="1">
        <v>3</v>
      </c>
      <c r="F1059" s="1">
        <v>10</v>
      </c>
      <c r="G1059" s="1">
        <v>2</v>
      </c>
      <c r="H1059" s="1">
        <v>0</v>
      </c>
      <c r="I1059" s="1">
        <v>0</v>
      </c>
      <c r="J1059" s="1">
        <v>3</v>
      </c>
    </row>
    <row r="1060" spans="1:10" x14ac:dyDescent="0.2">
      <c r="A1060" s="1">
        <v>666</v>
      </c>
      <c r="B1060" s="1">
        <v>0</v>
      </c>
      <c r="C1060" s="1">
        <v>13</v>
      </c>
      <c r="D1060" s="1">
        <v>5</v>
      </c>
      <c r="E1060" s="1">
        <v>3</v>
      </c>
      <c r="F1060" s="1">
        <v>10</v>
      </c>
      <c r="G1060" s="1">
        <v>2</v>
      </c>
      <c r="H1060" s="1">
        <v>1</v>
      </c>
      <c r="I1060" s="1">
        <v>1</v>
      </c>
      <c r="J1060" s="1">
        <v>3</v>
      </c>
    </row>
    <row r="1061" spans="1:10" x14ac:dyDescent="0.2">
      <c r="A1061" s="1">
        <v>1048</v>
      </c>
      <c r="B1061" s="1">
        <v>0</v>
      </c>
      <c r="C1061" s="1">
        <v>10</v>
      </c>
      <c r="D1061" s="1">
        <v>5</v>
      </c>
      <c r="E1061" s="1">
        <v>1</v>
      </c>
      <c r="F1061" s="1">
        <v>1</v>
      </c>
      <c r="G1061" s="1">
        <v>3</v>
      </c>
      <c r="H1061" s="1">
        <v>1</v>
      </c>
      <c r="I1061" s="1">
        <v>2</v>
      </c>
      <c r="J1061" s="1">
        <v>3</v>
      </c>
    </row>
    <row r="1062" spans="1:10" x14ac:dyDescent="0.2">
      <c r="A1062" s="1">
        <v>1614</v>
      </c>
      <c r="B1062" s="1">
        <v>0</v>
      </c>
      <c r="C1062" s="1">
        <v>13</v>
      </c>
      <c r="D1062" s="1">
        <v>4</v>
      </c>
      <c r="E1062" s="1">
        <v>1</v>
      </c>
      <c r="F1062" s="1">
        <v>1</v>
      </c>
      <c r="G1062" s="1">
        <v>3</v>
      </c>
      <c r="H1062" s="1">
        <v>1</v>
      </c>
      <c r="I1062" s="1">
        <v>1</v>
      </c>
      <c r="J1062" s="1">
        <v>3</v>
      </c>
    </row>
    <row r="1063" spans="1:10" x14ac:dyDescent="0.2">
      <c r="A1063" s="1">
        <v>1451</v>
      </c>
      <c r="B1063" s="1">
        <v>0</v>
      </c>
      <c r="C1063" s="1">
        <v>17</v>
      </c>
      <c r="D1063" s="1">
        <v>2</v>
      </c>
      <c r="E1063" s="1">
        <v>1</v>
      </c>
      <c r="F1063" s="1">
        <v>1</v>
      </c>
      <c r="G1063" s="1">
        <v>3</v>
      </c>
      <c r="H1063" s="1">
        <v>0</v>
      </c>
      <c r="I1063" s="1">
        <v>3</v>
      </c>
      <c r="J1063" s="1">
        <v>3</v>
      </c>
    </row>
    <row r="1064" spans="1:10" x14ac:dyDescent="0.2">
      <c r="A1064" s="1">
        <v>1853</v>
      </c>
      <c r="B1064" s="1">
        <v>0</v>
      </c>
      <c r="C1064" s="1">
        <v>17</v>
      </c>
      <c r="D1064" s="1">
        <v>1</v>
      </c>
      <c r="E1064" s="1">
        <v>1</v>
      </c>
      <c r="F1064" s="1">
        <v>1</v>
      </c>
      <c r="G1064" s="1">
        <v>3</v>
      </c>
      <c r="H1064" s="1">
        <v>1</v>
      </c>
      <c r="I1064" s="1">
        <v>2</v>
      </c>
      <c r="J1064" s="1">
        <v>3</v>
      </c>
    </row>
    <row r="1065" spans="1:10" x14ac:dyDescent="0.2">
      <c r="A1065" s="1">
        <v>981</v>
      </c>
      <c r="B1065" s="1">
        <v>0</v>
      </c>
      <c r="C1065" s="1">
        <v>19</v>
      </c>
      <c r="D1065" s="1">
        <v>2</v>
      </c>
      <c r="E1065" s="1">
        <v>1</v>
      </c>
      <c r="F1065" s="1">
        <v>1</v>
      </c>
      <c r="G1065" s="1">
        <v>3</v>
      </c>
      <c r="H1065" s="1">
        <v>1</v>
      </c>
      <c r="I1065" s="1">
        <v>3</v>
      </c>
      <c r="J1065" s="1">
        <v>3</v>
      </c>
    </row>
    <row r="1066" spans="1:10" x14ac:dyDescent="0.2">
      <c r="A1066" s="1">
        <v>1947</v>
      </c>
      <c r="B1066" s="1">
        <v>0</v>
      </c>
      <c r="C1066" s="1">
        <v>12</v>
      </c>
      <c r="D1066" s="1">
        <v>1</v>
      </c>
      <c r="E1066" s="1">
        <v>2</v>
      </c>
      <c r="F1066" s="1">
        <v>1</v>
      </c>
      <c r="G1066" s="1">
        <v>3</v>
      </c>
      <c r="H1066" s="1">
        <v>1</v>
      </c>
      <c r="I1066" s="1">
        <v>3</v>
      </c>
      <c r="J1066" s="1">
        <v>3</v>
      </c>
    </row>
    <row r="1067" spans="1:10" x14ac:dyDescent="0.2">
      <c r="A1067" s="1">
        <v>2324</v>
      </c>
      <c r="B1067" s="1">
        <v>0</v>
      </c>
      <c r="C1067" s="1">
        <v>5</v>
      </c>
      <c r="D1067" s="1">
        <v>3</v>
      </c>
      <c r="E1067" s="1">
        <v>3</v>
      </c>
      <c r="F1067" s="1">
        <v>1</v>
      </c>
      <c r="G1067" s="1">
        <v>3</v>
      </c>
      <c r="H1067" s="1">
        <v>0</v>
      </c>
      <c r="I1067" s="1">
        <v>0</v>
      </c>
      <c r="J1067" s="1">
        <v>3</v>
      </c>
    </row>
    <row r="1068" spans="1:10" x14ac:dyDescent="0.2">
      <c r="A1068" s="1">
        <v>1932</v>
      </c>
      <c r="B1068" s="1">
        <v>0</v>
      </c>
      <c r="C1068" s="1">
        <v>20</v>
      </c>
      <c r="D1068" s="1">
        <v>1</v>
      </c>
      <c r="E1068" s="1">
        <v>3</v>
      </c>
      <c r="F1068" s="1">
        <v>1</v>
      </c>
      <c r="G1068" s="1">
        <v>3</v>
      </c>
      <c r="H1068" s="1">
        <v>0</v>
      </c>
      <c r="I1068" s="1">
        <v>1</v>
      </c>
      <c r="J1068" s="1">
        <v>3</v>
      </c>
    </row>
    <row r="1069" spans="1:10" x14ac:dyDescent="0.2">
      <c r="A1069" s="1">
        <v>461</v>
      </c>
      <c r="B1069" s="1">
        <v>0</v>
      </c>
      <c r="C1069" s="1">
        <v>5</v>
      </c>
      <c r="D1069" s="1">
        <v>1</v>
      </c>
      <c r="E1069" s="1">
        <v>1</v>
      </c>
      <c r="F1069" s="1">
        <v>2</v>
      </c>
      <c r="G1069" s="1">
        <v>3</v>
      </c>
      <c r="H1069" s="1">
        <v>0</v>
      </c>
      <c r="I1069" s="1">
        <v>0</v>
      </c>
      <c r="J1069" s="1">
        <v>3</v>
      </c>
    </row>
    <row r="1070" spans="1:10" x14ac:dyDescent="0.2">
      <c r="A1070" s="1">
        <v>1529</v>
      </c>
      <c r="B1070" s="1">
        <v>0</v>
      </c>
      <c r="C1070" s="1">
        <v>8</v>
      </c>
      <c r="D1070" s="1">
        <v>5</v>
      </c>
      <c r="E1070" s="1">
        <v>1</v>
      </c>
      <c r="F1070" s="1">
        <v>2</v>
      </c>
      <c r="G1070" s="1">
        <v>3</v>
      </c>
      <c r="H1070" s="1">
        <v>0</v>
      </c>
      <c r="I1070" s="1">
        <v>3</v>
      </c>
      <c r="J1070" s="1">
        <v>3</v>
      </c>
    </row>
    <row r="1071" spans="1:10" x14ac:dyDescent="0.2">
      <c r="A1071" s="1">
        <v>2456</v>
      </c>
      <c r="B1071" s="1">
        <v>0</v>
      </c>
      <c r="C1071" s="1">
        <v>12</v>
      </c>
      <c r="D1071" s="1">
        <v>1</v>
      </c>
      <c r="E1071" s="1">
        <v>2</v>
      </c>
      <c r="F1071" s="1">
        <v>2</v>
      </c>
      <c r="G1071" s="1">
        <v>3</v>
      </c>
      <c r="H1071" s="1">
        <v>0</v>
      </c>
      <c r="I1071" s="1">
        <v>2</v>
      </c>
      <c r="J1071" s="1">
        <v>3</v>
      </c>
    </row>
    <row r="1072" spans="1:10" x14ac:dyDescent="0.2">
      <c r="A1072" s="1">
        <v>1219</v>
      </c>
      <c r="B1072" s="1">
        <v>0</v>
      </c>
      <c r="C1072" s="1">
        <v>15</v>
      </c>
      <c r="D1072" s="1">
        <v>1</v>
      </c>
      <c r="E1072" s="1">
        <v>3</v>
      </c>
      <c r="F1072" s="1">
        <v>2</v>
      </c>
      <c r="G1072" s="1">
        <v>3</v>
      </c>
      <c r="H1072" s="1">
        <v>0</v>
      </c>
      <c r="I1072" s="1">
        <v>2</v>
      </c>
      <c r="J1072" s="1">
        <v>3</v>
      </c>
    </row>
    <row r="1073" spans="1:10" x14ac:dyDescent="0.2">
      <c r="A1073" s="1">
        <v>1783</v>
      </c>
      <c r="B1073" s="1">
        <v>0</v>
      </c>
      <c r="C1073" s="1">
        <v>20</v>
      </c>
      <c r="D1073" s="1">
        <v>4</v>
      </c>
      <c r="E1073" s="1">
        <v>3</v>
      </c>
      <c r="F1073" s="1">
        <v>2</v>
      </c>
      <c r="G1073" s="1">
        <v>3</v>
      </c>
      <c r="H1073" s="1">
        <v>1</v>
      </c>
      <c r="I1073" s="1">
        <v>2</v>
      </c>
      <c r="J1073" s="1">
        <v>3</v>
      </c>
    </row>
    <row r="1074" spans="1:10" x14ac:dyDescent="0.2">
      <c r="A1074" s="1">
        <v>1390</v>
      </c>
      <c r="B1074" s="1">
        <v>0</v>
      </c>
      <c r="C1074" s="1">
        <v>13</v>
      </c>
      <c r="D1074" s="1">
        <v>1</v>
      </c>
      <c r="E1074" s="1">
        <v>1</v>
      </c>
      <c r="F1074" s="1">
        <v>3</v>
      </c>
      <c r="G1074" s="1">
        <v>3</v>
      </c>
      <c r="H1074" s="1">
        <v>0</v>
      </c>
      <c r="I1074" s="1">
        <v>2</v>
      </c>
      <c r="J1074" s="1">
        <v>3</v>
      </c>
    </row>
    <row r="1075" spans="1:10" x14ac:dyDescent="0.2">
      <c r="A1075" s="1">
        <v>683</v>
      </c>
      <c r="B1075" s="1">
        <v>0</v>
      </c>
      <c r="C1075" s="1">
        <v>20</v>
      </c>
      <c r="D1075" s="1">
        <v>3</v>
      </c>
      <c r="E1075" s="1">
        <v>1</v>
      </c>
      <c r="F1075" s="1">
        <v>3</v>
      </c>
      <c r="G1075" s="1">
        <v>3</v>
      </c>
      <c r="H1075" s="1">
        <v>0</v>
      </c>
      <c r="I1075" s="1">
        <v>1</v>
      </c>
      <c r="J1075" s="1">
        <v>3</v>
      </c>
    </row>
    <row r="1076" spans="1:10" x14ac:dyDescent="0.2">
      <c r="A1076" s="1">
        <v>1488</v>
      </c>
      <c r="B1076" s="1">
        <v>0</v>
      </c>
      <c r="C1076" s="1">
        <v>20</v>
      </c>
      <c r="D1076" s="1">
        <v>4</v>
      </c>
      <c r="E1076" s="1">
        <v>1</v>
      </c>
      <c r="F1076" s="1">
        <v>3</v>
      </c>
      <c r="G1076" s="1">
        <v>3</v>
      </c>
      <c r="H1076" s="1">
        <v>1</v>
      </c>
      <c r="I1076" s="1">
        <v>1</v>
      </c>
      <c r="J1076" s="1">
        <v>3</v>
      </c>
    </row>
    <row r="1077" spans="1:10" x14ac:dyDescent="0.2">
      <c r="A1077" s="1">
        <v>1547</v>
      </c>
      <c r="B1077" s="1">
        <v>0</v>
      </c>
      <c r="C1077" s="1">
        <v>11</v>
      </c>
      <c r="D1077" s="1">
        <v>2</v>
      </c>
      <c r="E1077" s="1">
        <v>3</v>
      </c>
      <c r="F1077" s="1">
        <v>3</v>
      </c>
      <c r="G1077" s="1">
        <v>3</v>
      </c>
      <c r="H1077" s="1">
        <v>1</v>
      </c>
      <c r="I1077" s="1">
        <v>0</v>
      </c>
      <c r="J1077" s="1">
        <v>3</v>
      </c>
    </row>
    <row r="1078" spans="1:10" x14ac:dyDescent="0.2">
      <c r="A1078" s="1">
        <v>1238</v>
      </c>
      <c r="B1078" s="1">
        <v>0</v>
      </c>
      <c r="C1078" s="1">
        <v>14</v>
      </c>
      <c r="D1078" s="1">
        <v>4</v>
      </c>
      <c r="E1078" s="1">
        <v>3</v>
      </c>
      <c r="F1078" s="1">
        <v>3</v>
      </c>
      <c r="G1078" s="1">
        <v>3</v>
      </c>
      <c r="H1078" s="1">
        <v>0</v>
      </c>
      <c r="I1078" s="1">
        <v>1</v>
      </c>
      <c r="J1078" s="1">
        <v>3</v>
      </c>
    </row>
    <row r="1079" spans="1:10" x14ac:dyDescent="0.2">
      <c r="A1079" s="1">
        <v>794</v>
      </c>
      <c r="B1079" s="1">
        <v>0</v>
      </c>
      <c r="C1079" s="1">
        <v>15</v>
      </c>
      <c r="D1079" s="1">
        <v>4</v>
      </c>
      <c r="E1079" s="1">
        <v>3</v>
      </c>
      <c r="F1079" s="1">
        <v>3</v>
      </c>
      <c r="G1079" s="1">
        <v>3</v>
      </c>
      <c r="H1079" s="1">
        <v>0</v>
      </c>
      <c r="I1079" s="1">
        <v>0</v>
      </c>
      <c r="J1079" s="1">
        <v>3</v>
      </c>
    </row>
    <row r="1080" spans="1:10" x14ac:dyDescent="0.2">
      <c r="A1080" s="1">
        <v>59</v>
      </c>
      <c r="B1080" s="1">
        <v>0</v>
      </c>
      <c r="C1080" s="1">
        <v>8</v>
      </c>
      <c r="D1080" s="1">
        <v>1</v>
      </c>
      <c r="E1080" s="1">
        <v>1</v>
      </c>
      <c r="F1080" s="1">
        <v>4</v>
      </c>
      <c r="G1080" s="1">
        <v>3</v>
      </c>
      <c r="H1080" s="1">
        <v>1</v>
      </c>
      <c r="I1080" s="1">
        <v>1</v>
      </c>
      <c r="J1080" s="1">
        <v>3</v>
      </c>
    </row>
    <row r="1081" spans="1:10" x14ac:dyDescent="0.2">
      <c r="A1081" s="1">
        <v>1417</v>
      </c>
      <c r="B1081" s="1">
        <v>0</v>
      </c>
      <c r="C1081" s="1">
        <v>11</v>
      </c>
      <c r="D1081" s="1">
        <v>4</v>
      </c>
      <c r="E1081" s="1">
        <v>1</v>
      </c>
      <c r="F1081" s="1">
        <v>4</v>
      </c>
      <c r="G1081" s="1">
        <v>3</v>
      </c>
      <c r="H1081" s="1">
        <v>1</v>
      </c>
      <c r="I1081" s="1">
        <v>0</v>
      </c>
      <c r="J1081" s="1">
        <v>3</v>
      </c>
    </row>
    <row r="1082" spans="1:10" x14ac:dyDescent="0.2">
      <c r="A1082" s="1">
        <v>2461</v>
      </c>
      <c r="B1082" s="1">
        <v>0</v>
      </c>
      <c r="C1082" s="1">
        <v>17</v>
      </c>
      <c r="D1082" s="1">
        <v>3</v>
      </c>
      <c r="E1082" s="1">
        <v>1</v>
      </c>
      <c r="F1082" s="1">
        <v>4</v>
      </c>
      <c r="G1082" s="1">
        <v>3</v>
      </c>
      <c r="H1082" s="1">
        <v>1</v>
      </c>
      <c r="I1082" s="1">
        <v>0</v>
      </c>
      <c r="J1082" s="1">
        <v>3</v>
      </c>
    </row>
    <row r="1083" spans="1:10" x14ac:dyDescent="0.2">
      <c r="A1083" s="1">
        <v>593</v>
      </c>
      <c r="B1083" s="1">
        <v>0</v>
      </c>
      <c r="C1083" s="1">
        <v>6</v>
      </c>
      <c r="D1083" s="1">
        <v>5</v>
      </c>
      <c r="E1083" s="1">
        <v>2</v>
      </c>
      <c r="F1083" s="1">
        <v>4</v>
      </c>
      <c r="G1083" s="1">
        <v>3</v>
      </c>
      <c r="H1083" s="1">
        <v>1</v>
      </c>
      <c r="I1083" s="1">
        <v>1</v>
      </c>
      <c r="J1083" s="1">
        <v>3</v>
      </c>
    </row>
    <row r="1084" spans="1:10" x14ac:dyDescent="0.2">
      <c r="A1084" s="1">
        <v>1307</v>
      </c>
      <c r="B1084" s="1">
        <v>0</v>
      </c>
      <c r="C1084" s="1">
        <v>11</v>
      </c>
      <c r="D1084" s="1">
        <v>2</v>
      </c>
      <c r="E1084" s="1">
        <v>2</v>
      </c>
      <c r="F1084" s="1">
        <v>4</v>
      </c>
      <c r="G1084" s="1">
        <v>3</v>
      </c>
      <c r="H1084" s="1">
        <v>0</v>
      </c>
      <c r="I1084" s="1">
        <v>3</v>
      </c>
      <c r="J1084" s="1">
        <v>3</v>
      </c>
    </row>
    <row r="1085" spans="1:10" x14ac:dyDescent="0.2">
      <c r="A1085" s="1">
        <v>2419</v>
      </c>
      <c r="B1085" s="1">
        <v>0</v>
      </c>
      <c r="C1085" s="1">
        <v>16</v>
      </c>
      <c r="D1085" s="1">
        <v>1</v>
      </c>
      <c r="E1085" s="1">
        <v>2</v>
      </c>
      <c r="F1085" s="1">
        <v>4</v>
      </c>
      <c r="G1085" s="1">
        <v>3</v>
      </c>
      <c r="H1085" s="1">
        <v>0</v>
      </c>
      <c r="I1085" s="1">
        <v>0</v>
      </c>
      <c r="J1085" s="1">
        <v>3</v>
      </c>
    </row>
    <row r="1086" spans="1:10" x14ac:dyDescent="0.2">
      <c r="A1086" s="1">
        <v>447</v>
      </c>
      <c r="B1086" s="1">
        <v>0</v>
      </c>
      <c r="C1086" s="1">
        <v>17</v>
      </c>
      <c r="D1086" s="1">
        <v>1</v>
      </c>
      <c r="E1086" s="1">
        <v>2</v>
      </c>
      <c r="F1086" s="1">
        <v>4</v>
      </c>
      <c r="G1086" s="1">
        <v>3</v>
      </c>
      <c r="H1086" s="1">
        <v>0</v>
      </c>
      <c r="I1086" s="1">
        <v>0</v>
      </c>
      <c r="J1086" s="1">
        <v>3</v>
      </c>
    </row>
    <row r="1087" spans="1:10" x14ac:dyDescent="0.2">
      <c r="A1087" s="1">
        <v>1911</v>
      </c>
      <c r="B1087" s="1">
        <v>0</v>
      </c>
      <c r="C1087" s="1">
        <v>20</v>
      </c>
      <c r="D1087" s="1">
        <v>3</v>
      </c>
      <c r="E1087" s="1">
        <v>2</v>
      </c>
      <c r="F1087" s="1">
        <v>4</v>
      </c>
      <c r="G1087" s="1">
        <v>3</v>
      </c>
      <c r="H1087" s="1">
        <v>0</v>
      </c>
      <c r="I1087" s="1">
        <v>0</v>
      </c>
      <c r="J1087" s="1">
        <v>3</v>
      </c>
    </row>
    <row r="1088" spans="1:10" x14ac:dyDescent="0.2">
      <c r="A1088" s="1">
        <v>1247</v>
      </c>
      <c r="B1088" s="1">
        <v>0</v>
      </c>
      <c r="C1088" s="1">
        <v>10</v>
      </c>
      <c r="D1088" s="1">
        <v>3</v>
      </c>
      <c r="E1088" s="1">
        <v>3</v>
      </c>
      <c r="F1088" s="1">
        <v>4</v>
      </c>
      <c r="G1088" s="1">
        <v>3</v>
      </c>
      <c r="H1088" s="1">
        <v>1</v>
      </c>
      <c r="I1088" s="1">
        <v>3</v>
      </c>
      <c r="J1088" s="1">
        <v>3</v>
      </c>
    </row>
    <row r="1089" spans="1:10" x14ac:dyDescent="0.2">
      <c r="A1089" s="1">
        <v>92</v>
      </c>
      <c r="B1089" s="1">
        <v>0</v>
      </c>
      <c r="C1089" s="1">
        <v>13</v>
      </c>
      <c r="D1089" s="1">
        <v>3</v>
      </c>
      <c r="E1089" s="1">
        <v>3</v>
      </c>
      <c r="F1089" s="1">
        <v>4</v>
      </c>
      <c r="G1089" s="1">
        <v>3</v>
      </c>
      <c r="H1089" s="1">
        <v>0</v>
      </c>
      <c r="I1089" s="1">
        <v>3</v>
      </c>
      <c r="J1089" s="1">
        <v>3</v>
      </c>
    </row>
    <row r="1090" spans="1:10" x14ac:dyDescent="0.2">
      <c r="A1090" s="1">
        <v>290</v>
      </c>
      <c r="B1090" s="1">
        <v>0</v>
      </c>
      <c r="C1090" s="1">
        <v>14</v>
      </c>
      <c r="D1090" s="1">
        <v>5</v>
      </c>
      <c r="E1090" s="1">
        <v>3</v>
      </c>
      <c r="F1090" s="1">
        <v>4</v>
      </c>
      <c r="G1090" s="1">
        <v>3</v>
      </c>
      <c r="H1090" s="1">
        <v>0</v>
      </c>
      <c r="I1090" s="1">
        <v>1</v>
      </c>
      <c r="J1090" s="1">
        <v>3</v>
      </c>
    </row>
    <row r="1091" spans="1:10" x14ac:dyDescent="0.2">
      <c r="A1091" s="1">
        <v>574</v>
      </c>
      <c r="B1091" s="1">
        <v>0</v>
      </c>
      <c r="C1091" s="1">
        <v>7</v>
      </c>
      <c r="D1091" s="1">
        <v>5</v>
      </c>
      <c r="E1091" s="1">
        <v>1</v>
      </c>
      <c r="F1091" s="1">
        <v>5</v>
      </c>
      <c r="G1091" s="1">
        <v>3</v>
      </c>
      <c r="H1091" s="1">
        <v>1</v>
      </c>
      <c r="I1091" s="1">
        <v>1</v>
      </c>
      <c r="J1091" s="1">
        <v>3</v>
      </c>
    </row>
    <row r="1092" spans="1:10" x14ac:dyDescent="0.2">
      <c r="A1092" s="1">
        <v>838</v>
      </c>
      <c r="B1092" s="1">
        <v>0</v>
      </c>
      <c r="C1092" s="1">
        <v>7</v>
      </c>
      <c r="D1092" s="1">
        <v>2</v>
      </c>
      <c r="E1092" s="1">
        <v>1</v>
      </c>
      <c r="F1092" s="1">
        <v>5</v>
      </c>
      <c r="G1092" s="1">
        <v>3</v>
      </c>
      <c r="H1092" s="1">
        <v>0</v>
      </c>
      <c r="I1092" s="1">
        <v>0</v>
      </c>
      <c r="J1092" s="1">
        <v>3</v>
      </c>
    </row>
    <row r="1093" spans="1:10" x14ac:dyDescent="0.2">
      <c r="A1093" s="1">
        <v>1735</v>
      </c>
      <c r="B1093" s="1">
        <v>0</v>
      </c>
      <c r="C1093" s="1">
        <v>8</v>
      </c>
      <c r="D1093" s="1">
        <v>2</v>
      </c>
      <c r="E1093" s="1">
        <v>1</v>
      </c>
      <c r="F1093" s="1">
        <v>5</v>
      </c>
      <c r="G1093" s="1">
        <v>3</v>
      </c>
      <c r="H1093" s="1">
        <v>1</v>
      </c>
      <c r="I1093" s="1">
        <v>3</v>
      </c>
      <c r="J1093" s="1">
        <v>3</v>
      </c>
    </row>
    <row r="1094" spans="1:10" x14ac:dyDescent="0.2">
      <c r="A1094" s="1">
        <v>173</v>
      </c>
      <c r="B1094" s="1">
        <v>0</v>
      </c>
      <c r="C1094" s="1">
        <v>14</v>
      </c>
      <c r="D1094" s="1">
        <v>2</v>
      </c>
      <c r="E1094" s="1">
        <v>1</v>
      </c>
      <c r="F1094" s="1">
        <v>5</v>
      </c>
      <c r="G1094" s="1">
        <v>3</v>
      </c>
      <c r="H1094" s="1">
        <v>1</v>
      </c>
      <c r="I1094" s="1">
        <v>0</v>
      </c>
      <c r="J1094" s="1">
        <v>3</v>
      </c>
    </row>
    <row r="1095" spans="1:10" x14ac:dyDescent="0.2">
      <c r="A1095" s="1">
        <v>1552</v>
      </c>
      <c r="B1095" s="1">
        <v>0</v>
      </c>
      <c r="C1095" s="1">
        <v>19</v>
      </c>
      <c r="D1095" s="1">
        <v>5</v>
      </c>
      <c r="E1095" s="1">
        <v>1</v>
      </c>
      <c r="F1095" s="1">
        <v>5</v>
      </c>
      <c r="G1095" s="1">
        <v>3</v>
      </c>
      <c r="H1095" s="1">
        <v>1</v>
      </c>
      <c r="I1095" s="1">
        <v>2</v>
      </c>
      <c r="J1095" s="1">
        <v>3</v>
      </c>
    </row>
    <row r="1096" spans="1:10" x14ac:dyDescent="0.2">
      <c r="A1096" s="1">
        <v>482</v>
      </c>
      <c r="B1096" s="1">
        <v>0</v>
      </c>
      <c r="C1096" s="1">
        <v>5</v>
      </c>
      <c r="D1096" s="1">
        <v>2</v>
      </c>
      <c r="E1096" s="1">
        <v>2</v>
      </c>
      <c r="F1096" s="1">
        <v>5</v>
      </c>
      <c r="G1096" s="1">
        <v>3</v>
      </c>
      <c r="H1096" s="1">
        <v>1</v>
      </c>
      <c r="I1096" s="1">
        <v>3</v>
      </c>
      <c r="J1096" s="1">
        <v>3</v>
      </c>
    </row>
    <row r="1097" spans="1:10" x14ac:dyDescent="0.2">
      <c r="A1097" s="1">
        <v>2349</v>
      </c>
      <c r="B1097" s="1">
        <v>0</v>
      </c>
      <c r="C1097" s="1">
        <v>10</v>
      </c>
      <c r="D1097" s="1">
        <v>1</v>
      </c>
      <c r="E1097" s="1">
        <v>2</v>
      </c>
      <c r="F1097" s="1">
        <v>5</v>
      </c>
      <c r="G1097" s="1">
        <v>3</v>
      </c>
      <c r="H1097" s="1">
        <v>0</v>
      </c>
      <c r="I1097" s="1">
        <v>3</v>
      </c>
      <c r="J1097" s="1">
        <v>3</v>
      </c>
    </row>
    <row r="1098" spans="1:10" x14ac:dyDescent="0.2">
      <c r="A1098" s="1">
        <v>1626</v>
      </c>
      <c r="B1098" s="1">
        <v>0</v>
      </c>
      <c r="C1098" s="1">
        <v>16</v>
      </c>
      <c r="D1098" s="1">
        <v>2</v>
      </c>
      <c r="E1098" s="1">
        <v>3</v>
      </c>
      <c r="F1098" s="1">
        <v>5</v>
      </c>
      <c r="G1098" s="1">
        <v>3</v>
      </c>
      <c r="H1098" s="1">
        <v>0</v>
      </c>
      <c r="I1098" s="1">
        <v>3</v>
      </c>
      <c r="J1098" s="1">
        <v>3</v>
      </c>
    </row>
    <row r="1099" spans="1:10" x14ac:dyDescent="0.2">
      <c r="A1099" s="1">
        <v>451</v>
      </c>
      <c r="B1099" s="1">
        <v>0</v>
      </c>
      <c r="C1099" s="1">
        <v>14</v>
      </c>
      <c r="D1099" s="1">
        <v>3</v>
      </c>
      <c r="E1099" s="1">
        <v>1</v>
      </c>
      <c r="F1099" s="1">
        <v>6</v>
      </c>
      <c r="G1099" s="1">
        <v>3</v>
      </c>
      <c r="H1099" s="1">
        <v>0</v>
      </c>
      <c r="I1099" s="1">
        <v>2</v>
      </c>
      <c r="J1099" s="1">
        <v>3</v>
      </c>
    </row>
    <row r="1100" spans="1:10" x14ac:dyDescent="0.2">
      <c r="A1100" s="1">
        <v>529</v>
      </c>
      <c r="B1100" s="1">
        <v>0</v>
      </c>
      <c r="C1100" s="1">
        <v>14</v>
      </c>
      <c r="D1100" s="1">
        <v>5</v>
      </c>
      <c r="E1100" s="1">
        <v>1</v>
      </c>
      <c r="F1100" s="1">
        <v>6</v>
      </c>
      <c r="G1100" s="1">
        <v>3</v>
      </c>
      <c r="H1100" s="1">
        <v>0</v>
      </c>
      <c r="I1100" s="1">
        <v>0</v>
      </c>
      <c r="J1100" s="1">
        <v>3</v>
      </c>
    </row>
    <row r="1101" spans="1:10" x14ac:dyDescent="0.2">
      <c r="A1101" s="1">
        <v>665</v>
      </c>
      <c r="B1101" s="1">
        <v>0</v>
      </c>
      <c r="C1101" s="1">
        <v>14</v>
      </c>
      <c r="D1101" s="1">
        <v>2</v>
      </c>
      <c r="E1101" s="1">
        <v>1</v>
      </c>
      <c r="F1101" s="1">
        <v>6</v>
      </c>
      <c r="G1101" s="1">
        <v>3</v>
      </c>
      <c r="H1101" s="1">
        <v>1</v>
      </c>
      <c r="I1101" s="1">
        <v>3</v>
      </c>
      <c r="J1101" s="1">
        <v>3</v>
      </c>
    </row>
    <row r="1102" spans="1:10" x14ac:dyDescent="0.2">
      <c r="A1102" s="1">
        <v>507</v>
      </c>
      <c r="B1102" s="1">
        <v>0</v>
      </c>
      <c r="C1102" s="1">
        <v>16</v>
      </c>
      <c r="D1102" s="1">
        <v>4</v>
      </c>
      <c r="E1102" s="1">
        <v>1</v>
      </c>
      <c r="F1102" s="1">
        <v>6</v>
      </c>
      <c r="G1102" s="1">
        <v>3</v>
      </c>
      <c r="H1102" s="1">
        <v>1</v>
      </c>
      <c r="I1102" s="1">
        <v>2</v>
      </c>
      <c r="J1102" s="1">
        <v>3</v>
      </c>
    </row>
    <row r="1103" spans="1:10" x14ac:dyDescent="0.2">
      <c r="A1103" s="1">
        <v>573</v>
      </c>
      <c r="B1103" s="1">
        <v>0</v>
      </c>
      <c r="C1103" s="1">
        <v>18</v>
      </c>
      <c r="D1103" s="1">
        <v>3</v>
      </c>
      <c r="E1103" s="1">
        <v>1</v>
      </c>
      <c r="F1103" s="1">
        <v>6</v>
      </c>
      <c r="G1103" s="1">
        <v>3</v>
      </c>
      <c r="H1103" s="1">
        <v>0</v>
      </c>
      <c r="I1103" s="1">
        <v>0</v>
      </c>
      <c r="J1103" s="1">
        <v>3</v>
      </c>
    </row>
    <row r="1104" spans="1:10" x14ac:dyDescent="0.2">
      <c r="A1104" s="1">
        <v>1014</v>
      </c>
      <c r="B1104" s="1">
        <v>0</v>
      </c>
      <c r="C1104" s="1">
        <v>7</v>
      </c>
      <c r="D1104" s="1">
        <v>2</v>
      </c>
      <c r="E1104" s="1">
        <v>2</v>
      </c>
      <c r="F1104" s="1">
        <v>6</v>
      </c>
      <c r="G1104" s="1">
        <v>3</v>
      </c>
      <c r="H1104" s="1">
        <v>0</v>
      </c>
      <c r="I1104" s="1">
        <v>1</v>
      </c>
      <c r="J1104" s="1">
        <v>3</v>
      </c>
    </row>
    <row r="1105" spans="1:10" x14ac:dyDescent="0.2">
      <c r="A1105" s="1">
        <v>760</v>
      </c>
      <c r="B1105" s="1">
        <v>0</v>
      </c>
      <c r="C1105" s="1">
        <v>12</v>
      </c>
      <c r="D1105" s="1">
        <v>3</v>
      </c>
      <c r="E1105" s="1">
        <v>3</v>
      </c>
      <c r="F1105" s="1">
        <v>6</v>
      </c>
      <c r="G1105" s="1">
        <v>3</v>
      </c>
      <c r="H1105" s="1">
        <v>1</v>
      </c>
      <c r="I1105" s="1">
        <v>0</v>
      </c>
      <c r="J1105" s="1">
        <v>3</v>
      </c>
    </row>
    <row r="1106" spans="1:10" x14ac:dyDescent="0.2">
      <c r="A1106" s="1">
        <v>1717</v>
      </c>
      <c r="B1106" s="1">
        <v>0</v>
      </c>
      <c r="C1106" s="1">
        <v>18</v>
      </c>
      <c r="D1106" s="1">
        <v>5</v>
      </c>
      <c r="E1106" s="1">
        <v>1</v>
      </c>
      <c r="F1106" s="1">
        <v>7</v>
      </c>
      <c r="G1106" s="1">
        <v>3</v>
      </c>
      <c r="H1106" s="1">
        <v>1</v>
      </c>
      <c r="I1106" s="1">
        <v>1</v>
      </c>
      <c r="J1106" s="1">
        <v>3</v>
      </c>
    </row>
    <row r="1107" spans="1:10" x14ac:dyDescent="0.2">
      <c r="A1107" s="1">
        <v>1094</v>
      </c>
      <c r="B1107" s="1">
        <v>0</v>
      </c>
      <c r="C1107" s="1">
        <v>5</v>
      </c>
      <c r="D1107" s="1">
        <v>2</v>
      </c>
      <c r="E1107" s="1">
        <v>2</v>
      </c>
      <c r="F1107" s="1">
        <v>7</v>
      </c>
      <c r="G1107" s="1">
        <v>3</v>
      </c>
      <c r="H1107" s="1">
        <v>0</v>
      </c>
      <c r="I1107" s="1">
        <v>2</v>
      </c>
      <c r="J1107" s="1">
        <v>3</v>
      </c>
    </row>
    <row r="1108" spans="1:10" x14ac:dyDescent="0.2">
      <c r="A1108" s="1">
        <v>628</v>
      </c>
      <c r="B1108" s="1">
        <v>0</v>
      </c>
      <c r="C1108" s="1">
        <v>6</v>
      </c>
      <c r="D1108" s="1">
        <v>4</v>
      </c>
      <c r="E1108" s="1">
        <v>2</v>
      </c>
      <c r="F1108" s="1">
        <v>7</v>
      </c>
      <c r="G1108" s="1">
        <v>3</v>
      </c>
      <c r="H1108" s="1">
        <v>0</v>
      </c>
      <c r="I1108" s="1">
        <v>1</v>
      </c>
      <c r="J1108" s="1">
        <v>3</v>
      </c>
    </row>
    <row r="1109" spans="1:10" x14ac:dyDescent="0.2">
      <c r="A1109" s="1">
        <v>806</v>
      </c>
      <c r="B1109" s="1">
        <v>0</v>
      </c>
      <c r="C1109" s="1">
        <v>9</v>
      </c>
      <c r="D1109" s="1">
        <v>5</v>
      </c>
      <c r="E1109" s="1">
        <v>2</v>
      </c>
      <c r="F1109" s="1">
        <v>7</v>
      </c>
      <c r="G1109" s="1">
        <v>3</v>
      </c>
      <c r="H1109" s="1">
        <v>0</v>
      </c>
      <c r="I1109" s="1">
        <v>2</v>
      </c>
      <c r="J1109" s="1">
        <v>3</v>
      </c>
    </row>
    <row r="1110" spans="1:10" x14ac:dyDescent="0.2">
      <c r="A1110" s="1">
        <v>1085</v>
      </c>
      <c r="B1110" s="1">
        <v>0</v>
      </c>
      <c r="C1110" s="1">
        <v>16</v>
      </c>
      <c r="D1110" s="1">
        <v>1</v>
      </c>
      <c r="E1110" s="1">
        <v>2</v>
      </c>
      <c r="F1110" s="1">
        <v>7</v>
      </c>
      <c r="G1110" s="1">
        <v>3</v>
      </c>
      <c r="H1110" s="1">
        <v>0</v>
      </c>
      <c r="I1110" s="1">
        <v>0</v>
      </c>
      <c r="J1110" s="1">
        <v>3</v>
      </c>
    </row>
    <row r="1111" spans="1:10" x14ac:dyDescent="0.2">
      <c r="A1111" s="1">
        <v>2149</v>
      </c>
      <c r="B1111" s="1">
        <v>0</v>
      </c>
      <c r="C1111" s="1">
        <v>18</v>
      </c>
      <c r="D1111" s="1">
        <v>1</v>
      </c>
      <c r="E1111" s="1">
        <v>3</v>
      </c>
      <c r="F1111" s="1">
        <v>7</v>
      </c>
      <c r="G1111" s="1">
        <v>3</v>
      </c>
      <c r="H1111" s="1">
        <v>0</v>
      </c>
      <c r="I1111" s="1">
        <v>3</v>
      </c>
      <c r="J1111" s="1">
        <v>3</v>
      </c>
    </row>
    <row r="1112" spans="1:10" x14ac:dyDescent="0.2">
      <c r="A1112" s="1">
        <v>1352</v>
      </c>
      <c r="B1112" s="1">
        <v>0</v>
      </c>
      <c r="C1112" s="1">
        <v>19</v>
      </c>
      <c r="D1112" s="1">
        <v>5</v>
      </c>
      <c r="E1112" s="1">
        <v>3</v>
      </c>
      <c r="F1112" s="1">
        <v>7</v>
      </c>
      <c r="G1112" s="1">
        <v>3</v>
      </c>
      <c r="H1112" s="1">
        <v>1</v>
      </c>
      <c r="I1112" s="1">
        <v>1</v>
      </c>
      <c r="J1112" s="1">
        <v>3</v>
      </c>
    </row>
    <row r="1113" spans="1:10" x14ac:dyDescent="0.2">
      <c r="A1113" s="1">
        <v>741</v>
      </c>
      <c r="B1113" s="1">
        <v>0</v>
      </c>
      <c r="C1113" s="1">
        <v>13</v>
      </c>
      <c r="D1113" s="1">
        <v>3</v>
      </c>
      <c r="E1113" s="1">
        <v>1</v>
      </c>
      <c r="F1113" s="1">
        <v>8</v>
      </c>
      <c r="G1113" s="1">
        <v>3</v>
      </c>
      <c r="H1113" s="1">
        <v>1</v>
      </c>
      <c r="I1113" s="1">
        <v>3</v>
      </c>
      <c r="J1113" s="1">
        <v>3</v>
      </c>
    </row>
    <row r="1114" spans="1:10" x14ac:dyDescent="0.2">
      <c r="A1114" s="1">
        <v>1828</v>
      </c>
      <c r="B1114" s="1">
        <v>0</v>
      </c>
      <c r="C1114" s="1">
        <v>5</v>
      </c>
      <c r="D1114" s="1">
        <v>4</v>
      </c>
      <c r="E1114" s="1">
        <v>2</v>
      </c>
      <c r="F1114" s="1">
        <v>8</v>
      </c>
      <c r="G1114" s="1">
        <v>3</v>
      </c>
      <c r="H1114" s="1">
        <v>1</v>
      </c>
      <c r="I1114" s="1">
        <v>1</v>
      </c>
      <c r="J1114" s="1">
        <v>3</v>
      </c>
    </row>
    <row r="1115" spans="1:10" x14ac:dyDescent="0.2">
      <c r="A1115" s="1">
        <v>2334</v>
      </c>
      <c r="B1115" s="1">
        <v>0</v>
      </c>
      <c r="C1115" s="1">
        <v>5</v>
      </c>
      <c r="D1115" s="1">
        <v>5</v>
      </c>
      <c r="E1115" s="1">
        <v>2</v>
      </c>
      <c r="F1115" s="1">
        <v>8</v>
      </c>
      <c r="G1115" s="1">
        <v>3</v>
      </c>
      <c r="H1115" s="1">
        <v>1</v>
      </c>
      <c r="I1115" s="1">
        <v>1</v>
      </c>
      <c r="J1115" s="1">
        <v>3</v>
      </c>
    </row>
    <row r="1116" spans="1:10" x14ac:dyDescent="0.2">
      <c r="A1116" s="1">
        <v>663</v>
      </c>
      <c r="B1116" s="1">
        <v>0</v>
      </c>
      <c r="C1116" s="1">
        <v>11</v>
      </c>
      <c r="D1116" s="1">
        <v>5</v>
      </c>
      <c r="E1116" s="1">
        <v>2</v>
      </c>
      <c r="F1116" s="1">
        <v>8</v>
      </c>
      <c r="G1116" s="1">
        <v>3</v>
      </c>
      <c r="H1116" s="1">
        <v>1</v>
      </c>
      <c r="I1116" s="1">
        <v>3</v>
      </c>
      <c r="J1116" s="1">
        <v>3</v>
      </c>
    </row>
    <row r="1117" spans="1:10" x14ac:dyDescent="0.2">
      <c r="A1117" s="1">
        <v>40</v>
      </c>
      <c r="B1117" s="1">
        <v>0</v>
      </c>
      <c r="C1117" s="1">
        <v>10</v>
      </c>
      <c r="D1117" s="1">
        <v>4</v>
      </c>
      <c r="E1117" s="1">
        <v>3</v>
      </c>
      <c r="F1117" s="1">
        <v>8</v>
      </c>
      <c r="G1117" s="1">
        <v>3</v>
      </c>
      <c r="H1117" s="1">
        <v>1</v>
      </c>
      <c r="I1117" s="1">
        <v>3</v>
      </c>
      <c r="J1117" s="1">
        <v>3</v>
      </c>
    </row>
    <row r="1118" spans="1:10" x14ac:dyDescent="0.2">
      <c r="A1118" s="1">
        <v>1064</v>
      </c>
      <c r="B1118" s="1">
        <v>0</v>
      </c>
      <c r="C1118" s="1">
        <v>12</v>
      </c>
      <c r="D1118" s="1">
        <v>1</v>
      </c>
      <c r="E1118" s="1">
        <v>3</v>
      </c>
      <c r="F1118" s="1">
        <v>8</v>
      </c>
      <c r="G1118" s="1">
        <v>3</v>
      </c>
      <c r="H1118" s="1">
        <v>1</v>
      </c>
      <c r="I1118" s="1">
        <v>0</v>
      </c>
      <c r="J1118" s="1">
        <v>3</v>
      </c>
    </row>
    <row r="1119" spans="1:10" x14ac:dyDescent="0.2">
      <c r="A1119" s="1">
        <v>674</v>
      </c>
      <c r="B1119" s="1">
        <v>0</v>
      </c>
      <c r="C1119" s="1">
        <v>14</v>
      </c>
      <c r="D1119" s="1">
        <v>1</v>
      </c>
      <c r="E1119" s="1">
        <v>3</v>
      </c>
      <c r="F1119" s="1">
        <v>8</v>
      </c>
      <c r="G1119" s="1">
        <v>3</v>
      </c>
      <c r="H1119" s="1">
        <v>1</v>
      </c>
      <c r="I1119" s="1">
        <v>1</v>
      </c>
      <c r="J1119" s="1">
        <v>3</v>
      </c>
    </row>
    <row r="1120" spans="1:10" x14ac:dyDescent="0.2">
      <c r="A1120" s="1">
        <v>2302</v>
      </c>
      <c r="B1120" s="1">
        <v>0</v>
      </c>
      <c r="C1120" s="1">
        <v>5</v>
      </c>
      <c r="D1120" s="1">
        <v>2</v>
      </c>
      <c r="E1120" s="1">
        <v>1</v>
      </c>
      <c r="F1120" s="1">
        <v>9</v>
      </c>
      <c r="G1120" s="1">
        <v>3</v>
      </c>
      <c r="H1120" s="1">
        <v>0</v>
      </c>
      <c r="I1120" s="1">
        <v>3</v>
      </c>
      <c r="J1120" s="1">
        <v>3</v>
      </c>
    </row>
    <row r="1121" spans="1:10" x14ac:dyDescent="0.2">
      <c r="A1121" s="1">
        <v>2496</v>
      </c>
      <c r="B1121" s="1">
        <v>0</v>
      </c>
      <c r="C1121" s="1">
        <v>6</v>
      </c>
      <c r="D1121" s="1">
        <v>3</v>
      </c>
      <c r="E1121" s="1">
        <v>2</v>
      </c>
      <c r="F1121" s="1">
        <v>9</v>
      </c>
      <c r="G1121" s="1">
        <v>3</v>
      </c>
      <c r="H1121" s="1">
        <v>1</v>
      </c>
      <c r="I1121" s="1">
        <v>3</v>
      </c>
      <c r="J1121" s="1">
        <v>3</v>
      </c>
    </row>
    <row r="1122" spans="1:10" x14ac:dyDescent="0.2">
      <c r="A1122" s="1">
        <v>2052</v>
      </c>
      <c r="B1122" s="1">
        <v>0</v>
      </c>
      <c r="C1122" s="1">
        <v>13</v>
      </c>
      <c r="D1122" s="1">
        <v>5</v>
      </c>
      <c r="E1122" s="1">
        <v>2</v>
      </c>
      <c r="F1122" s="1">
        <v>9</v>
      </c>
      <c r="G1122" s="1">
        <v>3</v>
      </c>
      <c r="H1122" s="1">
        <v>0</v>
      </c>
      <c r="I1122" s="1">
        <v>1</v>
      </c>
      <c r="J1122" s="1">
        <v>3</v>
      </c>
    </row>
    <row r="1123" spans="1:10" x14ac:dyDescent="0.2">
      <c r="A1123" s="1">
        <v>659</v>
      </c>
      <c r="B1123" s="1">
        <v>0</v>
      </c>
      <c r="C1123" s="1">
        <v>18</v>
      </c>
      <c r="D1123" s="1">
        <v>1</v>
      </c>
      <c r="E1123" s="1">
        <v>2</v>
      </c>
      <c r="F1123" s="1">
        <v>9</v>
      </c>
      <c r="G1123" s="1">
        <v>3</v>
      </c>
      <c r="H1123" s="1">
        <v>0</v>
      </c>
      <c r="I1123" s="1">
        <v>1</v>
      </c>
      <c r="J1123" s="1">
        <v>3</v>
      </c>
    </row>
    <row r="1124" spans="1:10" x14ac:dyDescent="0.2">
      <c r="A1124" s="1">
        <v>1838</v>
      </c>
      <c r="B1124" s="1">
        <v>0</v>
      </c>
      <c r="C1124" s="1">
        <v>8</v>
      </c>
      <c r="D1124" s="1">
        <v>1</v>
      </c>
      <c r="E1124" s="1">
        <v>3</v>
      </c>
      <c r="F1124" s="1">
        <v>9</v>
      </c>
      <c r="G1124" s="1">
        <v>3</v>
      </c>
      <c r="H1124" s="1">
        <v>0</v>
      </c>
      <c r="I1124" s="1">
        <v>1</v>
      </c>
      <c r="J1124" s="1">
        <v>3</v>
      </c>
    </row>
    <row r="1125" spans="1:10" x14ac:dyDescent="0.2">
      <c r="A1125" s="1">
        <v>1795</v>
      </c>
      <c r="B1125" s="1">
        <v>0</v>
      </c>
      <c r="C1125" s="1">
        <v>6</v>
      </c>
      <c r="D1125" s="1">
        <v>5</v>
      </c>
      <c r="E1125" s="1">
        <v>2</v>
      </c>
      <c r="F1125" s="1">
        <v>10</v>
      </c>
      <c r="G1125" s="1">
        <v>3</v>
      </c>
      <c r="H1125" s="1">
        <v>1</v>
      </c>
      <c r="I1125" s="1">
        <v>0</v>
      </c>
      <c r="J1125" s="1">
        <v>3</v>
      </c>
    </row>
    <row r="1126" spans="1:10" x14ac:dyDescent="0.2">
      <c r="A1126" s="1">
        <v>785</v>
      </c>
      <c r="B1126" s="1">
        <v>0</v>
      </c>
      <c r="C1126" s="1">
        <v>6</v>
      </c>
      <c r="D1126" s="1">
        <v>1</v>
      </c>
      <c r="E1126" s="1">
        <v>1</v>
      </c>
      <c r="F1126" s="1">
        <v>1</v>
      </c>
      <c r="G1126" s="1">
        <v>4</v>
      </c>
      <c r="H1126" s="1">
        <v>0</v>
      </c>
      <c r="I1126" s="1">
        <v>0</v>
      </c>
      <c r="J1126" s="1">
        <v>3</v>
      </c>
    </row>
    <row r="1127" spans="1:10" x14ac:dyDescent="0.2">
      <c r="A1127" s="1">
        <v>910</v>
      </c>
      <c r="B1127" s="1">
        <v>0</v>
      </c>
      <c r="C1127" s="1">
        <v>6</v>
      </c>
      <c r="D1127" s="1">
        <v>4</v>
      </c>
      <c r="E1127" s="1">
        <v>1</v>
      </c>
      <c r="F1127" s="1">
        <v>1</v>
      </c>
      <c r="G1127" s="1">
        <v>4</v>
      </c>
      <c r="H1127" s="1">
        <v>0</v>
      </c>
      <c r="I1127" s="1">
        <v>0</v>
      </c>
      <c r="J1127" s="1">
        <v>3</v>
      </c>
    </row>
    <row r="1128" spans="1:10" x14ac:dyDescent="0.2">
      <c r="A1128" s="1">
        <v>2056</v>
      </c>
      <c r="B1128" s="1">
        <v>0</v>
      </c>
      <c r="C1128" s="1">
        <v>6</v>
      </c>
      <c r="D1128" s="1">
        <v>4</v>
      </c>
      <c r="E1128" s="1">
        <v>1</v>
      </c>
      <c r="F1128" s="1">
        <v>1</v>
      </c>
      <c r="G1128" s="1">
        <v>4</v>
      </c>
      <c r="H1128" s="1">
        <v>1</v>
      </c>
      <c r="I1128" s="1">
        <v>1</v>
      </c>
      <c r="J1128" s="1">
        <v>3</v>
      </c>
    </row>
    <row r="1129" spans="1:10" x14ac:dyDescent="0.2">
      <c r="A1129" s="1">
        <v>341</v>
      </c>
      <c r="B1129" s="1">
        <v>0</v>
      </c>
      <c r="C1129" s="1">
        <v>17</v>
      </c>
      <c r="D1129" s="1">
        <v>3</v>
      </c>
      <c r="E1129" s="1">
        <v>1</v>
      </c>
      <c r="F1129" s="1">
        <v>1</v>
      </c>
      <c r="G1129" s="1">
        <v>4</v>
      </c>
      <c r="H1129" s="1">
        <v>0</v>
      </c>
      <c r="I1129" s="1">
        <v>3</v>
      </c>
      <c r="J1129" s="1">
        <v>3</v>
      </c>
    </row>
    <row r="1130" spans="1:10" x14ac:dyDescent="0.2">
      <c r="A1130" s="1">
        <v>870</v>
      </c>
      <c r="B1130" s="1">
        <v>0</v>
      </c>
      <c r="C1130" s="1">
        <v>5</v>
      </c>
      <c r="D1130" s="1">
        <v>1</v>
      </c>
      <c r="E1130" s="1">
        <v>1</v>
      </c>
      <c r="F1130" s="1">
        <v>2</v>
      </c>
      <c r="G1130" s="1">
        <v>4</v>
      </c>
      <c r="H1130" s="1">
        <v>0</v>
      </c>
      <c r="I1130" s="1">
        <v>3</v>
      </c>
      <c r="J1130" s="1">
        <v>3</v>
      </c>
    </row>
    <row r="1131" spans="1:10" x14ac:dyDescent="0.2">
      <c r="A1131" s="1">
        <v>1145</v>
      </c>
      <c r="B1131" s="1">
        <v>0</v>
      </c>
      <c r="C1131" s="1">
        <v>14</v>
      </c>
      <c r="D1131" s="1">
        <v>4</v>
      </c>
      <c r="E1131" s="1">
        <v>1</v>
      </c>
      <c r="F1131" s="1">
        <v>2</v>
      </c>
      <c r="G1131" s="1">
        <v>4</v>
      </c>
      <c r="H1131" s="1">
        <v>1</v>
      </c>
      <c r="I1131" s="1">
        <v>2</v>
      </c>
      <c r="J1131" s="1">
        <v>3</v>
      </c>
    </row>
    <row r="1132" spans="1:10" x14ac:dyDescent="0.2">
      <c r="A1132" s="1">
        <v>1280</v>
      </c>
      <c r="B1132" s="1">
        <v>0</v>
      </c>
      <c r="C1132" s="1">
        <v>14</v>
      </c>
      <c r="D1132" s="1">
        <v>5</v>
      </c>
      <c r="E1132" s="1">
        <v>1</v>
      </c>
      <c r="F1132" s="1">
        <v>2</v>
      </c>
      <c r="G1132" s="1">
        <v>4</v>
      </c>
      <c r="H1132" s="1">
        <v>0</v>
      </c>
      <c r="I1132" s="1">
        <v>0</v>
      </c>
      <c r="J1132" s="1">
        <v>3</v>
      </c>
    </row>
    <row r="1133" spans="1:10" x14ac:dyDescent="0.2">
      <c r="A1133" s="1">
        <v>2282</v>
      </c>
      <c r="B1133" s="1">
        <v>0</v>
      </c>
      <c r="C1133" s="1">
        <v>14</v>
      </c>
      <c r="D1133" s="1">
        <v>3</v>
      </c>
      <c r="E1133" s="1">
        <v>2</v>
      </c>
      <c r="F1133" s="1">
        <v>2</v>
      </c>
      <c r="G1133" s="1">
        <v>4</v>
      </c>
      <c r="H1133" s="1">
        <v>1</v>
      </c>
      <c r="I1133" s="1">
        <v>3</v>
      </c>
      <c r="J1133" s="1">
        <v>3</v>
      </c>
    </row>
    <row r="1134" spans="1:10" x14ac:dyDescent="0.2">
      <c r="A1134" s="1">
        <v>2046</v>
      </c>
      <c r="B1134" s="1">
        <v>0</v>
      </c>
      <c r="C1134" s="1">
        <v>11</v>
      </c>
      <c r="D1134" s="1">
        <v>2</v>
      </c>
      <c r="E1134" s="1">
        <v>3</v>
      </c>
      <c r="F1134" s="1">
        <v>2</v>
      </c>
      <c r="G1134" s="1">
        <v>4</v>
      </c>
      <c r="H1134" s="1">
        <v>0</v>
      </c>
      <c r="I1134" s="1">
        <v>0</v>
      </c>
      <c r="J1134" s="1">
        <v>3</v>
      </c>
    </row>
    <row r="1135" spans="1:10" x14ac:dyDescent="0.2">
      <c r="A1135" s="1">
        <v>1129</v>
      </c>
      <c r="B1135" s="1">
        <v>0</v>
      </c>
      <c r="C1135" s="1">
        <v>15</v>
      </c>
      <c r="D1135" s="1">
        <v>3</v>
      </c>
      <c r="E1135" s="1">
        <v>3</v>
      </c>
      <c r="F1135" s="1">
        <v>2</v>
      </c>
      <c r="G1135" s="1">
        <v>4</v>
      </c>
      <c r="H1135" s="1">
        <v>0</v>
      </c>
      <c r="I1135" s="1">
        <v>0</v>
      </c>
      <c r="J1135" s="1">
        <v>3</v>
      </c>
    </row>
    <row r="1136" spans="1:10" x14ac:dyDescent="0.2">
      <c r="A1136" s="1">
        <v>258</v>
      </c>
      <c r="B1136" s="1">
        <v>0</v>
      </c>
      <c r="C1136" s="1">
        <v>8</v>
      </c>
      <c r="D1136" s="1">
        <v>4</v>
      </c>
      <c r="E1136" s="1">
        <v>2</v>
      </c>
      <c r="F1136" s="1">
        <v>3</v>
      </c>
      <c r="G1136" s="1">
        <v>4</v>
      </c>
      <c r="H1136" s="1">
        <v>0</v>
      </c>
      <c r="I1136" s="1">
        <v>3</v>
      </c>
      <c r="J1136" s="1">
        <v>3</v>
      </c>
    </row>
    <row r="1137" spans="1:10" x14ac:dyDescent="0.2">
      <c r="A1137" s="1">
        <v>391</v>
      </c>
      <c r="B1137" s="1">
        <v>0</v>
      </c>
      <c r="C1137" s="1">
        <v>20</v>
      </c>
      <c r="D1137" s="1">
        <v>3</v>
      </c>
      <c r="E1137" s="1">
        <v>3</v>
      </c>
      <c r="F1137" s="1">
        <v>3</v>
      </c>
      <c r="G1137" s="1">
        <v>4</v>
      </c>
      <c r="H1137" s="1">
        <v>1</v>
      </c>
      <c r="I1137" s="1">
        <v>3</v>
      </c>
      <c r="J1137" s="1">
        <v>3</v>
      </c>
    </row>
    <row r="1138" spans="1:10" x14ac:dyDescent="0.2">
      <c r="A1138" s="1">
        <v>1215</v>
      </c>
      <c r="B1138" s="1">
        <v>0</v>
      </c>
      <c r="C1138" s="1">
        <v>19</v>
      </c>
      <c r="D1138" s="1">
        <v>5</v>
      </c>
      <c r="E1138" s="1">
        <v>1</v>
      </c>
      <c r="F1138" s="1">
        <v>4</v>
      </c>
      <c r="G1138" s="1">
        <v>4</v>
      </c>
      <c r="H1138" s="1">
        <v>0</v>
      </c>
      <c r="I1138" s="1">
        <v>2</v>
      </c>
      <c r="J1138" s="1">
        <v>3</v>
      </c>
    </row>
    <row r="1139" spans="1:10" x14ac:dyDescent="0.2">
      <c r="A1139" s="1">
        <v>609</v>
      </c>
      <c r="B1139" s="1">
        <v>0</v>
      </c>
      <c r="C1139" s="1">
        <v>12</v>
      </c>
      <c r="D1139" s="1">
        <v>2</v>
      </c>
      <c r="E1139" s="1">
        <v>1</v>
      </c>
      <c r="F1139" s="1">
        <v>5</v>
      </c>
      <c r="G1139" s="1">
        <v>4</v>
      </c>
      <c r="H1139" s="1">
        <v>1</v>
      </c>
      <c r="I1139" s="1">
        <v>1</v>
      </c>
      <c r="J1139" s="1">
        <v>3</v>
      </c>
    </row>
    <row r="1140" spans="1:10" x14ac:dyDescent="0.2">
      <c r="A1140" s="1">
        <v>2377</v>
      </c>
      <c r="B1140" s="1">
        <v>0</v>
      </c>
      <c r="C1140" s="1">
        <v>20</v>
      </c>
      <c r="D1140" s="1">
        <v>4</v>
      </c>
      <c r="E1140" s="1">
        <v>2</v>
      </c>
      <c r="F1140" s="1">
        <v>5</v>
      </c>
      <c r="G1140" s="1">
        <v>4</v>
      </c>
      <c r="H1140" s="1">
        <v>1</v>
      </c>
      <c r="I1140" s="1">
        <v>2</v>
      </c>
      <c r="J1140" s="1">
        <v>3</v>
      </c>
    </row>
    <row r="1141" spans="1:10" x14ac:dyDescent="0.2">
      <c r="A1141" s="1">
        <v>997</v>
      </c>
      <c r="B1141" s="1">
        <v>0</v>
      </c>
      <c r="C1141" s="1">
        <v>9</v>
      </c>
      <c r="D1141" s="1">
        <v>5</v>
      </c>
      <c r="E1141" s="1">
        <v>3</v>
      </c>
      <c r="F1141" s="1">
        <v>5</v>
      </c>
      <c r="G1141" s="1">
        <v>4</v>
      </c>
      <c r="H1141" s="1">
        <v>0</v>
      </c>
      <c r="I1141" s="1">
        <v>3</v>
      </c>
      <c r="J1141" s="1">
        <v>3</v>
      </c>
    </row>
    <row r="1142" spans="1:10" x14ac:dyDescent="0.2">
      <c r="A1142" s="1">
        <v>693</v>
      </c>
      <c r="B1142" s="1">
        <v>0</v>
      </c>
      <c r="C1142" s="1">
        <v>17</v>
      </c>
      <c r="D1142" s="1">
        <v>2</v>
      </c>
      <c r="E1142" s="1">
        <v>3</v>
      </c>
      <c r="F1142" s="1">
        <v>5</v>
      </c>
      <c r="G1142" s="1">
        <v>4</v>
      </c>
      <c r="H1142" s="1">
        <v>0</v>
      </c>
      <c r="I1142" s="1">
        <v>2</v>
      </c>
      <c r="J1142" s="1">
        <v>3</v>
      </c>
    </row>
    <row r="1143" spans="1:10" x14ac:dyDescent="0.2">
      <c r="A1143" s="1">
        <v>2042</v>
      </c>
      <c r="B1143" s="1">
        <v>0</v>
      </c>
      <c r="C1143" s="1">
        <v>9</v>
      </c>
      <c r="D1143" s="1">
        <v>4</v>
      </c>
      <c r="E1143" s="1">
        <v>1</v>
      </c>
      <c r="F1143" s="1">
        <v>6</v>
      </c>
      <c r="G1143" s="1">
        <v>4</v>
      </c>
      <c r="H1143" s="1">
        <v>0</v>
      </c>
      <c r="I1143" s="1">
        <v>3</v>
      </c>
      <c r="J1143" s="1">
        <v>3</v>
      </c>
    </row>
    <row r="1144" spans="1:10" x14ac:dyDescent="0.2">
      <c r="A1144" s="1">
        <v>2105</v>
      </c>
      <c r="B1144" s="1">
        <v>0</v>
      </c>
      <c r="C1144" s="1">
        <v>10</v>
      </c>
      <c r="D1144" s="1">
        <v>2</v>
      </c>
      <c r="E1144" s="1">
        <v>1</v>
      </c>
      <c r="F1144" s="1">
        <v>6</v>
      </c>
      <c r="G1144" s="1">
        <v>4</v>
      </c>
      <c r="H1144" s="1">
        <v>0</v>
      </c>
      <c r="I1144" s="1">
        <v>1</v>
      </c>
      <c r="J1144" s="1">
        <v>3</v>
      </c>
    </row>
    <row r="1145" spans="1:10" x14ac:dyDescent="0.2">
      <c r="A1145" s="1">
        <v>1080</v>
      </c>
      <c r="B1145" s="1">
        <v>0</v>
      </c>
      <c r="C1145" s="1">
        <v>10</v>
      </c>
      <c r="D1145" s="1">
        <v>2</v>
      </c>
      <c r="E1145" s="1">
        <v>2</v>
      </c>
      <c r="F1145" s="1">
        <v>6</v>
      </c>
      <c r="G1145" s="1">
        <v>4</v>
      </c>
      <c r="H1145" s="1">
        <v>0</v>
      </c>
      <c r="I1145" s="1">
        <v>2</v>
      </c>
      <c r="J1145" s="1">
        <v>3</v>
      </c>
    </row>
    <row r="1146" spans="1:10" x14ac:dyDescent="0.2">
      <c r="A1146" s="1">
        <v>2182</v>
      </c>
      <c r="B1146" s="1">
        <v>0</v>
      </c>
      <c r="C1146" s="1">
        <v>19</v>
      </c>
      <c r="D1146" s="1">
        <v>4</v>
      </c>
      <c r="E1146" s="1">
        <v>2</v>
      </c>
      <c r="F1146" s="1">
        <v>6</v>
      </c>
      <c r="G1146" s="1">
        <v>4</v>
      </c>
      <c r="H1146" s="1">
        <v>0</v>
      </c>
      <c r="I1146" s="1">
        <v>1</v>
      </c>
      <c r="J1146" s="1">
        <v>3</v>
      </c>
    </row>
    <row r="1147" spans="1:10" x14ac:dyDescent="0.2">
      <c r="A1147" s="1">
        <v>378</v>
      </c>
      <c r="B1147" s="1">
        <v>0</v>
      </c>
      <c r="C1147" s="1">
        <v>15</v>
      </c>
      <c r="D1147" s="1">
        <v>2</v>
      </c>
      <c r="E1147" s="1">
        <v>1</v>
      </c>
      <c r="F1147" s="1">
        <v>7</v>
      </c>
      <c r="G1147" s="1">
        <v>4</v>
      </c>
      <c r="H1147" s="1">
        <v>1</v>
      </c>
      <c r="I1147" s="1">
        <v>1</v>
      </c>
      <c r="J1147" s="1">
        <v>3</v>
      </c>
    </row>
    <row r="1148" spans="1:10" x14ac:dyDescent="0.2">
      <c r="A1148" s="1">
        <v>1743</v>
      </c>
      <c r="B1148" s="1">
        <v>0</v>
      </c>
      <c r="C1148" s="1">
        <v>11</v>
      </c>
      <c r="D1148" s="1">
        <v>5</v>
      </c>
      <c r="E1148" s="1">
        <v>2</v>
      </c>
      <c r="F1148" s="1">
        <v>7</v>
      </c>
      <c r="G1148" s="1">
        <v>4</v>
      </c>
      <c r="H1148" s="1">
        <v>0</v>
      </c>
      <c r="I1148" s="1">
        <v>3</v>
      </c>
      <c r="J1148" s="1">
        <v>3</v>
      </c>
    </row>
    <row r="1149" spans="1:10" x14ac:dyDescent="0.2">
      <c r="A1149" s="1">
        <v>309</v>
      </c>
      <c r="B1149" s="1">
        <v>0</v>
      </c>
      <c r="C1149" s="1">
        <v>15</v>
      </c>
      <c r="D1149" s="1">
        <v>3</v>
      </c>
      <c r="E1149" s="1">
        <v>2</v>
      </c>
      <c r="F1149" s="1">
        <v>7</v>
      </c>
      <c r="G1149" s="1">
        <v>4</v>
      </c>
      <c r="H1149" s="1">
        <v>0</v>
      </c>
      <c r="I1149" s="1">
        <v>2</v>
      </c>
      <c r="J1149" s="1">
        <v>3</v>
      </c>
    </row>
    <row r="1150" spans="1:10" x14ac:dyDescent="0.2">
      <c r="A1150" s="1">
        <v>75</v>
      </c>
      <c r="B1150" s="1">
        <v>0</v>
      </c>
      <c r="C1150" s="1">
        <v>16</v>
      </c>
      <c r="D1150" s="1">
        <v>2</v>
      </c>
      <c r="E1150" s="1">
        <v>2</v>
      </c>
      <c r="F1150" s="1">
        <v>7</v>
      </c>
      <c r="G1150" s="1">
        <v>4</v>
      </c>
      <c r="H1150" s="1">
        <v>0</v>
      </c>
      <c r="I1150" s="1">
        <v>2</v>
      </c>
      <c r="J1150" s="1">
        <v>3</v>
      </c>
    </row>
    <row r="1151" spans="1:10" x14ac:dyDescent="0.2">
      <c r="A1151" s="1">
        <v>442</v>
      </c>
      <c r="B1151" s="1">
        <v>0</v>
      </c>
      <c r="C1151" s="1">
        <v>20</v>
      </c>
      <c r="D1151" s="1">
        <v>2</v>
      </c>
      <c r="E1151" s="1">
        <v>2</v>
      </c>
      <c r="F1151" s="1">
        <v>7</v>
      </c>
      <c r="G1151" s="1">
        <v>4</v>
      </c>
      <c r="H1151" s="1">
        <v>1</v>
      </c>
      <c r="I1151" s="1">
        <v>2</v>
      </c>
      <c r="J1151" s="1">
        <v>3</v>
      </c>
    </row>
    <row r="1152" spans="1:10" x14ac:dyDescent="0.2">
      <c r="A1152" s="1">
        <v>54</v>
      </c>
      <c r="B1152" s="1">
        <v>0</v>
      </c>
      <c r="C1152" s="1">
        <v>7</v>
      </c>
      <c r="D1152" s="1">
        <v>2</v>
      </c>
      <c r="E1152" s="1">
        <v>1</v>
      </c>
      <c r="F1152" s="1">
        <v>8</v>
      </c>
      <c r="G1152" s="1">
        <v>4</v>
      </c>
      <c r="H1152" s="1">
        <v>0</v>
      </c>
      <c r="I1152" s="1">
        <v>1</v>
      </c>
      <c r="J1152" s="1">
        <v>3</v>
      </c>
    </row>
    <row r="1153" spans="1:10" x14ac:dyDescent="0.2">
      <c r="A1153" s="1">
        <v>592</v>
      </c>
      <c r="B1153" s="1">
        <v>0</v>
      </c>
      <c r="C1153" s="1">
        <v>12</v>
      </c>
      <c r="D1153" s="1">
        <v>1</v>
      </c>
      <c r="E1153" s="1">
        <v>1</v>
      </c>
      <c r="F1153" s="1">
        <v>8</v>
      </c>
      <c r="G1153" s="1">
        <v>4</v>
      </c>
      <c r="H1153" s="1">
        <v>1</v>
      </c>
      <c r="I1153" s="1">
        <v>1</v>
      </c>
      <c r="J1153" s="1">
        <v>3</v>
      </c>
    </row>
    <row r="1154" spans="1:10" x14ac:dyDescent="0.2">
      <c r="A1154" s="1">
        <v>188</v>
      </c>
      <c r="B1154" s="1">
        <v>0</v>
      </c>
      <c r="C1154" s="1">
        <v>6</v>
      </c>
      <c r="D1154" s="1">
        <v>4</v>
      </c>
      <c r="E1154" s="1">
        <v>2</v>
      </c>
      <c r="F1154" s="1">
        <v>8</v>
      </c>
      <c r="G1154" s="1">
        <v>4</v>
      </c>
      <c r="H1154" s="1">
        <v>0</v>
      </c>
      <c r="I1154" s="1">
        <v>1</v>
      </c>
      <c r="J1154" s="1">
        <v>3</v>
      </c>
    </row>
    <row r="1155" spans="1:10" x14ac:dyDescent="0.2">
      <c r="A1155" s="1">
        <v>571</v>
      </c>
      <c r="B1155" s="1">
        <v>0</v>
      </c>
      <c r="C1155" s="1">
        <v>5</v>
      </c>
      <c r="D1155" s="1">
        <v>1</v>
      </c>
      <c r="E1155" s="1">
        <v>3</v>
      </c>
      <c r="F1155" s="1">
        <v>8</v>
      </c>
      <c r="G1155" s="1">
        <v>4</v>
      </c>
      <c r="H1155" s="1">
        <v>1</v>
      </c>
      <c r="I1155" s="1">
        <v>2</v>
      </c>
      <c r="J1155" s="1">
        <v>3</v>
      </c>
    </row>
    <row r="1156" spans="1:10" x14ac:dyDescent="0.2">
      <c r="A1156" s="1">
        <v>219</v>
      </c>
      <c r="B1156" s="1">
        <v>0</v>
      </c>
      <c r="C1156" s="1">
        <v>14</v>
      </c>
      <c r="D1156" s="1">
        <v>2</v>
      </c>
      <c r="E1156" s="1">
        <v>3</v>
      </c>
      <c r="F1156" s="1">
        <v>8</v>
      </c>
      <c r="G1156" s="1">
        <v>4</v>
      </c>
      <c r="H1156" s="1">
        <v>0</v>
      </c>
      <c r="I1156" s="1">
        <v>1</v>
      </c>
      <c r="J1156" s="1">
        <v>3</v>
      </c>
    </row>
    <row r="1157" spans="1:10" x14ac:dyDescent="0.2">
      <c r="A1157" s="1">
        <v>1993</v>
      </c>
      <c r="B1157" s="1">
        <v>0</v>
      </c>
      <c r="C1157" s="1">
        <v>8</v>
      </c>
      <c r="D1157" s="1">
        <v>4</v>
      </c>
      <c r="E1157" s="1">
        <v>2</v>
      </c>
      <c r="F1157" s="1">
        <v>9</v>
      </c>
      <c r="G1157" s="1">
        <v>4</v>
      </c>
      <c r="H1157" s="1">
        <v>0</v>
      </c>
      <c r="I1157" s="1">
        <v>1</v>
      </c>
      <c r="J1157" s="1">
        <v>3</v>
      </c>
    </row>
    <row r="1158" spans="1:10" x14ac:dyDescent="0.2">
      <c r="A1158" s="1">
        <v>475</v>
      </c>
      <c r="B1158" s="1">
        <v>0</v>
      </c>
      <c r="C1158" s="1">
        <v>8</v>
      </c>
      <c r="D1158" s="1">
        <v>5</v>
      </c>
      <c r="E1158" s="1">
        <v>3</v>
      </c>
      <c r="F1158" s="1">
        <v>9</v>
      </c>
      <c r="G1158" s="1">
        <v>4</v>
      </c>
      <c r="H1158" s="1">
        <v>0</v>
      </c>
      <c r="I1158" s="1">
        <v>0</v>
      </c>
      <c r="J1158" s="1">
        <v>3</v>
      </c>
    </row>
    <row r="1159" spans="1:10" x14ac:dyDescent="0.2">
      <c r="A1159" s="1">
        <v>1030</v>
      </c>
      <c r="B1159" s="1">
        <v>0</v>
      </c>
      <c r="C1159" s="1">
        <v>19</v>
      </c>
      <c r="D1159" s="1">
        <v>4</v>
      </c>
      <c r="E1159" s="1">
        <v>3</v>
      </c>
      <c r="F1159" s="1">
        <v>9</v>
      </c>
      <c r="G1159" s="1">
        <v>4</v>
      </c>
      <c r="H1159" s="1">
        <v>0</v>
      </c>
      <c r="I1159" s="1">
        <v>3</v>
      </c>
      <c r="J1159" s="1">
        <v>3</v>
      </c>
    </row>
    <row r="1160" spans="1:10" x14ac:dyDescent="0.2">
      <c r="A1160" s="1">
        <v>1613</v>
      </c>
      <c r="B1160" s="1">
        <v>0</v>
      </c>
      <c r="C1160" s="1">
        <v>10</v>
      </c>
      <c r="D1160" s="1">
        <v>2</v>
      </c>
      <c r="E1160" s="1">
        <v>2</v>
      </c>
      <c r="F1160" s="1">
        <v>10</v>
      </c>
      <c r="G1160" s="1">
        <v>4</v>
      </c>
      <c r="H1160" s="1">
        <v>1</v>
      </c>
      <c r="I1160" s="1">
        <v>0</v>
      </c>
      <c r="J1160" s="1">
        <v>3</v>
      </c>
    </row>
    <row r="1161" spans="1:10" x14ac:dyDescent="0.2">
      <c r="A1161" s="1">
        <v>570</v>
      </c>
      <c r="B1161" s="1">
        <v>0</v>
      </c>
      <c r="C1161" s="1">
        <v>15</v>
      </c>
      <c r="D1161" s="1">
        <v>1</v>
      </c>
      <c r="E1161" s="1">
        <v>2</v>
      </c>
      <c r="F1161" s="1">
        <v>10</v>
      </c>
      <c r="G1161" s="1">
        <v>4</v>
      </c>
      <c r="H1161" s="1">
        <v>0</v>
      </c>
      <c r="I1161" s="1">
        <v>1</v>
      </c>
      <c r="J1161" s="1">
        <v>3</v>
      </c>
    </row>
    <row r="1162" spans="1:10" x14ac:dyDescent="0.2">
      <c r="A1162" s="1">
        <v>1867</v>
      </c>
      <c r="B1162" s="1">
        <v>0</v>
      </c>
      <c r="C1162" s="1">
        <v>16</v>
      </c>
      <c r="D1162" s="1">
        <v>1</v>
      </c>
      <c r="E1162" s="1">
        <v>2</v>
      </c>
      <c r="F1162" s="1">
        <v>10</v>
      </c>
      <c r="G1162" s="1">
        <v>4</v>
      </c>
      <c r="H1162" s="1">
        <v>0</v>
      </c>
      <c r="I1162" s="1">
        <v>0</v>
      </c>
      <c r="J1162" s="1">
        <v>3</v>
      </c>
    </row>
    <row r="1163" spans="1:10" x14ac:dyDescent="0.2">
      <c r="A1163" s="1">
        <v>1694</v>
      </c>
      <c r="B1163" s="1">
        <v>0</v>
      </c>
      <c r="C1163" s="1">
        <v>8</v>
      </c>
      <c r="D1163" s="1">
        <v>5</v>
      </c>
      <c r="E1163" s="1">
        <v>3</v>
      </c>
      <c r="F1163" s="1">
        <v>10</v>
      </c>
      <c r="G1163" s="1">
        <v>4</v>
      </c>
      <c r="H1163" s="1">
        <v>0</v>
      </c>
      <c r="I1163" s="1">
        <v>1</v>
      </c>
      <c r="J1163" s="1">
        <v>3</v>
      </c>
    </row>
    <row r="1164" spans="1:10" x14ac:dyDescent="0.2">
      <c r="A1164" s="1">
        <v>1153</v>
      </c>
      <c r="B1164" s="1">
        <v>0</v>
      </c>
      <c r="C1164" s="1">
        <v>11</v>
      </c>
      <c r="D1164" s="1">
        <v>2</v>
      </c>
      <c r="E1164" s="1">
        <v>1</v>
      </c>
      <c r="F1164" s="1">
        <v>1</v>
      </c>
      <c r="G1164" s="1">
        <v>5</v>
      </c>
      <c r="H1164" s="1">
        <v>1</v>
      </c>
      <c r="I1164" s="1">
        <v>0</v>
      </c>
      <c r="J1164" s="1">
        <v>3</v>
      </c>
    </row>
    <row r="1165" spans="1:10" x14ac:dyDescent="0.2">
      <c r="A1165" s="1">
        <v>1591</v>
      </c>
      <c r="B1165" s="1">
        <v>0</v>
      </c>
      <c r="C1165" s="1">
        <v>6</v>
      </c>
      <c r="D1165" s="1">
        <v>4</v>
      </c>
      <c r="E1165" s="1">
        <v>3</v>
      </c>
      <c r="F1165" s="1">
        <v>1</v>
      </c>
      <c r="G1165" s="1">
        <v>5</v>
      </c>
      <c r="H1165" s="1">
        <v>1</v>
      </c>
      <c r="I1165" s="1">
        <v>0</v>
      </c>
      <c r="J1165" s="1">
        <v>3</v>
      </c>
    </row>
    <row r="1166" spans="1:10" x14ac:dyDescent="0.2">
      <c r="A1166" s="1">
        <v>1481</v>
      </c>
      <c r="B1166" s="1">
        <v>0</v>
      </c>
      <c r="C1166" s="1">
        <v>14</v>
      </c>
      <c r="D1166" s="1">
        <v>5</v>
      </c>
      <c r="E1166" s="1">
        <v>3</v>
      </c>
      <c r="F1166" s="1">
        <v>1</v>
      </c>
      <c r="G1166" s="1">
        <v>5</v>
      </c>
      <c r="H1166" s="1">
        <v>1</v>
      </c>
      <c r="I1166" s="1">
        <v>2</v>
      </c>
      <c r="J1166" s="1">
        <v>3</v>
      </c>
    </row>
    <row r="1167" spans="1:10" x14ac:dyDescent="0.2">
      <c r="A1167" s="1">
        <v>1101</v>
      </c>
      <c r="B1167" s="1">
        <v>0</v>
      </c>
      <c r="C1167" s="1">
        <v>6</v>
      </c>
      <c r="D1167" s="1">
        <v>3</v>
      </c>
      <c r="E1167" s="1">
        <v>3</v>
      </c>
      <c r="F1167" s="1">
        <v>2</v>
      </c>
      <c r="G1167" s="1">
        <v>5</v>
      </c>
      <c r="H1167" s="1">
        <v>0</v>
      </c>
      <c r="I1167" s="1">
        <v>1</v>
      </c>
      <c r="J1167" s="1">
        <v>3</v>
      </c>
    </row>
    <row r="1168" spans="1:10" x14ac:dyDescent="0.2">
      <c r="A1168" s="1">
        <v>1954</v>
      </c>
      <c r="B1168" s="1">
        <v>0</v>
      </c>
      <c r="C1168" s="1">
        <v>13</v>
      </c>
      <c r="D1168" s="1">
        <v>4</v>
      </c>
      <c r="E1168" s="1">
        <v>3</v>
      </c>
      <c r="F1168" s="1">
        <v>2</v>
      </c>
      <c r="G1168" s="1">
        <v>5</v>
      </c>
      <c r="H1168" s="1">
        <v>1</v>
      </c>
      <c r="I1168" s="1">
        <v>0</v>
      </c>
      <c r="J1168" s="1">
        <v>3</v>
      </c>
    </row>
    <row r="1169" spans="1:10" x14ac:dyDescent="0.2">
      <c r="A1169" s="1">
        <v>1961</v>
      </c>
      <c r="B1169" s="1">
        <v>0</v>
      </c>
      <c r="C1169" s="1">
        <v>18</v>
      </c>
      <c r="D1169" s="1">
        <v>2</v>
      </c>
      <c r="E1169" s="1">
        <v>1</v>
      </c>
      <c r="F1169" s="1">
        <v>3</v>
      </c>
      <c r="G1169" s="1">
        <v>5</v>
      </c>
      <c r="H1169" s="1">
        <v>0</v>
      </c>
      <c r="I1169" s="1">
        <v>2</v>
      </c>
      <c r="J1169" s="1">
        <v>3</v>
      </c>
    </row>
    <row r="1170" spans="1:10" x14ac:dyDescent="0.2">
      <c r="A1170" s="1">
        <v>393</v>
      </c>
      <c r="B1170" s="1">
        <v>0</v>
      </c>
      <c r="C1170" s="1">
        <v>8</v>
      </c>
      <c r="D1170" s="1">
        <v>3</v>
      </c>
      <c r="E1170" s="1">
        <v>2</v>
      </c>
      <c r="F1170" s="1">
        <v>3</v>
      </c>
      <c r="G1170" s="1">
        <v>5</v>
      </c>
      <c r="H1170" s="1">
        <v>0</v>
      </c>
      <c r="I1170" s="1">
        <v>3</v>
      </c>
      <c r="J1170" s="1">
        <v>3</v>
      </c>
    </row>
    <row r="1171" spans="1:10" x14ac:dyDescent="0.2">
      <c r="A1171" s="1">
        <v>1558</v>
      </c>
      <c r="B1171" s="1">
        <v>0</v>
      </c>
      <c r="C1171" s="1">
        <v>6</v>
      </c>
      <c r="D1171" s="1">
        <v>2</v>
      </c>
      <c r="E1171" s="1">
        <v>3</v>
      </c>
      <c r="F1171" s="1">
        <v>3</v>
      </c>
      <c r="G1171" s="1">
        <v>5</v>
      </c>
      <c r="H1171" s="1">
        <v>1</v>
      </c>
      <c r="I1171" s="1">
        <v>1</v>
      </c>
      <c r="J1171" s="1">
        <v>3</v>
      </c>
    </row>
    <row r="1172" spans="1:10" x14ac:dyDescent="0.2">
      <c r="A1172" s="1">
        <v>1275</v>
      </c>
      <c r="B1172" s="1">
        <v>0</v>
      </c>
      <c r="C1172" s="1">
        <v>12</v>
      </c>
      <c r="D1172" s="1">
        <v>4</v>
      </c>
      <c r="E1172" s="1">
        <v>1</v>
      </c>
      <c r="F1172" s="1">
        <v>4</v>
      </c>
      <c r="G1172" s="1">
        <v>5</v>
      </c>
      <c r="H1172" s="1">
        <v>1</v>
      </c>
      <c r="I1172" s="1">
        <v>3</v>
      </c>
      <c r="J1172" s="1">
        <v>3</v>
      </c>
    </row>
    <row r="1173" spans="1:10" x14ac:dyDescent="0.2">
      <c r="A1173" s="1">
        <v>739</v>
      </c>
      <c r="B1173" s="1">
        <v>0</v>
      </c>
      <c r="C1173" s="1">
        <v>13</v>
      </c>
      <c r="D1173" s="1">
        <v>5</v>
      </c>
      <c r="E1173" s="1">
        <v>1</v>
      </c>
      <c r="F1173" s="1">
        <v>4</v>
      </c>
      <c r="G1173" s="1">
        <v>5</v>
      </c>
      <c r="H1173" s="1">
        <v>1</v>
      </c>
      <c r="I1173" s="1">
        <v>2</v>
      </c>
      <c r="J1173" s="1">
        <v>3</v>
      </c>
    </row>
    <row r="1174" spans="1:10" x14ac:dyDescent="0.2">
      <c r="A1174" s="1">
        <v>567</v>
      </c>
      <c r="B1174" s="1">
        <v>0</v>
      </c>
      <c r="C1174" s="1">
        <v>14</v>
      </c>
      <c r="D1174" s="1">
        <v>1</v>
      </c>
      <c r="E1174" s="1">
        <v>1</v>
      </c>
      <c r="F1174" s="1">
        <v>4</v>
      </c>
      <c r="G1174" s="1">
        <v>5</v>
      </c>
      <c r="H1174" s="1">
        <v>1</v>
      </c>
      <c r="I1174" s="1">
        <v>1</v>
      </c>
      <c r="J1174" s="1">
        <v>3</v>
      </c>
    </row>
    <row r="1175" spans="1:10" x14ac:dyDescent="0.2">
      <c r="A1175" s="1">
        <v>55</v>
      </c>
      <c r="B1175" s="1">
        <v>0</v>
      </c>
      <c r="C1175" s="1">
        <v>16</v>
      </c>
      <c r="D1175" s="1">
        <v>3</v>
      </c>
      <c r="E1175" s="1">
        <v>1</v>
      </c>
      <c r="F1175" s="1">
        <v>4</v>
      </c>
      <c r="G1175" s="1">
        <v>5</v>
      </c>
      <c r="H1175" s="1">
        <v>1</v>
      </c>
      <c r="I1175" s="1">
        <v>1</v>
      </c>
      <c r="J1175" s="1">
        <v>3</v>
      </c>
    </row>
    <row r="1176" spans="1:10" x14ac:dyDescent="0.2">
      <c r="A1176" s="1">
        <v>1553</v>
      </c>
      <c r="B1176" s="1">
        <v>0</v>
      </c>
      <c r="C1176" s="1">
        <v>20</v>
      </c>
      <c r="D1176" s="1">
        <v>1</v>
      </c>
      <c r="E1176" s="1">
        <v>1</v>
      </c>
      <c r="F1176" s="1">
        <v>4</v>
      </c>
      <c r="G1176" s="1">
        <v>5</v>
      </c>
      <c r="H1176" s="1">
        <v>1</v>
      </c>
      <c r="I1176" s="1">
        <v>0</v>
      </c>
      <c r="J1176" s="1">
        <v>3</v>
      </c>
    </row>
    <row r="1177" spans="1:10" x14ac:dyDescent="0.2">
      <c r="A1177" s="1">
        <v>1422</v>
      </c>
      <c r="B1177" s="1">
        <v>0</v>
      </c>
      <c r="C1177" s="1">
        <v>19</v>
      </c>
      <c r="D1177" s="1">
        <v>3</v>
      </c>
      <c r="E1177" s="1">
        <v>2</v>
      </c>
      <c r="F1177" s="1">
        <v>4</v>
      </c>
      <c r="G1177" s="1">
        <v>5</v>
      </c>
      <c r="H1177" s="1">
        <v>1</v>
      </c>
      <c r="I1177" s="1">
        <v>3</v>
      </c>
      <c r="J1177" s="1">
        <v>3</v>
      </c>
    </row>
    <row r="1178" spans="1:10" x14ac:dyDescent="0.2">
      <c r="A1178" s="1">
        <v>421</v>
      </c>
      <c r="B1178" s="1">
        <v>0</v>
      </c>
      <c r="C1178" s="1">
        <v>7</v>
      </c>
      <c r="D1178" s="1">
        <v>3</v>
      </c>
      <c r="E1178" s="1">
        <v>3</v>
      </c>
      <c r="F1178" s="1">
        <v>4</v>
      </c>
      <c r="G1178" s="1">
        <v>5</v>
      </c>
      <c r="H1178" s="1">
        <v>0</v>
      </c>
      <c r="I1178" s="1">
        <v>2</v>
      </c>
      <c r="J1178" s="1">
        <v>3</v>
      </c>
    </row>
    <row r="1179" spans="1:10" x14ac:dyDescent="0.2">
      <c r="A1179" s="1">
        <v>86</v>
      </c>
      <c r="B1179" s="1">
        <v>0</v>
      </c>
      <c r="C1179" s="1">
        <v>15</v>
      </c>
      <c r="D1179" s="1">
        <v>5</v>
      </c>
      <c r="E1179" s="1">
        <v>1</v>
      </c>
      <c r="F1179" s="1">
        <v>5</v>
      </c>
      <c r="G1179" s="1">
        <v>5</v>
      </c>
      <c r="H1179" s="1">
        <v>0</v>
      </c>
      <c r="I1179" s="1">
        <v>3</v>
      </c>
      <c r="J1179" s="1">
        <v>3</v>
      </c>
    </row>
    <row r="1180" spans="1:10" x14ac:dyDescent="0.2">
      <c r="A1180" s="1">
        <v>1455</v>
      </c>
      <c r="B1180" s="1">
        <v>0</v>
      </c>
      <c r="C1180" s="1">
        <v>7</v>
      </c>
      <c r="D1180" s="1">
        <v>3</v>
      </c>
      <c r="E1180" s="1">
        <v>2</v>
      </c>
      <c r="F1180" s="1">
        <v>5</v>
      </c>
      <c r="G1180" s="1">
        <v>5</v>
      </c>
      <c r="H1180" s="1">
        <v>0</v>
      </c>
      <c r="I1180" s="1">
        <v>3</v>
      </c>
      <c r="J1180" s="1">
        <v>3</v>
      </c>
    </row>
    <row r="1181" spans="1:10" x14ac:dyDescent="0.2">
      <c r="A1181" s="1">
        <v>747</v>
      </c>
      <c r="B1181" s="1">
        <v>0</v>
      </c>
      <c r="C1181" s="1">
        <v>8</v>
      </c>
      <c r="D1181" s="1">
        <v>1</v>
      </c>
      <c r="E1181" s="1">
        <v>3</v>
      </c>
      <c r="F1181" s="1">
        <v>5</v>
      </c>
      <c r="G1181" s="1">
        <v>5</v>
      </c>
      <c r="H1181" s="1">
        <v>0</v>
      </c>
      <c r="I1181" s="1">
        <v>3</v>
      </c>
      <c r="J1181" s="1">
        <v>3</v>
      </c>
    </row>
    <row r="1182" spans="1:10" x14ac:dyDescent="0.2">
      <c r="A1182" s="1">
        <v>504</v>
      </c>
      <c r="B1182" s="1">
        <v>0</v>
      </c>
      <c r="C1182" s="1">
        <v>13</v>
      </c>
      <c r="D1182" s="1">
        <v>1</v>
      </c>
      <c r="E1182" s="1">
        <v>3</v>
      </c>
      <c r="F1182" s="1">
        <v>5</v>
      </c>
      <c r="G1182" s="1">
        <v>5</v>
      </c>
      <c r="H1182" s="1">
        <v>0</v>
      </c>
      <c r="I1182" s="1">
        <v>0</v>
      </c>
      <c r="J1182" s="1">
        <v>3</v>
      </c>
    </row>
    <row r="1183" spans="1:10" x14ac:dyDescent="0.2">
      <c r="A1183" s="1">
        <v>1545</v>
      </c>
      <c r="B1183" s="1">
        <v>0</v>
      </c>
      <c r="C1183" s="1">
        <v>13</v>
      </c>
      <c r="D1183" s="1">
        <v>2</v>
      </c>
      <c r="E1183" s="1">
        <v>3</v>
      </c>
      <c r="F1183" s="1">
        <v>5</v>
      </c>
      <c r="G1183" s="1">
        <v>5</v>
      </c>
      <c r="H1183" s="1">
        <v>1</v>
      </c>
      <c r="I1183" s="1">
        <v>0</v>
      </c>
      <c r="J1183" s="1">
        <v>3</v>
      </c>
    </row>
    <row r="1184" spans="1:10" x14ac:dyDescent="0.2">
      <c r="A1184" s="1">
        <v>1949</v>
      </c>
      <c r="B1184" s="1">
        <v>0</v>
      </c>
      <c r="C1184" s="1">
        <v>18</v>
      </c>
      <c r="D1184" s="1">
        <v>1</v>
      </c>
      <c r="E1184" s="1">
        <v>1</v>
      </c>
      <c r="F1184" s="1">
        <v>6</v>
      </c>
      <c r="G1184" s="1">
        <v>5</v>
      </c>
      <c r="H1184" s="1">
        <v>0</v>
      </c>
      <c r="I1184" s="1">
        <v>3</v>
      </c>
      <c r="J1184" s="1">
        <v>3</v>
      </c>
    </row>
    <row r="1185" spans="1:10" x14ac:dyDescent="0.2">
      <c r="A1185" s="1">
        <v>2354</v>
      </c>
      <c r="B1185" s="1">
        <v>0</v>
      </c>
      <c r="C1185" s="1">
        <v>18</v>
      </c>
      <c r="D1185" s="1">
        <v>5</v>
      </c>
      <c r="E1185" s="1">
        <v>1</v>
      </c>
      <c r="F1185" s="1">
        <v>6</v>
      </c>
      <c r="G1185" s="1">
        <v>5</v>
      </c>
      <c r="H1185" s="1">
        <v>0</v>
      </c>
      <c r="I1185" s="1">
        <v>2</v>
      </c>
      <c r="J1185" s="1">
        <v>3</v>
      </c>
    </row>
    <row r="1186" spans="1:10" x14ac:dyDescent="0.2">
      <c r="A1186" s="1">
        <v>1188</v>
      </c>
      <c r="B1186" s="1">
        <v>0</v>
      </c>
      <c r="C1186" s="1">
        <v>5</v>
      </c>
      <c r="D1186" s="1">
        <v>5</v>
      </c>
      <c r="E1186" s="1">
        <v>2</v>
      </c>
      <c r="F1186" s="1">
        <v>6</v>
      </c>
      <c r="G1186" s="1">
        <v>5</v>
      </c>
      <c r="H1186" s="1">
        <v>1</v>
      </c>
      <c r="I1186" s="1">
        <v>1</v>
      </c>
      <c r="J1186" s="1">
        <v>3</v>
      </c>
    </row>
    <row r="1187" spans="1:10" x14ac:dyDescent="0.2">
      <c r="A1187" s="1">
        <v>1720</v>
      </c>
      <c r="B1187" s="1">
        <v>0</v>
      </c>
      <c r="C1187" s="1">
        <v>17</v>
      </c>
      <c r="D1187" s="1">
        <v>2</v>
      </c>
      <c r="E1187" s="1">
        <v>2</v>
      </c>
      <c r="F1187" s="1">
        <v>6</v>
      </c>
      <c r="G1187" s="1">
        <v>5</v>
      </c>
      <c r="H1187" s="1">
        <v>0</v>
      </c>
      <c r="I1187" s="1">
        <v>0</v>
      </c>
      <c r="J1187" s="1">
        <v>3</v>
      </c>
    </row>
    <row r="1188" spans="1:10" x14ac:dyDescent="0.2">
      <c r="A1188" s="1">
        <v>2305</v>
      </c>
      <c r="B1188" s="1">
        <v>0</v>
      </c>
      <c r="C1188" s="1">
        <v>11</v>
      </c>
      <c r="D1188" s="1">
        <v>4</v>
      </c>
      <c r="E1188" s="1">
        <v>3</v>
      </c>
      <c r="F1188" s="1">
        <v>6</v>
      </c>
      <c r="G1188" s="1">
        <v>5</v>
      </c>
      <c r="H1188" s="1">
        <v>0</v>
      </c>
      <c r="I1188" s="1">
        <v>0</v>
      </c>
      <c r="J1188" s="1">
        <v>3</v>
      </c>
    </row>
    <row r="1189" spans="1:10" x14ac:dyDescent="0.2">
      <c r="A1189" s="1">
        <v>462</v>
      </c>
      <c r="B1189" s="1">
        <v>0</v>
      </c>
      <c r="C1189" s="1">
        <v>13</v>
      </c>
      <c r="D1189" s="1">
        <v>5</v>
      </c>
      <c r="E1189" s="1">
        <v>3</v>
      </c>
      <c r="F1189" s="1">
        <v>6</v>
      </c>
      <c r="G1189" s="1">
        <v>5</v>
      </c>
      <c r="H1189" s="1">
        <v>1</v>
      </c>
      <c r="I1189" s="1">
        <v>1</v>
      </c>
      <c r="J1189" s="1">
        <v>3</v>
      </c>
    </row>
    <row r="1190" spans="1:10" x14ac:dyDescent="0.2">
      <c r="A1190" s="1">
        <v>64</v>
      </c>
      <c r="B1190" s="1">
        <v>0</v>
      </c>
      <c r="C1190" s="1">
        <v>20</v>
      </c>
      <c r="D1190" s="1">
        <v>1</v>
      </c>
      <c r="E1190" s="1">
        <v>3</v>
      </c>
      <c r="F1190" s="1">
        <v>6</v>
      </c>
      <c r="G1190" s="1">
        <v>5</v>
      </c>
      <c r="H1190" s="1">
        <v>0</v>
      </c>
      <c r="I1190" s="1">
        <v>1</v>
      </c>
      <c r="J1190" s="1">
        <v>3</v>
      </c>
    </row>
    <row r="1191" spans="1:10" x14ac:dyDescent="0.2">
      <c r="A1191" s="1">
        <v>2323</v>
      </c>
      <c r="B1191" s="1">
        <v>0</v>
      </c>
      <c r="C1191" s="1">
        <v>17</v>
      </c>
      <c r="D1191" s="1">
        <v>1</v>
      </c>
      <c r="E1191" s="1">
        <v>1</v>
      </c>
      <c r="F1191" s="1">
        <v>7</v>
      </c>
      <c r="G1191" s="1">
        <v>5</v>
      </c>
      <c r="H1191" s="1">
        <v>0</v>
      </c>
      <c r="I1191" s="1">
        <v>0</v>
      </c>
      <c r="J1191" s="1">
        <v>3</v>
      </c>
    </row>
    <row r="1192" spans="1:10" x14ac:dyDescent="0.2">
      <c r="A1192" s="1">
        <v>1648</v>
      </c>
      <c r="B1192" s="1">
        <v>0</v>
      </c>
      <c r="C1192" s="1">
        <v>8</v>
      </c>
      <c r="D1192" s="1">
        <v>3</v>
      </c>
      <c r="E1192" s="1">
        <v>2</v>
      </c>
      <c r="F1192" s="1">
        <v>7</v>
      </c>
      <c r="G1192" s="1">
        <v>5</v>
      </c>
      <c r="H1192" s="1">
        <v>1</v>
      </c>
      <c r="I1192" s="1">
        <v>1</v>
      </c>
      <c r="J1192" s="1">
        <v>3</v>
      </c>
    </row>
    <row r="1193" spans="1:10" x14ac:dyDescent="0.2">
      <c r="A1193" s="1">
        <v>2434</v>
      </c>
      <c r="B1193" s="1">
        <v>0</v>
      </c>
      <c r="C1193" s="1">
        <v>13</v>
      </c>
      <c r="D1193" s="1">
        <v>5</v>
      </c>
      <c r="E1193" s="1">
        <v>2</v>
      </c>
      <c r="F1193" s="1">
        <v>7</v>
      </c>
      <c r="G1193" s="1">
        <v>5</v>
      </c>
      <c r="H1193" s="1">
        <v>0</v>
      </c>
      <c r="I1193" s="1">
        <v>3</v>
      </c>
      <c r="J1193" s="1">
        <v>3</v>
      </c>
    </row>
    <row r="1194" spans="1:10" x14ac:dyDescent="0.2">
      <c r="A1194" s="1">
        <v>662</v>
      </c>
      <c r="B1194" s="1">
        <v>0</v>
      </c>
      <c r="C1194" s="1">
        <v>17</v>
      </c>
      <c r="D1194" s="1">
        <v>5</v>
      </c>
      <c r="E1194" s="1">
        <v>3</v>
      </c>
      <c r="F1194" s="1">
        <v>7</v>
      </c>
      <c r="G1194" s="1">
        <v>5</v>
      </c>
      <c r="H1194" s="1">
        <v>0</v>
      </c>
      <c r="I1194" s="1">
        <v>0</v>
      </c>
      <c r="J1194" s="1">
        <v>3</v>
      </c>
    </row>
    <row r="1195" spans="1:10" x14ac:dyDescent="0.2">
      <c r="A1195" s="1">
        <v>208</v>
      </c>
      <c r="B1195" s="1">
        <v>0</v>
      </c>
      <c r="C1195" s="1">
        <v>5</v>
      </c>
      <c r="D1195" s="1">
        <v>1</v>
      </c>
      <c r="E1195" s="1">
        <v>3</v>
      </c>
      <c r="F1195" s="1">
        <v>8</v>
      </c>
      <c r="G1195" s="1">
        <v>5</v>
      </c>
      <c r="H1195" s="1">
        <v>0</v>
      </c>
      <c r="I1195" s="1">
        <v>0</v>
      </c>
      <c r="J1195" s="1">
        <v>3</v>
      </c>
    </row>
    <row r="1196" spans="1:10" x14ac:dyDescent="0.2">
      <c r="A1196" s="1">
        <v>2401</v>
      </c>
      <c r="B1196" s="1">
        <v>0</v>
      </c>
      <c r="C1196" s="1">
        <v>9</v>
      </c>
      <c r="D1196" s="1">
        <v>3</v>
      </c>
      <c r="E1196" s="1">
        <v>3</v>
      </c>
      <c r="F1196" s="1">
        <v>9</v>
      </c>
      <c r="G1196" s="1">
        <v>5</v>
      </c>
      <c r="H1196" s="1">
        <v>0</v>
      </c>
      <c r="I1196" s="1">
        <v>3</v>
      </c>
      <c r="J1196" s="1">
        <v>3</v>
      </c>
    </row>
    <row r="1197" spans="1:10" x14ac:dyDescent="0.2">
      <c r="A1197" s="1">
        <v>1055</v>
      </c>
      <c r="B1197" s="1">
        <v>0</v>
      </c>
      <c r="C1197" s="1">
        <v>16</v>
      </c>
      <c r="D1197" s="1">
        <v>4</v>
      </c>
      <c r="E1197" s="1">
        <v>3</v>
      </c>
      <c r="F1197" s="1">
        <v>9</v>
      </c>
      <c r="G1197" s="1">
        <v>5</v>
      </c>
      <c r="H1197" s="1">
        <v>1</v>
      </c>
      <c r="I1197" s="1">
        <v>0</v>
      </c>
      <c r="J1197" s="1">
        <v>3</v>
      </c>
    </row>
    <row r="1198" spans="1:10" x14ac:dyDescent="0.2">
      <c r="A1198" s="1">
        <v>2330</v>
      </c>
      <c r="B1198" s="1">
        <v>0</v>
      </c>
      <c r="C1198" s="1">
        <v>16</v>
      </c>
      <c r="D1198" s="1">
        <v>2</v>
      </c>
      <c r="E1198" s="1">
        <v>2</v>
      </c>
      <c r="F1198" s="1">
        <v>10</v>
      </c>
      <c r="G1198" s="1">
        <v>5</v>
      </c>
      <c r="H1198" s="1">
        <v>0</v>
      </c>
      <c r="I1198" s="1">
        <v>0</v>
      </c>
      <c r="J1198" s="1">
        <v>3</v>
      </c>
    </row>
    <row r="1199" spans="1:10" x14ac:dyDescent="0.2">
      <c r="A1199" s="1">
        <v>566</v>
      </c>
      <c r="B1199" s="1">
        <v>0</v>
      </c>
      <c r="C1199" s="1">
        <v>17</v>
      </c>
      <c r="D1199" s="1">
        <v>4</v>
      </c>
      <c r="E1199" s="1">
        <v>2</v>
      </c>
      <c r="F1199" s="1">
        <v>10</v>
      </c>
      <c r="G1199" s="1">
        <v>5</v>
      </c>
      <c r="H1199" s="1">
        <v>0</v>
      </c>
      <c r="I1199" s="1">
        <v>0</v>
      </c>
      <c r="J1199" s="1">
        <v>3</v>
      </c>
    </row>
    <row r="1200" spans="1:10" x14ac:dyDescent="0.2">
      <c r="A1200" s="1">
        <v>1141</v>
      </c>
      <c r="B1200" s="1">
        <v>0</v>
      </c>
      <c r="C1200" s="1">
        <v>17</v>
      </c>
      <c r="D1200" s="1">
        <v>1</v>
      </c>
      <c r="E1200" s="1">
        <v>2</v>
      </c>
      <c r="F1200" s="1">
        <v>10</v>
      </c>
      <c r="G1200" s="1">
        <v>5</v>
      </c>
      <c r="H1200" s="1">
        <v>0</v>
      </c>
      <c r="I1200" s="1">
        <v>3</v>
      </c>
      <c r="J1200" s="1">
        <v>3</v>
      </c>
    </row>
    <row r="1201" spans="1:10" x14ac:dyDescent="0.2">
      <c r="A1201" s="1">
        <v>1581</v>
      </c>
      <c r="B1201" s="1">
        <v>0</v>
      </c>
      <c r="C1201" s="1">
        <v>17</v>
      </c>
      <c r="D1201" s="1">
        <v>2</v>
      </c>
      <c r="E1201" s="1">
        <v>2</v>
      </c>
      <c r="F1201" s="1">
        <v>10</v>
      </c>
      <c r="G1201" s="1">
        <v>5</v>
      </c>
      <c r="H1201" s="1">
        <v>1</v>
      </c>
      <c r="I1201" s="1">
        <v>0</v>
      </c>
      <c r="J1201" s="1">
        <v>3</v>
      </c>
    </row>
    <row r="1202" spans="1:10" x14ac:dyDescent="0.2">
      <c r="A1202" s="1">
        <v>499</v>
      </c>
      <c r="B1202" s="1">
        <v>0</v>
      </c>
      <c r="C1202" s="1">
        <v>6</v>
      </c>
      <c r="D1202" s="1">
        <v>3</v>
      </c>
      <c r="E1202" s="1">
        <v>3</v>
      </c>
      <c r="F1202" s="1">
        <v>10</v>
      </c>
      <c r="G1202" s="1">
        <v>5</v>
      </c>
      <c r="H1202" s="1">
        <v>1</v>
      </c>
      <c r="I1202" s="1">
        <v>3</v>
      </c>
      <c r="J1202" s="1">
        <v>3</v>
      </c>
    </row>
    <row r="1203" spans="1:10" x14ac:dyDescent="0.2">
      <c r="A1203" s="1">
        <v>1150</v>
      </c>
      <c r="B1203" s="1">
        <v>0</v>
      </c>
      <c r="C1203" s="1">
        <v>6</v>
      </c>
      <c r="D1203" s="1">
        <v>5</v>
      </c>
      <c r="E1203" s="1">
        <v>3</v>
      </c>
      <c r="F1203" s="1">
        <v>10</v>
      </c>
      <c r="G1203" s="1">
        <v>5</v>
      </c>
      <c r="H1203" s="1">
        <v>0</v>
      </c>
      <c r="I1203" s="1">
        <v>1</v>
      </c>
      <c r="J1203" s="1">
        <v>3</v>
      </c>
    </row>
    <row r="1204" spans="1:10" x14ac:dyDescent="0.2">
      <c r="A1204" s="1">
        <v>966</v>
      </c>
      <c r="B1204" s="1">
        <v>0</v>
      </c>
      <c r="C1204" s="1">
        <v>8</v>
      </c>
      <c r="D1204" s="1">
        <v>5</v>
      </c>
      <c r="E1204" s="1">
        <v>3</v>
      </c>
      <c r="F1204" s="1">
        <v>10</v>
      </c>
      <c r="G1204" s="1">
        <v>5</v>
      </c>
      <c r="H1204" s="1">
        <v>1</v>
      </c>
      <c r="I1204" s="1">
        <v>2</v>
      </c>
      <c r="J1204" s="1">
        <v>3</v>
      </c>
    </row>
    <row r="1205" spans="1:10" x14ac:dyDescent="0.2">
      <c r="A1205" s="1">
        <v>2463</v>
      </c>
      <c r="B1205" s="1">
        <v>0</v>
      </c>
      <c r="C1205" s="1">
        <v>20</v>
      </c>
      <c r="D1205" s="1">
        <v>2</v>
      </c>
      <c r="E1205" s="1">
        <v>2</v>
      </c>
      <c r="F1205" s="1">
        <v>1</v>
      </c>
      <c r="G1205" s="1">
        <v>6</v>
      </c>
      <c r="H1205" s="1">
        <v>1</v>
      </c>
      <c r="I1205" s="1">
        <v>2</v>
      </c>
      <c r="J1205" s="1">
        <v>3</v>
      </c>
    </row>
    <row r="1206" spans="1:10" x14ac:dyDescent="0.2">
      <c r="A1206" s="1">
        <v>1415</v>
      </c>
      <c r="B1206" s="1">
        <v>0</v>
      </c>
      <c r="C1206" s="1">
        <v>11</v>
      </c>
      <c r="D1206" s="1">
        <v>1</v>
      </c>
      <c r="E1206" s="1">
        <v>3</v>
      </c>
      <c r="F1206" s="1">
        <v>1</v>
      </c>
      <c r="G1206" s="1">
        <v>6</v>
      </c>
      <c r="H1206" s="1">
        <v>0</v>
      </c>
      <c r="I1206" s="1">
        <v>2</v>
      </c>
      <c r="J1206" s="1">
        <v>3</v>
      </c>
    </row>
    <row r="1207" spans="1:10" x14ac:dyDescent="0.2">
      <c r="A1207" s="1">
        <v>2224</v>
      </c>
      <c r="B1207" s="1">
        <v>0</v>
      </c>
      <c r="C1207" s="1">
        <v>18</v>
      </c>
      <c r="D1207" s="1">
        <v>4</v>
      </c>
      <c r="E1207" s="1">
        <v>3</v>
      </c>
      <c r="F1207" s="1">
        <v>1</v>
      </c>
      <c r="G1207" s="1">
        <v>6</v>
      </c>
      <c r="H1207" s="1">
        <v>0</v>
      </c>
      <c r="I1207" s="1">
        <v>2</v>
      </c>
      <c r="J1207" s="1">
        <v>3</v>
      </c>
    </row>
    <row r="1208" spans="1:10" x14ac:dyDescent="0.2">
      <c r="A1208" s="1">
        <v>363</v>
      </c>
      <c r="B1208" s="1">
        <v>0</v>
      </c>
      <c r="C1208" s="1">
        <v>15</v>
      </c>
      <c r="D1208" s="1">
        <v>2</v>
      </c>
      <c r="E1208" s="1">
        <v>2</v>
      </c>
      <c r="F1208" s="1">
        <v>2</v>
      </c>
      <c r="G1208" s="1">
        <v>6</v>
      </c>
      <c r="H1208" s="1">
        <v>1</v>
      </c>
      <c r="I1208" s="1">
        <v>1</v>
      </c>
      <c r="J1208" s="1">
        <v>3</v>
      </c>
    </row>
    <row r="1209" spans="1:10" x14ac:dyDescent="0.2">
      <c r="A1209" s="1">
        <v>2436</v>
      </c>
      <c r="B1209" s="1">
        <v>0</v>
      </c>
      <c r="C1209" s="1">
        <v>8</v>
      </c>
      <c r="D1209" s="1">
        <v>5</v>
      </c>
      <c r="E1209" s="1">
        <v>3</v>
      </c>
      <c r="F1209" s="1">
        <v>2</v>
      </c>
      <c r="G1209" s="1">
        <v>6</v>
      </c>
      <c r="H1209" s="1">
        <v>0</v>
      </c>
      <c r="I1209" s="1">
        <v>1</v>
      </c>
      <c r="J1209" s="1">
        <v>3</v>
      </c>
    </row>
    <row r="1210" spans="1:10" x14ac:dyDescent="0.2">
      <c r="A1210" s="1">
        <v>783</v>
      </c>
      <c r="B1210" s="1">
        <v>0</v>
      </c>
      <c r="C1210" s="1">
        <v>7</v>
      </c>
      <c r="D1210" s="1">
        <v>5</v>
      </c>
      <c r="E1210" s="1">
        <v>1</v>
      </c>
      <c r="F1210" s="1">
        <v>3</v>
      </c>
      <c r="G1210" s="1">
        <v>6</v>
      </c>
      <c r="H1210" s="1">
        <v>0</v>
      </c>
      <c r="I1210" s="1">
        <v>3</v>
      </c>
      <c r="J1210" s="1">
        <v>3</v>
      </c>
    </row>
    <row r="1211" spans="1:10" x14ac:dyDescent="0.2">
      <c r="A1211" s="1">
        <v>1590</v>
      </c>
      <c r="B1211" s="1">
        <v>0</v>
      </c>
      <c r="C1211" s="1">
        <v>9</v>
      </c>
      <c r="D1211" s="1">
        <v>3</v>
      </c>
      <c r="E1211" s="1">
        <v>1</v>
      </c>
      <c r="F1211" s="1">
        <v>3</v>
      </c>
      <c r="G1211" s="1">
        <v>6</v>
      </c>
      <c r="H1211" s="1">
        <v>1</v>
      </c>
      <c r="I1211" s="1">
        <v>1</v>
      </c>
      <c r="J1211" s="1">
        <v>3</v>
      </c>
    </row>
    <row r="1212" spans="1:10" x14ac:dyDescent="0.2">
      <c r="A1212" s="1">
        <v>1297</v>
      </c>
      <c r="B1212" s="1">
        <v>0</v>
      </c>
      <c r="C1212" s="1">
        <v>6</v>
      </c>
      <c r="D1212" s="1">
        <v>1</v>
      </c>
      <c r="E1212" s="1">
        <v>2</v>
      </c>
      <c r="F1212" s="1">
        <v>3</v>
      </c>
      <c r="G1212" s="1">
        <v>6</v>
      </c>
      <c r="H1212" s="1">
        <v>1</v>
      </c>
      <c r="I1212" s="1">
        <v>1</v>
      </c>
      <c r="J1212" s="1">
        <v>3</v>
      </c>
    </row>
    <row r="1213" spans="1:10" x14ac:dyDescent="0.2">
      <c r="A1213" s="1">
        <v>751</v>
      </c>
      <c r="B1213" s="1">
        <v>0</v>
      </c>
      <c r="C1213" s="1">
        <v>9</v>
      </c>
      <c r="D1213" s="1">
        <v>2</v>
      </c>
      <c r="E1213" s="1">
        <v>2</v>
      </c>
      <c r="F1213" s="1">
        <v>3</v>
      </c>
      <c r="G1213" s="1">
        <v>6</v>
      </c>
      <c r="H1213" s="1">
        <v>0</v>
      </c>
      <c r="I1213" s="1">
        <v>0</v>
      </c>
      <c r="J1213" s="1">
        <v>3</v>
      </c>
    </row>
    <row r="1214" spans="1:10" x14ac:dyDescent="0.2">
      <c r="A1214" s="1">
        <v>2018</v>
      </c>
      <c r="B1214" s="1">
        <v>0</v>
      </c>
      <c r="C1214" s="1">
        <v>19</v>
      </c>
      <c r="D1214" s="1">
        <v>5</v>
      </c>
      <c r="E1214" s="1">
        <v>2</v>
      </c>
      <c r="F1214" s="1">
        <v>3</v>
      </c>
      <c r="G1214" s="1">
        <v>6</v>
      </c>
      <c r="H1214" s="1">
        <v>0</v>
      </c>
      <c r="I1214" s="1">
        <v>1</v>
      </c>
      <c r="J1214" s="1">
        <v>3</v>
      </c>
    </row>
    <row r="1215" spans="1:10" x14ac:dyDescent="0.2">
      <c r="A1215" s="1">
        <v>752</v>
      </c>
      <c r="B1215" s="1">
        <v>0</v>
      </c>
      <c r="C1215" s="1">
        <v>10</v>
      </c>
      <c r="D1215" s="1">
        <v>4</v>
      </c>
      <c r="E1215" s="1">
        <v>3</v>
      </c>
      <c r="F1215" s="1">
        <v>3</v>
      </c>
      <c r="G1215" s="1">
        <v>6</v>
      </c>
      <c r="H1215" s="1">
        <v>1</v>
      </c>
      <c r="I1215" s="1">
        <v>1</v>
      </c>
      <c r="J1215" s="1">
        <v>3</v>
      </c>
    </row>
    <row r="1216" spans="1:10" x14ac:dyDescent="0.2">
      <c r="A1216" s="1">
        <v>823</v>
      </c>
      <c r="B1216" s="1">
        <v>0</v>
      </c>
      <c r="C1216" s="1">
        <v>12</v>
      </c>
      <c r="D1216" s="1">
        <v>1</v>
      </c>
      <c r="E1216" s="1">
        <v>3</v>
      </c>
      <c r="F1216" s="1">
        <v>3</v>
      </c>
      <c r="G1216" s="1">
        <v>6</v>
      </c>
      <c r="H1216" s="1">
        <v>1</v>
      </c>
      <c r="I1216" s="1">
        <v>1</v>
      </c>
      <c r="J1216" s="1">
        <v>3</v>
      </c>
    </row>
    <row r="1217" spans="1:10" x14ac:dyDescent="0.2">
      <c r="A1217" s="1">
        <v>139</v>
      </c>
      <c r="B1217" s="1">
        <v>0</v>
      </c>
      <c r="C1217" s="1">
        <v>10</v>
      </c>
      <c r="D1217" s="1">
        <v>4</v>
      </c>
      <c r="E1217" s="1">
        <v>1</v>
      </c>
      <c r="F1217" s="1">
        <v>4</v>
      </c>
      <c r="G1217" s="1">
        <v>6</v>
      </c>
      <c r="H1217" s="1">
        <v>0</v>
      </c>
      <c r="I1217" s="1">
        <v>3</v>
      </c>
      <c r="J1217" s="1">
        <v>3</v>
      </c>
    </row>
    <row r="1218" spans="1:10" x14ac:dyDescent="0.2">
      <c r="A1218" s="1">
        <v>1284</v>
      </c>
      <c r="B1218" s="1">
        <v>0</v>
      </c>
      <c r="C1218" s="1">
        <v>5</v>
      </c>
      <c r="D1218" s="1">
        <v>3</v>
      </c>
      <c r="E1218" s="1">
        <v>2</v>
      </c>
      <c r="F1218" s="1">
        <v>4</v>
      </c>
      <c r="G1218" s="1">
        <v>6</v>
      </c>
      <c r="H1218" s="1">
        <v>1</v>
      </c>
      <c r="I1218" s="1">
        <v>3</v>
      </c>
      <c r="J1218" s="1">
        <v>3</v>
      </c>
    </row>
    <row r="1219" spans="1:10" x14ac:dyDescent="0.2">
      <c r="A1219" s="1">
        <v>898</v>
      </c>
      <c r="B1219" s="1">
        <v>0</v>
      </c>
      <c r="C1219" s="1">
        <v>12</v>
      </c>
      <c r="D1219" s="1">
        <v>3</v>
      </c>
      <c r="E1219" s="1">
        <v>2</v>
      </c>
      <c r="F1219" s="1">
        <v>4</v>
      </c>
      <c r="G1219" s="1">
        <v>6</v>
      </c>
      <c r="H1219" s="1">
        <v>1</v>
      </c>
      <c r="I1219" s="1">
        <v>2</v>
      </c>
      <c r="J1219" s="1">
        <v>3</v>
      </c>
    </row>
    <row r="1220" spans="1:10" x14ac:dyDescent="0.2">
      <c r="A1220" s="1">
        <v>2399</v>
      </c>
      <c r="B1220" s="1">
        <v>0</v>
      </c>
      <c r="C1220" s="1">
        <v>14</v>
      </c>
      <c r="D1220" s="1">
        <v>3</v>
      </c>
      <c r="E1220" s="1">
        <v>2</v>
      </c>
      <c r="F1220" s="1">
        <v>4</v>
      </c>
      <c r="G1220" s="1">
        <v>6</v>
      </c>
      <c r="H1220" s="1">
        <v>0</v>
      </c>
      <c r="I1220" s="1">
        <v>3</v>
      </c>
      <c r="J1220" s="1">
        <v>3</v>
      </c>
    </row>
    <row r="1221" spans="1:10" x14ac:dyDescent="0.2">
      <c r="A1221" s="1">
        <v>108</v>
      </c>
      <c r="B1221" s="1">
        <v>0</v>
      </c>
      <c r="C1221" s="1">
        <v>20</v>
      </c>
      <c r="D1221" s="1">
        <v>4</v>
      </c>
      <c r="E1221" s="1">
        <v>2</v>
      </c>
      <c r="F1221" s="1">
        <v>4</v>
      </c>
      <c r="G1221" s="1">
        <v>6</v>
      </c>
      <c r="H1221" s="1">
        <v>0</v>
      </c>
      <c r="I1221" s="1">
        <v>1</v>
      </c>
      <c r="J1221" s="1">
        <v>3</v>
      </c>
    </row>
    <row r="1222" spans="1:10" x14ac:dyDescent="0.2">
      <c r="A1222" s="1">
        <v>1482</v>
      </c>
      <c r="B1222" s="1">
        <v>0</v>
      </c>
      <c r="C1222" s="1">
        <v>15</v>
      </c>
      <c r="D1222" s="1">
        <v>5</v>
      </c>
      <c r="E1222" s="1">
        <v>3</v>
      </c>
      <c r="F1222" s="1">
        <v>4</v>
      </c>
      <c r="G1222" s="1">
        <v>6</v>
      </c>
      <c r="H1222" s="1">
        <v>0</v>
      </c>
      <c r="I1222" s="1">
        <v>0</v>
      </c>
      <c r="J1222" s="1">
        <v>3</v>
      </c>
    </row>
    <row r="1223" spans="1:10" x14ac:dyDescent="0.2">
      <c r="A1223" s="1">
        <v>381</v>
      </c>
      <c r="B1223" s="1">
        <v>0</v>
      </c>
      <c r="C1223" s="1">
        <v>19</v>
      </c>
      <c r="D1223" s="1">
        <v>1</v>
      </c>
      <c r="E1223" s="1">
        <v>3</v>
      </c>
      <c r="F1223" s="1">
        <v>5</v>
      </c>
      <c r="G1223" s="1">
        <v>6</v>
      </c>
      <c r="H1223" s="1">
        <v>0</v>
      </c>
      <c r="I1223" s="1">
        <v>3</v>
      </c>
      <c r="J1223" s="1">
        <v>3</v>
      </c>
    </row>
    <row r="1224" spans="1:10" x14ac:dyDescent="0.2">
      <c r="A1224" s="1">
        <v>803</v>
      </c>
      <c r="B1224" s="1">
        <v>0</v>
      </c>
      <c r="C1224" s="1">
        <v>18</v>
      </c>
      <c r="D1224" s="1">
        <v>4</v>
      </c>
      <c r="E1224" s="1">
        <v>1</v>
      </c>
      <c r="F1224" s="1">
        <v>6</v>
      </c>
      <c r="G1224" s="1">
        <v>6</v>
      </c>
      <c r="H1224" s="1">
        <v>1</v>
      </c>
      <c r="I1224" s="1">
        <v>2</v>
      </c>
      <c r="J1224" s="1">
        <v>3</v>
      </c>
    </row>
    <row r="1225" spans="1:10" x14ac:dyDescent="0.2">
      <c r="A1225" s="1">
        <v>2311</v>
      </c>
      <c r="B1225" s="1">
        <v>0</v>
      </c>
      <c r="C1225" s="1">
        <v>19</v>
      </c>
      <c r="D1225" s="1">
        <v>2</v>
      </c>
      <c r="E1225" s="1">
        <v>1</v>
      </c>
      <c r="F1225" s="1">
        <v>6</v>
      </c>
      <c r="G1225" s="1">
        <v>6</v>
      </c>
      <c r="H1225" s="1">
        <v>1</v>
      </c>
      <c r="I1225" s="1">
        <v>2</v>
      </c>
      <c r="J1225" s="1">
        <v>3</v>
      </c>
    </row>
    <row r="1226" spans="1:10" x14ac:dyDescent="0.2">
      <c r="A1226" s="1">
        <v>1603</v>
      </c>
      <c r="B1226" s="1">
        <v>0</v>
      </c>
      <c r="C1226" s="1">
        <v>20</v>
      </c>
      <c r="D1226" s="1">
        <v>4</v>
      </c>
      <c r="E1226" s="1">
        <v>1</v>
      </c>
      <c r="F1226" s="1">
        <v>6</v>
      </c>
      <c r="G1226" s="1">
        <v>6</v>
      </c>
      <c r="H1226" s="1">
        <v>0</v>
      </c>
      <c r="I1226" s="1">
        <v>1</v>
      </c>
      <c r="J1226" s="1">
        <v>3</v>
      </c>
    </row>
    <row r="1227" spans="1:10" x14ac:dyDescent="0.2">
      <c r="A1227" s="1">
        <v>1920</v>
      </c>
      <c r="B1227" s="1">
        <v>0</v>
      </c>
      <c r="C1227" s="1">
        <v>8</v>
      </c>
      <c r="D1227" s="1">
        <v>3</v>
      </c>
      <c r="E1227" s="1">
        <v>2</v>
      </c>
      <c r="F1227" s="1">
        <v>6</v>
      </c>
      <c r="G1227" s="1">
        <v>6</v>
      </c>
      <c r="H1227" s="1">
        <v>0</v>
      </c>
      <c r="I1227" s="1">
        <v>2</v>
      </c>
      <c r="J1227" s="1">
        <v>3</v>
      </c>
    </row>
    <row r="1228" spans="1:10" x14ac:dyDescent="0.2">
      <c r="A1228" s="1">
        <v>1691</v>
      </c>
      <c r="B1228" s="1">
        <v>0</v>
      </c>
      <c r="C1228" s="1">
        <v>13</v>
      </c>
      <c r="D1228" s="1">
        <v>3</v>
      </c>
      <c r="E1228" s="1">
        <v>2</v>
      </c>
      <c r="F1228" s="1">
        <v>6</v>
      </c>
      <c r="G1228" s="1">
        <v>6</v>
      </c>
      <c r="H1228" s="1">
        <v>1</v>
      </c>
      <c r="I1228" s="1">
        <v>0</v>
      </c>
      <c r="J1228" s="1">
        <v>3</v>
      </c>
    </row>
    <row r="1229" spans="1:10" x14ac:dyDescent="0.2">
      <c r="A1229" s="1">
        <v>100</v>
      </c>
      <c r="B1229" s="1">
        <v>0</v>
      </c>
      <c r="C1229" s="1">
        <v>19</v>
      </c>
      <c r="D1229" s="1">
        <v>1</v>
      </c>
      <c r="E1229" s="1">
        <v>2</v>
      </c>
      <c r="F1229" s="1">
        <v>6</v>
      </c>
      <c r="G1229" s="1">
        <v>6</v>
      </c>
      <c r="H1229" s="1">
        <v>1</v>
      </c>
      <c r="I1229" s="1">
        <v>0</v>
      </c>
      <c r="J1229" s="1">
        <v>3</v>
      </c>
    </row>
    <row r="1230" spans="1:10" x14ac:dyDescent="0.2">
      <c r="A1230" s="1">
        <v>1035</v>
      </c>
      <c r="B1230" s="1">
        <v>0</v>
      </c>
      <c r="C1230" s="1">
        <v>19</v>
      </c>
      <c r="D1230" s="1">
        <v>5</v>
      </c>
      <c r="E1230" s="1">
        <v>2</v>
      </c>
      <c r="F1230" s="1">
        <v>6</v>
      </c>
      <c r="G1230" s="1">
        <v>6</v>
      </c>
      <c r="H1230" s="1">
        <v>1</v>
      </c>
      <c r="I1230" s="1">
        <v>2</v>
      </c>
      <c r="J1230" s="1">
        <v>3</v>
      </c>
    </row>
    <row r="1231" spans="1:10" x14ac:dyDescent="0.2">
      <c r="A1231" s="1">
        <v>2345</v>
      </c>
      <c r="B1231" s="1">
        <v>0</v>
      </c>
      <c r="C1231" s="1">
        <v>19</v>
      </c>
      <c r="D1231" s="1">
        <v>5</v>
      </c>
      <c r="E1231" s="1">
        <v>3</v>
      </c>
      <c r="F1231" s="1">
        <v>6</v>
      </c>
      <c r="G1231" s="1">
        <v>6</v>
      </c>
      <c r="H1231" s="1">
        <v>1</v>
      </c>
      <c r="I1231" s="1">
        <v>2</v>
      </c>
      <c r="J1231" s="1">
        <v>3</v>
      </c>
    </row>
    <row r="1232" spans="1:10" x14ac:dyDescent="0.2">
      <c r="A1232" s="1">
        <v>2195</v>
      </c>
      <c r="B1232" s="1">
        <v>0</v>
      </c>
      <c r="C1232" s="1">
        <v>8</v>
      </c>
      <c r="D1232" s="1">
        <v>5</v>
      </c>
      <c r="E1232" s="1">
        <v>2</v>
      </c>
      <c r="F1232" s="1">
        <v>7</v>
      </c>
      <c r="G1232" s="1">
        <v>6</v>
      </c>
      <c r="H1232" s="1">
        <v>1</v>
      </c>
      <c r="I1232" s="1">
        <v>3</v>
      </c>
      <c r="J1232" s="1">
        <v>3</v>
      </c>
    </row>
    <row r="1233" spans="1:10" x14ac:dyDescent="0.2">
      <c r="A1233" s="1">
        <v>1608</v>
      </c>
      <c r="B1233" s="1">
        <v>0</v>
      </c>
      <c r="C1233" s="1">
        <v>11</v>
      </c>
      <c r="D1233" s="1">
        <v>1</v>
      </c>
      <c r="E1233" s="1">
        <v>3</v>
      </c>
      <c r="F1233" s="1">
        <v>7</v>
      </c>
      <c r="G1233" s="1">
        <v>6</v>
      </c>
      <c r="H1233" s="1">
        <v>1</v>
      </c>
      <c r="I1233" s="1">
        <v>1</v>
      </c>
      <c r="J1233" s="1">
        <v>3</v>
      </c>
    </row>
    <row r="1234" spans="1:10" x14ac:dyDescent="0.2">
      <c r="A1234" s="1">
        <v>2064</v>
      </c>
      <c r="B1234" s="1">
        <v>0</v>
      </c>
      <c r="C1234" s="1">
        <v>7</v>
      </c>
      <c r="D1234" s="1">
        <v>5</v>
      </c>
      <c r="E1234" s="1">
        <v>2</v>
      </c>
      <c r="F1234" s="1">
        <v>8</v>
      </c>
      <c r="G1234" s="1">
        <v>6</v>
      </c>
      <c r="H1234" s="1">
        <v>1</v>
      </c>
      <c r="I1234" s="1">
        <v>2</v>
      </c>
      <c r="J1234" s="1">
        <v>3</v>
      </c>
    </row>
    <row r="1235" spans="1:10" x14ac:dyDescent="0.2">
      <c r="A1235" s="1">
        <v>859</v>
      </c>
      <c r="B1235" s="1">
        <v>0</v>
      </c>
      <c r="C1235" s="1">
        <v>15</v>
      </c>
      <c r="D1235" s="1">
        <v>3</v>
      </c>
      <c r="E1235" s="1">
        <v>2</v>
      </c>
      <c r="F1235" s="1">
        <v>8</v>
      </c>
      <c r="G1235" s="1">
        <v>6</v>
      </c>
      <c r="H1235" s="1">
        <v>1</v>
      </c>
      <c r="I1235" s="1">
        <v>0</v>
      </c>
      <c r="J1235" s="1">
        <v>3</v>
      </c>
    </row>
    <row r="1236" spans="1:10" x14ac:dyDescent="0.2">
      <c r="A1236" s="1">
        <v>1751</v>
      </c>
      <c r="B1236" s="1">
        <v>0</v>
      </c>
      <c r="C1236" s="1">
        <v>17</v>
      </c>
      <c r="D1236" s="1">
        <v>5</v>
      </c>
      <c r="E1236" s="1">
        <v>2</v>
      </c>
      <c r="F1236" s="1">
        <v>8</v>
      </c>
      <c r="G1236" s="1">
        <v>6</v>
      </c>
      <c r="H1236" s="1">
        <v>0</v>
      </c>
      <c r="I1236" s="1">
        <v>2</v>
      </c>
      <c r="J1236" s="1">
        <v>3</v>
      </c>
    </row>
    <row r="1237" spans="1:10" x14ac:dyDescent="0.2">
      <c r="A1237" s="1">
        <v>857</v>
      </c>
      <c r="B1237" s="1">
        <v>0</v>
      </c>
      <c r="C1237" s="1">
        <v>19</v>
      </c>
      <c r="D1237" s="1">
        <v>3</v>
      </c>
      <c r="E1237" s="1">
        <v>2</v>
      </c>
      <c r="F1237" s="1">
        <v>8</v>
      </c>
      <c r="G1237" s="1">
        <v>6</v>
      </c>
      <c r="H1237" s="1">
        <v>0</v>
      </c>
      <c r="I1237" s="1">
        <v>1</v>
      </c>
      <c r="J1237" s="1">
        <v>3</v>
      </c>
    </row>
    <row r="1238" spans="1:10" x14ac:dyDescent="0.2">
      <c r="A1238" s="1">
        <v>1983</v>
      </c>
      <c r="B1238" s="1">
        <v>0</v>
      </c>
      <c r="C1238" s="1">
        <v>13</v>
      </c>
      <c r="D1238" s="1">
        <v>4</v>
      </c>
      <c r="E1238" s="1">
        <v>3</v>
      </c>
      <c r="F1238" s="1">
        <v>8</v>
      </c>
      <c r="G1238" s="1">
        <v>6</v>
      </c>
      <c r="H1238" s="1">
        <v>0</v>
      </c>
      <c r="I1238" s="1">
        <v>2</v>
      </c>
      <c r="J1238" s="1">
        <v>3</v>
      </c>
    </row>
    <row r="1239" spans="1:10" x14ac:dyDescent="0.2">
      <c r="A1239" s="1">
        <v>2431</v>
      </c>
      <c r="B1239" s="1">
        <v>0</v>
      </c>
      <c r="C1239" s="1">
        <v>9</v>
      </c>
      <c r="D1239" s="1">
        <v>2</v>
      </c>
      <c r="E1239" s="1">
        <v>2</v>
      </c>
      <c r="F1239" s="1">
        <v>9</v>
      </c>
      <c r="G1239" s="1">
        <v>6</v>
      </c>
      <c r="H1239" s="1">
        <v>1</v>
      </c>
      <c r="I1239" s="1">
        <v>3</v>
      </c>
      <c r="J1239" s="1">
        <v>3</v>
      </c>
    </row>
    <row r="1240" spans="1:10" x14ac:dyDescent="0.2">
      <c r="A1240" s="1">
        <v>432</v>
      </c>
      <c r="B1240" s="1">
        <v>0</v>
      </c>
      <c r="C1240" s="1">
        <v>16</v>
      </c>
      <c r="D1240" s="1">
        <v>4</v>
      </c>
      <c r="E1240" s="1">
        <v>2</v>
      </c>
      <c r="F1240" s="1">
        <v>9</v>
      </c>
      <c r="G1240" s="1">
        <v>6</v>
      </c>
      <c r="H1240" s="1">
        <v>1</v>
      </c>
      <c r="I1240" s="1">
        <v>3</v>
      </c>
      <c r="J1240" s="1">
        <v>3</v>
      </c>
    </row>
    <row r="1241" spans="1:10" x14ac:dyDescent="0.2">
      <c r="A1241" s="1">
        <v>1824</v>
      </c>
      <c r="B1241" s="1">
        <v>0</v>
      </c>
      <c r="C1241" s="1">
        <v>16</v>
      </c>
      <c r="D1241" s="1">
        <v>1</v>
      </c>
      <c r="E1241" s="1">
        <v>2</v>
      </c>
      <c r="F1241" s="1">
        <v>9</v>
      </c>
      <c r="G1241" s="1">
        <v>6</v>
      </c>
      <c r="H1241" s="1">
        <v>0</v>
      </c>
      <c r="I1241" s="1">
        <v>1</v>
      </c>
      <c r="J1241" s="1">
        <v>3</v>
      </c>
    </row>
    <row r="1242" spans="1:10" x14ac:dyDescent="0.2">
      <c r="A1242" s="1">
        <v>1923</v>
      </c>
      <c r="B1242" s="1">
        <v>0</v>
      </c>
      <c r="C1242" s="1">
        <v>19</v>
      </c>
      <c r="D1242" s="1">
        <v>3</v>
      </c>
      <c r="E1242" s="1">
        <v>2</v>
      </c>
      <c r="F1242" s="1">
        <v>9</v>
      </c>
      <c r="G1242" s="1">
        <v>6</v>
      </c>
      <c r="H1242" s="1">
        <v>0</v>
      </c>
      <c r="I1242" s="1">
        <v>1</v>
      </c>
      <c r="J1242" s="1">
        <v>3</v>
      </c>
    </row>
    <row r="1243" spans="1:10" x14ac:dyDescent="0.2">
      <c r="A1243" s="1">
        <v>1619</v>
      </c>
      <c r="B1243" s="1">
        <v>0</v>
      </c>
      <c r="C1243" s="1">
        <v>11</v>
      </c>
      <c r="D1243" s="1">
        <v>5</v>
      </c>
      <c r="E1243" s="1">
        <v>3</v>
      </c>
      <c r="F1243" s="1">
        <v>9</v>
      </c>
      <c r="G1243" s="1">
        <v>6</v>
      </c>
      <c r="H1243" s="1">
        <v>1</v>
      </c>
      <c r="I1243" s="1">
        <v>0</v>
      </c>
      <c r="J1243" s="1">
        <v>3</v>
      </c>
    </row>
    <row r="1244" spans="1:10" x14ac:dyDescent="0.2">
      <c r="A1244" s="1">
        <v>241</v>
      </c>
      <c r="B1244" s="1">
        <v>0</v>
      </c>
      <c r="C1244" s="1">
        <v>5</v>
      </c>
      <c r="D1244" s="1">
        <v>2</v>
      </c>
      <c r="E1244" s="1">
        <v>2</v>
      </c>
      <c r="F1244" s="1">
        <v>10</v>
      </c>
      <c r="G1244" s="1">
        <v>6</v>
      </c>
      <c r="H1244" s="1">
        <v>1</v>
      </c>
      <c r="I1244" s="1">
        <v>1</v>
      </c>
      <c r="J1244" s="1">
        <v>3</v>
      </c>
    </row>
    <row r="1245" spans="1:10" x14ac:dyDescent="0.2">
      <c r="A1245" s="1">
        <v>1287</v>
      </c>
      <c r="B1245" s="1">
        <v>0</v>
      </c>
      <c r="C1245" s="1">
        <v>9</v>
      </c>
      <c r="D1245" s="1">
        <v>3</v>
      </c>
      <c r="E1245" s="1">
        <v>2</v>
      </c>
      <c r="F1245" s="1">
        <v>10</v>
      </c>
      <c r="G1245" s="1">
        <v>6</v>
      </c>
      <c r="H1245" s="1">
        <v>1</v>
      </c>
      <c r="I1245" s="1">
        <v>2</v>
      </c>
      <c r="J1245" s="1">
        <v>3</v>
      </c>
    </row>
    <row r="1246" spans="1:10" x14ac:dyDescent="0.2">
      <c r="A1246" s="1">
        <v>895</v>
      </c>
      <c r="B1246" s="1">
        <v>0</v>
      </c>
      <c r="C1246" s="1">
        <v>16</v>
      </c>
      <c r="D1246" s="1">
        <v>5</v>
      </c>
      <c r="E1246" s="1">
        <v>2</v>
      </c>
      <c r="F1246" s="1">
        <v>10</v>
      </c>
      <c r="G1246" s="1">
        <v>6</v>
      </c>
      <c r="H1246" s="1">
        <v>1</v>
      </c>
      <c r="I1246" s="1">
        <v>2</v>
      </c>
      <c r="J1246" s="1">
        <v>3</v>
      </c>
    </row>
    <row r="1247" spans="1:10" x14ac:dyDescent="0.2">
      <c r="A1247" s="1">
        <v>1358</v>
      </c>
      <c r="B1247" s="1">
        <v>0</v>
      </c>
      <c r="C1247" s="1">
        <v>20</v>
      </c>
      <c r="D1247" s="1">
        <v>5</v>
      </c>
      <c r="E1247" s="1">
        <v>2</v>
      </c>
      <c r="F1247" s="1">
        <v>10</v>
      </c>
      <c r="G1247" s="1">
        <v>6</v>
      </c>
      <c r="H1247" s="1">
        <v>1</v>
      </c>
      <c r="I1247" s="1">
        <v>2</v>
      </c>
      <c r="J1247" s="1">
        <v>3</v>
      </c>
    </row>
    <row r="1248" spans="1:10" x14ac:dyDescent="0.2">
      <c r="A1248" s="1">
        <v>1336</v>
      </c>
      <c r="B1248" s="1">
        <v>0</v>
      </c>
      <c r="C1248" s="1">
        <v>7</v>
      </c>
      <c r="D1248" s="1">
        <v>3</v>
      </c>
      <c r="E1248" s="1">
        <v>3</v>
      </c>
      <c r="F1248" s="1">
        <v>10</v>
      </c>
      <c r="G1248" s="1">
        <v>6</v>
      </c>
      <c r="H1248" s="1">
        <v>0</v>
      </c>
      <c r="I1248" s="1">
        <v>1</v>
      </c>
      <c r="J1248" s="1">
        <v>3</v>
      </c>
    </row>
    <row r="1249" spans="1:10" x14ac:dyDescent="0.2">
      <c r="A1249" s="1">
        <v>487</v>
      </c>
      <c r="B1249" s="1">
        <v>0</v>
      </c>
      <c r="C1249" s="1">
        <v>11</v>
      </c>
      <c r="D1249" s="1">
        <v>4</v>
      </c>
      <c r="E1249" s="1">
        <v>3</v>
      </c>
      <c r="F1249" s="1">
        <v>10</v>
      </c>
      <c r="G1249" s="1">
        <v>6</v>
      </c>
      <c r="H1249" s="1">
        <v>0</v>
      </c>
      <c r="I1249" s="1">
        <v>0</v>
      </c>
      <c r="J1249" s="1">
        <v>3</v>
      </c>
    </row>
    <row r="1250" spans="1:10" x14ac:dyDescent="0.2">
      <c r="A1250" s="1">
        <v>1351</v>
      </c>
      <c r="B1250" s="1">
        <v>0</v>
      </c>
      <c r="C1250" s="1">
        <v>10</v>
      </c>
      <c r="D1250" s="1">
        <v>1</v>
      </c>
      <c r="E1250" s="1">
        <v>1</v>
      </c>
      <c r="F1250" s="1">
        <v>1</v>
      </c>
      <c r="G1250" s="1">
        <v>7</v>
      </c>
      <c r="H1250" s="1">
        <v>1</v>
      </c>
      <c r="I1250" s="1">
        <v>2</v>
      </c>
      <c r="J1250" s="1">
        <v>3</v>
      </c>
    </row>
    <row r="1251" spans="1:10" x14ac:dyDescent="0.2">
      <c r="A1251" s="1">
        <v>1343</v>
      </c>
      <c r="B1251" s="1">
        <v>0</v>
      </c>
      <c r="C1251" s="1">
        <v>19</v>
      </c>
      <c r="D1251" s="1">
        <v>2</v>
      </c>
      <c r="E1251" s="1">
        <v>1</v>
      </c>
      <c r="F1251" s="1">
        <v>1</v>
      </c>
      <c r="G1251" s="1">
        <v>7</v>
      </c>
      <c r="H1251" s="1">
        <v>0</v>
      </c>
      <c r="I1251" s="1">
        <v>2</v>
      </c>
      <c r="J1251" s="1">
        <v>3</v>
      </c>
    </row>
    <row r="1252" spans="1:10" x14ac:dyDescent="0.2">
      <c r="A1252" s="1">
        <v>2203</v>
      </c>
      <c r="B1252" s="1">
        <v>0</v>
      </c>
      <c r="C1252" s="1">
        <v>11</v>
      </c>
      <c r="D1252" s="1">
        <v>1</v>
      </c>
      <c r="E1252" s="1">
        <v>2</v>
      </c>
      <c r="F1252" s="1">
        <v>1</v>
      </c>
      <c r="G1252" s="1">
        <v>7</v>
      </c>
      <c r="H1252" s="1">
        <v>0</v>
      </c>
      <c r="I1252" s="1">
        <v>0</v>
      </c>
      <c r="J1252" s="1">
        <v>3</v>
      </c>
    </row>
    <row r="1253" spans="1:10" x14ac:dyDescent="0.2">
      <c r="A1253" s="1">
        <v>1134</v>
      </c>
      <c r="B1253" s="1">
        <v>0</v>
      </c>
      <c r="C1253" s="1">
        <v>5</v>
      </c>
      <c r="D1253" s="1">
        <v>3</v>
      </c>
      <c r="E1253" s="1">
        <v>3</v>
      </c>
      <c r="F1253" s="1">
        <v>1</v>
      </c>
      <c r="G1253" s="1">
        <v>7</v>
      </c>
      <c r="H1253" s="1">
        <v>1</v>
      </c>
      <c r="I1253" s="1">
        <v>1</v>
      </c>
      <c r="J1253" s="1">
        <v>3</v>
      </c>
    </row>
    <row r="1254" spans="1:10" x14ac:dyDescent="0.2">
      <c r="A1254" s="1">
        <v>134</v>
      </c>
      <c r="B1254" s="1">
        <v>0</v>
      </c>
      <c r="C1254" s="1">
        <v>19</v>
      </c>
      <c r="D1254" s="1">
        <v>2</v>
      </c>
      <c r="E1254" s="1">
        <v>3</v>
      </c>
      <c r="F1254" s="1">
        <v>1</v>
      </c>
      <c r="G1254" s="1">
        <v>7</v>
      </c>
      <c r="H1254" s="1">
        <v>0</v>
      </c>
      <c r="I1254" s="1">
        <v>0</v>
      </c>
      <c r="J1254" s="1">
        <v>3</v>
      </c>
    </row>
    <row r="1255" spans="1:10" x14ac:dyDescent="0.2">
      <c r="A1255" s="1">
        <v>384</v>
      </c>
      <c r="B1255" s="1">
        <v>0</v>
      </c>
      <c r="C1255" s="1">
        <v>6</v>
      </c>
      <c r="D1255" s="1">
        <v>1</v>
      </c>
      <c r="E1255" s="1">
        <v>1</v>
      </c>
      <c r="F1255" s="1">
        <v>2</v>
      </c>
      <c r="G1255" s="1">
        <v>7</v>
      </c>
      <c r="H1255" s="1">
        <v>1</v>
      </c>
      <c r="I1255" s="1">
        <v>2</v>
      </c>
      <c r="J1255" s="1">
        <v>3</v>
      </c>
    </row>
    <row r="1256" spans="1:10" x14ac:dyDescent="0.2">
      <c r="A1256" s="1">
        <v>850</v>
      </c>
      <c r="B1256" s="1">
        <v>0</v>
      </c>
      <c r="C1256" s="1">
        <v>6</v>
      </c>
      <c r="D1256" s="1">
        <v>4</v>
      </c>
      <c r="E1256" s="1">
        <v>3</v>
      </c>
      <c r="F1256" s="1">
        <v>2</v>
      </c>
      <c r="G1256" s="1">
        <v>7</v>
      </c>
      <c r="H1256" s="1">
        <v>1</v>
      </c>
      <c r="I1256" s="1">
        <v>1</v>
      </c>
      <c r="J1256" s="1">
        <v>3</v>
      </c>
    </row>
    <row r="1257" spans="1:10" x14ac:dyDescent="0.2">
      <c r="A1257" s="1">
        <v>1818</v>
      </c>
      <c r="B1257" s="1">
        <v>0</v>
      </c>
      <c r="C1257" s="1">
        <v>12</v>
      </c>
      <c r="D1257" s="1">
        <v>2</v>
      </c>
      <c r="E1257" s="1">
        <v>3</v>
      </c>
      <c r="F1257" s="1">
        <v>2</v>
      </c>
      <c r="G1257" s="1">
        <v>7</v>
      </c>
      <c r="H1257" s="1">
        <v>1</v>
      </c>
      <c r="I1257" s="1">
        <v>3</v>
      </c>
      <c r="J1257" s="1">
        <v>3</v>
      </c>
    </row>
    <row r="1258" spans="1:10" x14ac:dyDescent="0.2">
      <c r="A1258" s="1">
        <v>1270</v>
      </c>
      <c r="B1258" s="1">
        <v>0</v>
      </c>
      <c r="C1258" s="1">
        <v>16</v>
      </c>
      <c r="D1258" s="1">
        <v>4</v>
      </c>
      <c r="E1258" s="1">
        <v>3</v>
      </c>
      <c r="F1258" s="1">
        <v>2</v>
      </c>
      <c r="G1258" s="1">
        <v>7</v>
      </c>
      <c r="H1258" s="1">
        <v>1</v>
      </c>
      <c r="I1258" s="1">
        <v>0</v>
      </c>
      <c r="J1258" s="1">
        <v>3</v>
      </c>
    </row>
    <row r="1259" spans="1:10" x14ac:dyDescent="0.2">
      <c r="A1259" s="1">
        <v>266</v>
      </c>
      <c r="B1259" s="1">
        <v>0</v>
      </c>
      <c r="C1259" s="1">
        <v>5</v>
      </c>
      <c r="D1259" s="1">
        <v>2</v>
      </c>
      <c r="E1259" s="1">
        <v>1</v>
      </c>
      <c r="F1259" s="1">
        <v>3</v>
      </c>
      <c r="G1259" s="1">
        <v>7</v>
      </c>
      <c r="H1259" s="1">
        <v>1</v>
      </c>
      <c r="I1259" s="1">
        <v>3</v>
      </c>
      <c r="J1259" s="1">
        <v>3</v>
      </c>
    </row>
    <row r="1260" spans="1:10" x14ac:dyDescent="0.2">
      <c r="A1260" s="1">
        <v>939</v>
      </c>
      <c r="B1260" s="1">
        <v>0</v>
      </c>
      <c r="C1260" s="1">
        <v>18</v>
      </c>
      <c r="D1260" s="1">
        <v>3</v>
      </c>
      <c r="E1260" s="1">
        <v>1</v>
      </c>
      <c r="F1260" s="1">
        <v>3</v>
      </c>
      <c r="G1260" s="1">
        <v>7</v>
      </c>
      <c r="H1260" s="1">
        <v>1</v>
      </c>
      <c r="I1260" s="1">
        <v>0</v>
      </c>
      <c r="J1260" s="1">
        <v>3</v>
      </c>
    </row>
    <row r="1261" spans="1:10" x14ac:dyDescent="0.2">
      <c r="A1261" s="1">
        <v>1855</v>
      </c>
      <c r="B1261" s="1">
        <v>0</v>
      </c>
      <c r="C1261" s="1">
        <v>6</v>
      </c>
      <c r="D1261" s="1">
        <v>3</v>
      </c>
      <c r="E1261" s="1">
        <v>3</v>
      </c>
      <c r="F1261" s="1">
        <v>3</v>
      </c>
      <c r="G1261" s="1">
        <v>7</v>
      </c>
      <c r="H1261" s="1">
        <v>1</v>
      </c>
      <c r="I1261" s="1">
        <v>3</v>
      </c>
      <c r="J1261" s="1">
        <v>3</v>
      </c>
    </row>
    <row r="1262" spans="1:10" x14ac:dyDescent="0.2">
      <c r="A1262" s="1">
        <v>725</v>
      </c>
      <c r="B1262" s="1">
        <v>0</v>
      </c>
      <c r="C1262" s="1">
        <v>18</v>
      </c>
      <c r="D1262" s="1">
        <v>3</v>
      </c>
      <c r="E1262" s="1">
        <v>3</v>
      </c>
      <c r="F1262" s="1">
        <v>3</v>
      </c>
      <c r="G1262" s="1">
        <v>7</v>
      </c>
      <c r="H1262" s="1">
        <v>1</v>
      </c>
      <c r="I1262" s="1">
        <v>3</v>
      </c>
      <c r="J1262" s="1">
        <v>3</v>
      </c>
    </row>
    <row r="1263" spans="1:10" x14ac:dyDescent="0.2">
      <c r="A1263" s="1">
        <v>624</v>
      </c>
      <c r="B1263" s="1">
        <v>0</v>
      </c>
      <c r="C1263" s="1">
        <v>12</v>
      </c>
      <c r="D1263" s="1">
        <v>1</v>
      </c>
      <c r="E1263" s="1">
        <v>1</v>
      </c>
      <c r="F1263" s="1">
        <v>4</v>
      </c>
      <c r="G1263" s="1">
        <v>7</v>
      </c>
      <c r="H1263" s="1">
        <v>1</v>
      </c>
      <c r="I1263" s="1">
        <v>2</v>
      </c>
      <c r="J1263" s="1">
        <v>3</v>
      </c>
    </row>
    <row r="1264" spans="1:10" x14ac:dyDescent="0.2">
      <c r="A1264" s="1">
        <v>69</v>
      </c>
      <c r="B1264" s="1">
        <v>0</v>
      </c>
      <c r="C1264" s="1">
        <v>5</v>
      </c>
      <c r="D1264" s="1">
        <v>1</v>
      </c>
      <c r="E1264" s="1">
        <v>2</v>
      </c>
      <c r="F1264" s="1">
        <v>4</v>
      </c>
      <c r="G1264" s="1">
        <v>7</v>
      </c>
      <c r="H1264" s="1">
        <v>0</v>
      </c>
      <c r="I1264" s="1">
        <v>0</v>
      </c>
      <c r="J1264" s="1">
        <v>3</v>
      </c>
    </row>
    <row r="1265" spans="1:10" x14ac:dyDescent="0.2">
      <c r="A1265" s="1">
        <v>1359</v>
      </c>
      <c r="B1265" s="1">
        <v>0</v>
      </c>
      <c r="C1265" s="1">
        <v>14</v>
      </c>
      <c r="D1265" s="1">
        <v>1</v>
      </c>
      <c r="E1265" s="1">
        <v>3</v>
      </c>
      <c r="F1265" s="1">
        <v>4</v>
      </c>
      <c r="G1265" s="1">
        <v>7</v>
      </c>
      <c r="H1265" s="1">
        <v>1</v>
      </c>
      <c r="I1265" s="1">
        <v>1</v>
      </c>
      <c r="J1265" s="1">
        <v>3</v>
      </c>
    </row>
    <row r="1266" spans="1:10" x14ac:dyDescent="0.2">
      <c r="A1266" s="1">
        <v>61</v>
      </c>
      <c r="B1266" s="1">
        <v>0</v>
      </c>
      <c r="C1266" s="1">
        <v>17</v>
      </c>
      <c r="D1266" s="1">
        <v>4</v>
      </c>
      <c r="E1266" s="1">
        <v>3</v>
      </c>
      <c r="F1266" s="1">
        <v>4</v>
      </c>
      <c r="G1266" s="1">
        <v>7</v>
      </c>
      <c r="H1266" s="1">
        <v>0</v>
      </c>
      <c r="I1266" s="1">
        <v>3</v>
      </c>
      <c r="J1266" s="1">
        <v>3</v>
      </c>
    </row>
    <row r="1267" spans="1:10" x14ac:dyDescent="0.2">
      <c r="A1267" s="1">
        <v>800</v>
      </c>
      <c r="B1267" s="1">
        <v>0</v>
      </c>
      <c r="C1267" s="1">
        <v>18</v>
      </c>
      <c r="D1267" s="1">
        <v>5</v>
      </c>
      <c r="E1267" s="1">
        <v>3</v>
      </c>
      <c r="F1267" s="1">
        <v>4</v>
      </c>
      <c r="G1267" s="1">
        <v>7</v>
      </c>
      <c r="H1267" s="1">
        <v>0</v>
      </c>
      <c r="I1267" s="1">
        <v>0</v>
      </c>
      <c r="J1267" s="1">
        <v>3</v>
      </c>
    </row>
    <row r="1268" spans="1:10" x14ac:dyDescent="0.2">
      <c r="A1268" s="1">
        <v>989</v>
      </c>
      <c r="B1268" s="1">
        <v>0</v>
      </c>
      <c r="C1268" s="1">
        <v>14</v>
      </c>
      <c r="D1268" s="1">
        <v>5</v>
      </c>
      <c r="E1268" s="1">
        <v>2</v>
      </c>
      <c r="F1268" s="1">
        <v>5</v>
      </c>
      <c r="G1268" s="1">
        <v>7</v>
      </c>
      <c r="H1268" s="1">
        <v>1</v>
      </c>
      <c r="I1268" s="1">
        <v>3</v>
      </c>
      <c r="J1268" s="1">
        <v>3</v>
      </c>
    </row>
    <row r="1269" spans="1:10" x14ac:dyDescent="0.2">
      <c r="A1269" s="1">
        <v>1668</v>
      </c>
      <c r="B1269" s="1">
        <v>0</v>
      </c>
      <c r="C1269" s="1">
        <v>12</v>
      </c>
      <c r="D1269" s="1">
        <v>4</v>
      </c>
      <c r="E1269" s="1">
        <v>2</v>
      </c>
      <c r="F1269" s="1">
        <v>6</v>
      </c>
      <c r="G1269" s="1">
        <v>7</v>
      </c>
      <c r="H1269" s="1">
        <v>1</v>
      </c>
      <c r="I1269" s="1">
        <v>1</v>
      </c>
      <c r="J1269" s="1">
        <v>3</v>
      </c>
    </row>
    <row r="1270" spans="1:10" x14ac:dyDescent="0.2">
      <c r="A1270" s="1">
        <v>1657</v>
      </c>
      <c r="B1270" s="1">
        <v>0</v>
      </c>
      <c r="C1270" s="1">
        <v>20</v>
      </c>
      <c r="D1270" s="1">
        <v>5</v>
      </c>
      <c r="E1270" s="1">
        <v>2</v>
      </c>
      <c r="F1270" s="1">
        <v>7</v>
      </c>
      <c r="G1270" s="1">
        <v>7</v>
      </c>
      <c r="H1270" s="1">
        <v>0</v>
      </c>
      <c r="I1270" s="1">
        <v>2</v>
      </c>
      <c r="J1270" s="1">
        <v>3</v>
      </c>
    </row>
    <row r="1271" spans="1:10" x14ac:dyDescent="0.2">
      <c r="A1271" s="1">
        <v>2033</v>
      </c>
      <c r="B1271" s="1">
        <v>0</v>
      </c>
      <c r="C1271" s="1">
        <v>5</v>
      </c>
      <c r="D1271" s="1">
        <v>4</v>
      </c>
      <c r="E1271" s="1">
        <v>2</v>
      </c>
      <c r="F1271" s="1">
        <v>8</v>
      </c>
      <c r="G1271" s="1">
        <v>7</v>
      </c>
      <c r="H1271" s="1">
        <v>1</v>
      </c>
      <c r="I1271" s="1">
        <v>0</v>
      </c>
      <c r="J1271" s="1">
        <v>3</v>
      </c>
    </row>
    <row r="1272" spans="1:10" x14ac:dyDescent="0.2">
      <c r="A1272" s="1">
        <v>781</v>
      </c>
      <c r="B1272" s="1">
        <v>0</v>
      </c>
      <c r="C1272" s="1">
        <v>6</v>
      </c>
      <c r="D1272" s="1">
        <v>1</v>
      </c>
      <c r="E1272" s="1">
        <v>2</v>
      </c>
      <c r="F1272" s="1">
        <v>8</v>
      </c>
      <c r="G1272" s="1">
        <v>7</v>
      </c>
      <c r="H1272" s="1">
        <v>0</v>
      </c>
      <c r="I1272" s="1">
        <v>0</v>
      </c>
      <c r="J1272" s="1">
        <v>3</v>
      </c>
    </row>
    <row r="1273" spans="1:10" x14ac:dyDescent="0.2">
      <c r="A1273" s="1">
        <v>180</v>
      </c>
      <c r="B1273" s="1">
        <v>0</v>
      </c>
      <c r="C1273" s="1">
        <v>8</v>
      </c>
      <c r="D1273" s="1">
        <v>1</v>
      </c>
      <c r="E1273" s="1">
        <v>3</v>
      </c>
      <c r="F1273" s="1">
        <v>8</v>
      </c>
      <c r="G1273" s="1">
        <v>7</v>
      </c>
      <c r="H1273" s="1">
        <v>0</v>
      </c>
      <c r="I1273" s="1">
        <v>0</v>
      </c>
      <c r="J1273" s="1">
        <v>3</v>
      </c>
    </row>
    <row r="1274" spans="1:10" x14ac:dyDescent="0.2">
      <c r="A1274" s="1">
        <v>1579</v>
      </c>
      <c r="B1274" s="1">
        <v>0</v>
      </c>
      <c r="C1274" s="1">
        <v>10</v>
      </c>
      <c r="D1274" s="1">
        <v>4</v>
      </c>
      <c r="E1274" s="1">
        <v>3</v>
      </c>
      <c r="F1274" s="1">
        <v>8</v>
      </c>
      <c r="G1274" s="1">
        <v>7</v>
      </c>
      <c r="H1274" s="1">
        <v>1</v>
      </c>
      <c r="I1274" s="1">
        <v>1</v>
      </c>
      <c r="J1274" s="1">
        <v>3</v>
      </c>
    </row>
    <row r="1275" spans="1:10" x14ac:dyDescent="0.2">
      <c r="A1275" s="1">
        <v>1109</v>
      </c>
      <c r="B1275" s="1">
        <v>0</v>
      </c>
      <c r="C1275" s="1">
        <v>18</v>
      </c>
      <c r="D1275" s="1">
        <v>2</v>
      </c>
      <c r="E1275" s="1">
        <v>3</v>
      </c>
      <c r="F1275" s="1">
        <v>8</v>
      </c>
      <c r="G1275" s="1">
        <v>7</v>
      </c>
      <c r="H1275" s="1">
        <v>1</v>
      </c>
      <c r="I1275" s="1">
        <v>0</v>
      </c>
      <c r="J1275" s="1">
        <v>3</v>
      </c>
    </row>
    <row r="1276" spans="1:10" x14ac:dyDescent="0.2">
      <c r="A1276" s="1">
        <v>1539</v>
      </c>
      <c r="B1276" s="1">
        <v>0</v>
      </c>
      <c r="C1276" s="1">
        <v>5</v>
      </c>
      <c r="D1276" s="1">
        <v>5</v>
      </c>
      <c r="E1276" s="1">
        <v>2</v>
      </c>
      <c r="F1276" s="1">
        <v>9</v>
      </c>
      <c r="G1276" s="1">
        <v>7</v>
      </c>
      <c r="H1276" s="1">
        <v>0</v>
      </c>
      <c r="I1276" s="1">
        <v>2</v>
      </c>
      <c r="J1276" s="1">
        <v>3</v>
      </c>
    </row>
    <row r="1277" spans="1:10" x14ac:dyDescent="0.2">
      <c r="A1277" s="1">
        <v>598</v>
      </c>
      <c r="B1277" s="1">
        <v>0</v>
      </c>
      <c r="C1277" s="1">
        <v>10</v>
      </c>
      <c r="D1277" s="1">
        <v>2</v>
      </c>
      <c r="E1277" s="1">
        <v>2</v>
      </c>
      <c r="F1277" s="1">
        <v>9</v>
      </c>
      <c r="G1277" s="1">
        <v>7</v>
      </c>
      <c r="H1277" s="1">
        <v>1</v>
      </c>
      <c r="I1277" s="1">
        <v>0</v>
      </c>
      <c r="J1277" s="1">
        <v>3</v>
      </c>
    </row>
    <row r="1278" spans="1:10" x14ac:dyDescent="0.2">
      <c r="A1278" s="1">
        <v>2375</v>
      </c>
      <c r="B1278" s="1">
        <v>0</v>
      </c>
      <c r="C1278" s="1">
        <v>5</v>
      </c>
      <c r="D1278" s="1">
        <v>5</v>
      </c>
      <c r="E1278" s="1">
        <v>2</v>
      </c>
      <c r="F1278" s="1">
        <v>10</v>
      </c>
      <c r="G1278" s="1">
        <v>7</v>
      </c>
      <c r="H1278" s="1">
        <v>1</v>
      </c>
      <c r="I1278" s="1">
        <v>3</v>
      </c>
      <c r="J1278" s="1">
        <v>3</v>
      </c>
    </row>
    <row r="1279" spans="1:10" x14ac:dyDescent="0.2">
      <c r="A1279" s="1">
        <v>1854</v>
      </c>
      <c r="B1279" s="1">
        <v>0</v>
      </c>
      <c r="C1279" s="1">
        <v>14</v>
      </c>
      <c r="D1279" s="1">
        <v>3</v>
      </c>
      <c r="E1279" s="1">
        <v>2</v>
      </c>
      <c r="F1279" s="1">
        <v>10</v>
      </c>
      <c r="G1279" s="1">
        <v>7</v>
      </c>
      <c r="H1279" s="1">
        <v>0</v>
      </c>
      <c r="I1279" s="1">
        <v>3</v>
      </c>
      <c r="J1279" s="1">
        <v>3</v>
      </c>
    </row>
    <row r="1280" spans="1:10" x14ac:dyDescent="0.2">
      <c r="A1280" s="1">
        <v>2343</v>
      </c>
      <c r="B1280" s="1">
        <v>0</v>
      </c>
      <c r="C1280" s="1">
        <v>5</v>
      </c>
      <c r="D1280" s="1">
        <v>4</v>
      </c>
      <c r="E1280" s="1">
        <v>3</v>
      </c>
      <c r="F1280" s="1">
        <v>10</v>
      </c>
      <c r="G1280" s="1">
        <v>7</v>
      </c>
      <c r="H1280" s="1">
        <v>1</v>
      </c>
      <c r="I1280" s="1">
        <v>3</v>
      </c>
      <c r="J1280" s="1">
        <v>3</v>
      </c>
    </row>
    <row r="1281" spans="1:10" x14ac:dyDescent="0.2">
      <c r="A1281" s="1">
        <v>799</v>
      </c>
      <c r="B1281" s="1">
        <v>0</v>
      </c>
      <c r="C1281" s="1">
        <v>17</v>
      </c>
      <c r="D1281" s="1">
        <v>4</v>
      </c>
      <c r="E1281" s="1">
        <v>3</v>
      </c>
      <c r="F1281" s="1">
        <v>10</v>
      </c>
      <c r="G1281" s="1">
        <v>7</v>
      </c>
      <c r="H1281" s="1">
        <v>0</v>
      </c>
      <c r="I1281" s="1">
        <v>1</v>
      </c>
      <c r="J1281" s="1">
        <v>3</v>
      </c>
    </row>
    <row r="1282" spans="1:10" x14ac:dyDescent="0.2">
      <c r="A1282" s="1">
        <v>401</v>
      </c>
      <c r="B1282" s="1">
        <v>0</v>
      </c>
      <c r="C1282" s="1">
        <v>18</v>
      </c>
      <c r="D1282" s="1">
        <v>3</v>
      </c>
      <c r="E1282" s="1">
        <v>3</v>
      </c>
      <c r="F1282" s="1">
        <v>10</v>
      </c>
      <c r="G1282" s="1">
        <v>7</v>
      </c>
      <c r="H1282" s="1">
        <v>1</v>
      </c>
      <c r="I1282" s="1">
        <v>1</v>
      </c>
      <c r="J1282" s="1">
        <v>3</v>
      </c>
    </row>
    <row r="1283" spans="1:10" x14ac:dyDescent="0.2">
      <c r="A1283" s="1">
        <v>2040</v>
      </c>
      <c r="B1283" s="1">
        <v>0</v>
      </c>
      <c r="C1283" s="1">
        <v>13</v>
      </c>
      <c r="D1283" s="1">
        <v>4</v>
      </c>
      <c r="E1283" s="1">
        <v>1</v>
      </c>
      <c r="F1283" s="1">
        <v>1</v>
      </c>
      <c r="G1283" s="1">
        <v>8</v>
      </c>
      <c r="H1283" s="1">
        <v>0</v>
      </c>
      <c r="I1283" s="1">
        <v>3</v>
      </c>
      <c r="J1283" s="1">
        <v>3</v>
      </c>
    </row>
    <row r="1284" spans="1:10" x14ac:dyDescent="0.2">
      <c r="A1284" s="1">
        <v>1045</v>
      </c>
      <c r="B1284" s="1">
        <v>0</v>
      </c>
      <c r="C1284" s="1">
        <v>14</v>
      </c>
      <c r="D1284" s="1">
        <v>1</v>
      </c>
      <c r="E1284" s="1">
        <v>1</v>
      </c>
      <c r="F1284" s="1">
        <v>1</v>
      </c>
      <c r="G1284" s="1">
        <v>8</v>
      </c>
      <c r="H1284" s="1">
        <v>0</v>
      </c>
      <c r="I1284" s="1">
        <v>3</v>
      </c>
      <c r="J1284" s="1">
        <v>3</v>
      </c>
    </row>
    <row r="1285" spans="1:10" x14ac:dyDescent="0.2">
      <c r="A1285" s="1">
        <v>778</v>
      </c>
      <c r="B1285" s="1">
        <v>0</v>
      </c>
      <c r="C1285" s="1">
        <v>13</v>
      </c>
      <c r="D1285" s="1">
        <v>3</v>
      </c>
      <c r="E1285" s="1">
        <v>2</v>
      </c>
      <c r="F1285" s="1">
        <v>1</v>
      </c>
      <c r="G1285" s="1">
        <v>8</v>
      </c>
      <c r="H1285" s="1">
        <v>0</v>
      </c>
      <c r="I1285" s="1">
        <v>2</v>
      </c>
      <c r="J1285" s="1">
        <v>3</v>
      </c>
    </row>
    <row r="1286" spans="1:10" x14ac:dyDescent="0.2">
      <c r="A1286" s="1">
        <v>537</v>
      </c>
      <c r="B1286" s="1">
        <v>0</v>
      </c>
      <c r="C1286" s="1">
        <v>16</v>
      </c>
      <c r="D1286" s="1">
        <v>5</v>
      </c>
      <c r="E1286" s="1">
        <v>2</v>
      </c>
      <c r="F1286" s="1">
        <v>1</v>
      </c>
      <c r="G1286" s="1">
        <v>8</v>
      </c>
      <c r="H1286" s="1">
        <v>1</v>
      </c>
      <c r="I1286" s="1">
        <v>2</v>
      </c>
      <c r="J1286" s="1">
        <v>3</v>
      </c>
    </row>
    <row r="1287" spans="1:10" x14ac:dyDescent="0.2">
      <c r="A1287" s="1">
        <v>11</v>
      </c>
      <c r="B1287" s="1">
        <v>0</v>
      </c>
      <c r="C1287" s="1">
        <v>9</v>
      </c>
      <c r="D1287" s="1">
        <v>3</v>
      </c>
      <c r="E1287" s="1">
        <v>3</v>
      </c>
      <c r="F1287" s="1">
        <v>1</v>
      </c>
      <c r="G1287" s="1">
        <v>8</v>
      </c>
      <c r="H1287" s="1">
        <v>0</v>
      </c>
      <c r="I1287" s="1">
        <v>3</v>
      </c>
      <c r="J1287" s="1">
        <v>3</v>
      </c>
    </row>
    <row r="1288" spans="1:10" x14ac:dyDescent="0.2">
      <c r="A1288" s="1">
        <v>20</v>
      </c>
      <c r="B1288" s="1">
        <v>0</v>
      </c>
      <c r="C1288" s="1">
        <v>13</v>
      </c>
      <c r="D1288" s="1">
        <v>3</v>
      </c>
      <c r="E1288" s="1">
        <v>3</v>
      </c>
      <c r="F1288" s="1">
        <v>1</v>
      </c>
      <c r="G1288" s="1">
        <v>8</v>
      </c>
      <c r="H1288" s="1">
        <v>0</v>
      </c>
      <c r="I1288" s="1">
        <v>2</v>
      </c>
      <c r="J1288" s="1">
        <v>3</v>
      </c>
    </row>
    <row r="1289" spans="1:10" x14ac:dyDescent="0.2">
      <c r="A1289" s="1">
        <v>1379</v>
      </c>
      <c r="B1289" s="1">
        <v>0</v>
      </c>
      <c r="C1289" s="1">
        <v>13</v>
      </c>
      <c r="D1289" s="1">
        <v>4</v>
      </c>
      <c r="E1289" s="1">
        <v>3</v>
      </c>
      <c r="F1289" s="1">
        <v>1</v>
      </c>
      <c r="G1289" s="1">
        <v>8</v>
      </c>
      <c r="H1289" s="1">
        <v>0</v>
      </c>
      <c r="I1289" s="1">
        <v>1</v>
      </c>
      <c r="J1289" s="1">
        <v>3</v>
      </c>
    </row>
    <row r="1290" spans="1:10" x14ac:dyDescent="0.2">
      <c r="A1290" s="1">
        <v>1028</v>
      </c>
      <c r="B1290" s="1">
        <v>0</v>
      </c>
      <c r="C1290" s="1">
        <v>12</v>
      </c>
      <c r="D1290" s="1">
        <v>4</v>
      </c>
      <c r="E1290" s="1">
        <v>1</v>
      </c>
      <c r="F1290" s="1">
        <v>2</v>
      </c>
      <c r="G1290" s="1">
        <v>8</v>
      </c>
      <c r="H1290" s="1">
        <v>0</v>
      </c>
      <c r="I1290" s="1">
        <v>1</v>
      </c>
      <c r="J1290" s="1">
        <v>3</v>
      </c>
    </row>
    <row r="1291" spans="1:10" x14ac:dyDescent="0.2">
      <c r="A1291" s="1">
        <v>634</v>
      </c>
      <c r="B1291" s="1">
        <v>0</v>
      </c>
      <c r="C1291" s="1">
        <v>16</v>
      </c>
      <c r="D1291" s="1">
        <v>1</v>
      </c>
      <c r="E1291" s="1">
        <v>1</v>
      </c>
      <c r="F1291" s="1">
        <v>2</v>
      </c>
      <c r="G1291" s="1">
        <v>8</v>
      </c>
      <c r="H1291" s="1">
        <v>0</v>
      </c>
      <c r="I1291" s="1">
        <v>3</v>
      </c>
      <c r="J1291" s="1">
        <v>3</v>
      </c>
    </row>
    <row r="1292" spans="1:10" x14ac:dyDescent="0.2">
      <c r="A1292" s="1">
        <v>2412</v>
      </c>
      <c r="B1292" s="1">
        <v>0</v>
      </c>
      <c r="C1292" s="1">
        <v>12</v>
      </c>
      <c r="D1292" s="1">
        <v>3</v>
      </c>
      <c r="E1292" s="1">
        <v>2</v>
      </c>
      <c r="F1292" s="1">
        <v>2</v>
      </c>
      <c r="G1292" s="1">
        <v>8</v>
      </c>
      <c r="H1292" s="1">
        <v>0</v>
      </c>
      <c r="I1292" s="1">
        <v>1</v>
      </c>
      <c r="J1292" s="1">
        <v>3</v>
      </c>
    </row>
    <row r="1293" spans="1:10" x14ac:dyDescent="0.2">
      <c r="A1293" s="1">
        <v>2039</v>
      </c>
      <c r="B1293" s="1">
        <v>0</v>
      </c>
      <c r="C1293" s="1">
        <v>19</v>
      </c>
      <c r="D1293" s="1">
        <v>1</v>
      </c>
      <c r="E1293" s="1">
        <v>2</v>
      </c>
      <c r="F1293" s="1">
        <v>2</v>
      </c>
      <c r="G1293" s="1">
        <v>8</v>
      </c>
      <c r="H1293" s="1">
        <v>0</v>
      </c>
      <c r="I1293" s="1">
        <v>1</v>
      </c>
      <c r="J1293" s="1">
        <v>3</v>
      </c>
    </row>
    <row r="1294" spans="1:10" x14ac:dyDescent="0.2">
      <c r="A1294" s="1">
        <v>1007</v>
      </c>
      <c r="B1294" s="1">
        <v>0</v>
      </c>
      <c r="C1294" s="1">
        <v>20</v>
      </c>
      <c r="D1294" s="1">
        <v>3</v>
      </c>
      <c r="E1294" s="1">
        <v>2</v>
      </c>
      <c r="F1294" s="1">
        <v>2</v>
      </c>
      <c r="G1294" s="1">
        <v>8</v>
      </c>
      <c r="H1294" s="1">
        <v>0</v>
      </c>
      <c r="I1294" s="1">
        <v>0</v>
      </c>
      <c r="J1294" s="1">
        <v>3</v>
      </c>
    </row>
    <row r="1295" spans="1:10" x14ac:dyDescent="0.2">
      <c r="A1295" s="1">
        <v>1446</v>
      </c>
      <c r="B1295" s="1">
        <v>0</v>
      </c>
      <c r="C1295" s="1">
        <v>15</v>
      </c>
      <c r="D1295" s="1">
        <v>1</v>
      </c>
      <c r="E1295" s="1">
        <v>3</v>
      </c>
      <c r="F1295" s="1">
        <v>2</v>
      </c>
      <c r="G1295" s="1">
        <v>8</v>
      </c>
      <c r="H1295" s="1">
        <v>0</v>
      </c>
      <c r="I1295" s="1">
        <v>2</v>
      </c>
      <c r="J1295" s="1">
        <v>3</v>
      </c>
    </row>
    <row r="1296" spans="1:10" x14ac:dyDescent="0.2">
      <c r="A1296" s="1">
        <v>612</v>
      </c>
      <c r="B1296" s="1">
        <v>0</v>
      </c>
      <c r="C1296" s="1">
        <v>5</v>
      </c>
      <c r="D1296" s="1">
        <v>5</v>
      </c>
      <c r="E1296" s="1">
        <v>1</v>
      </c>
      <c r="F1296" s="1">
        <v>3</v>
      </c>
      <c r="G1296" s="1">
        <v>8</v>
      </c>
      <c r="H1296" s="1">
        <v>1</v>
      </c>
      <c r="I1296" s="1">
        <v>0</v>
      </c>
      <c r="J1296" s="1">
        <v>3</v>
      </c>
    </row>
    <row r="1297" spans="1:10" x14ac:dyDescent="0.2">
      <c r="A1297" s="1">
        <v>2162</v>
      </c>
      <c r="B1297" s="1">
        <v>0</v>
      </c>
      <c r="C1297" s="1">
        <v>6</v>
      </c>
      <c r="D1297" s="1">
        <v>5</v>
      </c>
      <c r="E1297" s="1">
        <v>1</v>
      </c>
      <c r="F1297" s="1">
        <v>3</v>
      </c>
      <c r="G1297" s="1">
        <v>8</v>
      </c>
      <c r="H1297" s="1">
        <v>0</v>
      </c>
      <c r="I1297" s="1">
        <v>0</v>
      </c>
      <c r="J1297" s="1">
        <v>3</v>
      </c>
    </row>
    <row r="1298" spans="1:10" x14ac:dyDescent="0.2">
      <c r="A1298" s="1">
        <v>1328</v>
      </c>
      <c r="B1298" s="1">
        <v>0</v>
      </c>
      <c r="C1298" s="1">
        <v>8</v>
      </c>
      <c r="D1298" s="1">
        <v>3</v>
      </c>
      <c r="E1298" s="1">
        <v>1</v>
      </c>
      <c r="F1298" s="1">
        <v>3</v>
      </c>
      <c r="G1298" s="1">
        <v>8</v>
      </c>
      <c r="H1298" s="1">
        <v>1</v>
      </c>
      <c r="I1298" s="1">
        <v>1</v>
      </c>
      <c r="J1298" s="1">
        <v>3</v>
      </c>
    </row>
    <row r="1299" spans="1:10" x14ac:dyDescent="0.2">
      <c r="A1299" s="1">
        <v>654</v>
      </c>
      <c r="B1299" s="1">
        <v>0</v>
      </c>
      <c r="C1299" s="1">
        <v>10</v>
      </c>
      <c r="D1299" s="1">
        <v>2</v>
      </c>
      <c r="E1299" s="1">
        <v>2</v>
      </c>
      <c r="F1299" s="1">
        <v>3</v>
      </c>
      <c r="G1299" s="1">
        <v>8</v>
      </c>
      <c r="H1299" s="1">
        <v>0</v>
      </c>
      <c r="I1299" s="1">
        <v>1</v>
      </c>
      <c r="J1299" s="1">
        <v>3</v>
      </c>
    </row>
    <row r="1300" spans="1:10" x14ac:dyDescent="0.2">
      <c r="A1300" s="1">
        <v>1987</v>
      </c>
      <c r="B1300" s="1">
        <v>0</v>
      </c>
      <c r="C1300" s="1">
        <v>8</v>
      </c>
      <c r="D1300" s="1">
        <v>2</v>
      </c>
      <c r="E1300" s="1">
        <v>3</v>
      </c>
      <c r="F1300" s="1">
        <v>3</v>
      </c>
      <c r="G1300" s="1">
        <v>8</v>
      </c>
      <c r="H1300" s="1">
        <v>0</v>
      </c>
      <c r="I1300" s="1">
        <v>0</v>
      </c>
      <c r="J1300" s="1">
        <v>3</v>
      </c>
    </row>
    <row r="1301" spans="1:10" x14ac:dyDescent="0.2">
      <c r="A1301" s="1">
        <v>2478</v>
      </c>
      <c r="B1301" s="1">
        <v>0</v>
      </c>
      <c r="C1301" s="1">
        <v>9</v>
      </c>
      <c r="D1301" s="1">
        <v>5</v>
      </c>
      <c r="E1301" s="1">
        <v>3</v>
      </c>
      <c r="F1301" s="1">
        <v>3</v>
      </c>
      <c r="G1301" s="1">
        <v>8</v>
      </c>
      <c r="H1301" s="1">
        <v>1</v>
      </c>
      <c r="I1301" s="1">
        <v>2</v>
      </c>
      <c r="J1301" s="1">
        <v>3</v>
      </c>
    </row>
    <row r="1302" spans="1:10" x14ac:dyDescent="0.2">
      <c r="A1302" s="1">
        <v>1121</v>
      </c>
      <c r="B1302" s="1">
        <v>0</v>
      </c>
      <c r="C1302" s="1">
        <v>15</v>
      </c>
      <c r="D1302" s="1">
        <v>2</v>
      </c>
      <c r="E1302" s="1">
        <v>3</v>
      </c>
      <c r="F1302" s="1">
        <v>3</v>
      </c>
      <c r="G1302" s="1">
        <v>8</v>
      </c>
      <c r="H1302" s="1">
        <v>1</v>
      </c>
      <c r="I1302" s="1">
        <v>0</v>
      </c>
      <c r="J1302" s="1">
        <v>3</v>
      </c>
    </row>
    <row r="1303" spans="1:10" x14ac:dyDescent="0.2">
      <c r="A1303" s="1">
        <v>1348</v>
      </c>
      <c r="B1303" s="1">
        <v>0</v>
      </c>
      <c r="C1303" s="1">
        <v>16</v>
      </c>
      <c r="D1303" s="1">
        <v>2</v>
      </c>
      <c r="E1303" s="1">
        <v>3</v>
      </c>
      <c r="F1303" s="1">
        <v>3</v>
      </c>
      <c r="G1303" s="1">
        <v>8</v>
      </c>
      <c r="H1303" s="1">
        <v>0</v>
      </c>
      <c r="I1303" s="1">
        <v>2</v>
      </c>
      <c r="J1303" s="1">
        <v>3</v>
      </c>
    </row>
    <row r="1304" spans="1:10" x14ac:dyDescent="0.2">
      <c r="A1304" s="1">
        <v>605</v>
      </c>
      <c r="B1304" s="1">
        <v>0</v>
      </c>
      <c r="C1304" s="1">
        <v>6</v>
      </c>
      <c r="D1304" s="1">
        <v>4</v>
      </c>
      <c r="E1304" s="1">
        <v>1</v>
      </c>
      <c r="F1304" s="1">
        <v>4</v>
      </c>
      <c r="G1304" s="1">
        <v>8</v>
      </c>
      <c r="H1304" s="1">
        <v>0</v>
      </c>
      <c r="I1304" s="1">
        <v>3</v>
      </c>
      <c r="J1304" s="1">
        <v>3</v>
      </c>
    </row>
    <row r="1305" spans="1:10" x14ac:dyDescent="0.2">
      <c r="A1305" s="1">
        <v>1154</v>
      </c>
      <c r="B1305" s="1">
        <v>0</v>
      </c>
      <c r="C1305" s="1">
        <v>7</v>
      </c>
      <c r="D1305" s="1">
        <v>2</v>
      </c>
      <c r="E1305" s="1">
        <v>1</v>
      </c>
      <c r="F1305" s="1">
        <v>4</v>
      </c>
      <c r="G1305" s="1">
        <v>8</v>
      </c>
      <c r="H1305" s="1">
        <v>0</v>
      </c>
      <c r="I1305" s="1">
        <v>3</v>
      </c>
      <c r="J1305" s="1">
        <v>3</v>
      </c>
    </row>
    <row r="1306" spans="1:10" x14ac:dyDescent="0.2">
      <c r="A1306" s="1">
        <v>457</v>
      </c>
      <c r="B1306" s="1">
        <v>0</v>
      </c>
      <c r="C1306" s="1">
        <v>9</v>
      </c>
      <c r="D1306" s="1">
        <v>1</v>
      </c>
      <c r="E1306" s="1">
        <v>1</v>
      </c>
      <c r="F1306" s="1">
        <v>4</v>
      </c>
      <c r="G1306" s="1">
        <v>8</v>
      </c>
      <c r="H1306" s="1">
        <v>0</v>
      </c>
      <c r="I1306" s="1">
        <v>1</v>
      </c>
      <c r="J1306" s="1">
        <v>3</v>
      </c>
    </row>
    <row r="1307" spans="1:10" x14ac:dyDescent="0.2">
      <c r="A1307" s="1">
        <v>664</v>
      </c>
      <c r="B1307" s="1">
        <v>0</v>
      </c>
      <c r="C1307" s="1">
        <v>12</v>
      </c>
      <c r="D1307" s="1">
        <v>3</v>
      </c>
      <c r="E1307" s="1">
        <v>1</v>
      </c>
      <c r="F1307" s="1">
        <v>4</v>
      </c>
      <c r="G1307" s="1">
        <v>8</v>
      </c>
      <c r="H1307" s="1">
        <v>0</v>
      </c>
      <c r="I1307" s="1">
        <v>3</v>
      </c>
      <c r="J1307" s="1">
        <v>3</v>
      </c>
    </row>
    <row r="1308" spans="1:10" x14ac:dyDescent="0.2">
      <c r="A1308" s="1">
        <v>345</v>
      </c>
      <c r="B1308" s="1">
        <v>0</v>
      </c>
      <c r="C1308" s="1">
        <v>9</v>
      </c>
      <c r="D1308" s="1">
        <v>5</v>
      </c>
      <c r="E1308" s="1">
        <v>3</v>
      </c>
      <c r="F1308" s="1">
        <v>5</v>
      </c>
      <c r="G1308" s="1">
        <v>8</v>
      </c>
      <c r="H1308" s="1">
        <v>0</v>
      </c>
      <c r="I1308" s="1">
        <v>3</v>
      </c>
      <c r="J1308" s="1">
        <v>3</v>
      </c>
    </row>
    <row r="1309" spans="1:10" x14ac:dyDescent="0.2">
      <c r="A1309" s="1">
        <v>1634</v>
      </c>
      <c r="B1309" s="1">
        <v>0</v>
      </c>
      <c r="C1309" s="1">
        <v>12</v>
      </c>
      <c r="D1309" s="1">
        <v>1</v>
      </c>
      <c r="E1309" s="1">
        <v>3</v>
      </c>
      <c r="F1309" s="1">
        <v>5</v>
      </c>
      <c r="G1309" s="1">
        <v>8</v>
      </c>
      <c r="H1309" s="1">
        <v>0</v>
      </c>
      <c r="I1309" s="1">
        <v>0</v>
      </c>
      <c r="J1309" s="1">
        <v>3</v>
      </c>
    </row>
    <row r="1310" spans="1:10" x14ac:dyDescent="0.2">
      <c r="A1310" s="1">
        <v>354</v>
      </c>
      <c r="B1310" s="1">
        <v>0</v>
      </c>
      <c r="C1310" s="1">
        <v>8</v>
      </c>
      <c r="D1310" s="1">
        <v>2</v>
      </c>
      <c r="E1310" s="1">
        <v>2</v>
      </c>
      <c r="F1310" s="1">
        <v>6</v>
      </c>
      <c r="G1310" s="1">
        <v>8</v>
      </c>
      <c r="H1310" s="1">
        <v>1</v>
      </c>
      <c r="I1310" s="1">
        <v>3</v>
      </c>
      <c r="J1310" s="1">
        <v>3</v>
      </c>
    </row>
    <row r="1311" spans="1:10" x14ac:dyDescent="0.2">
      <c r="A1311" s="1">
        <v>2357</v>
      </c>
      <c r="B1311" s="1">
        <v>0</v>
      </c>
      <c r="C1311" s="1">
        <v>12</v>
      </c>
      <c r="D1311" s="1">
        <v>3</v>
      </c>
      <c r="E1311" s="1">
        <v>2</v>
      </c>
      <c r="F1311" s="1">
        <v>6</v>
      </c>
      <c r="G1311" s="1">
        <v>8</v>
      </c>
      <c r="H1311" s="1">
        <v>0</v>
      </c>
      <c r="I1311" s="1">
        <v>0</v>
      </c>
      <c r="J1311" s="1">
        <v>3</v>
      </c>
    </row>
    <row r="1312" spans="1:10" x14ac:dyDescent="0.2">
      <c r="A1312" s="1">
        <v>1695</v>
      </c>
      <c r="B1312" s="1">
        <v>0</v>
      </c>
      <c r="C1312" s="1">
        <v>19</v>
      </c>
      <c r="D1312" s="1">
        <v>5</v>
      </c>
      <c r="E1312" s="1">
        <v>2</v>
      </c>
      <c r="F1312" s="1">
        <v>6</v>
      </c>
      <c r="G1312" s="1">
        <v>8</v>
      </c>
      <c r="H1312" s="1">
        <v>1</v>
      </c>
      <c r="I1312" s="1">
        <v>0</v>
      </c>
      <c r="J1312" s="1">
        <v>3</v>
      </c>
    </row>
    <row r="1313" spans="1:10" x14ac:dyDescent="0.2">
      <c r="A1313" s="1">
        <v>1140</v>
      </c>
      <c r="B1313" s="1">
        <v>0</v>
      </c>
      <c r="C1313" s="1">
        <v>11</v>
      </c>
      <c r="D1313" s="1">
        <v>1</v>
      </c>
      <c r="E1313" s="1">
        <v>3</v>
      </c>
      <c r="F1313" s="1">
        <v>6</v>
      </c>
      <c r="G1313" s="1">
        <v>8</v>
      </c>
      <c r="H1313" s="1">
        <v>0</v>
      </c>
      <c r="I1313" s="1">
        <v>1</v>
      </c>
      <c r="J1313" s="1">
        <v>3</v>
      </c>
    </row>
    <row r="1314" spans="1:10" x14ac:dyDescent="0.2">
      <c r="A1314" s="1">
        <v>982</v>
      </c>
      <c r="B1314" s="1">
        <v>0</v>
      </c>
      <c r="C1314" s="1">
        <v>13</v>
      </c>
      <c r="D1314" s="1">
        <v>2</v>
      </c>
      <c r="E1314" s="1">
        <v>3</v>
      </c>
      <c r="F1314" s="1">
        <v>6</v>
      </c>
      <c r="G1314" s="1">
        <v>8</v>
      </c>
      <c r="H1314" s="1">
        <v>1</v>
      </c>
      <c r="I1314" s="1">
        <v>0</v>
      </c>
      <c r="J1314" s="1">
        <v>3</v>
      </c>
    </row>
    <row r="1315" spans="1:10" x14ac:dyDescent="0.2">
      <c r="A1315" s="1">
        <v>2313</v>
      </c>
      <c r="B1315" s="1">
        <v>0</v>
      </c>
      <c r="C1315" s="1">
        <v>14</v>
      </c>
      <c r="D1315" s="1">
        <v>5</v>
      </c>
      <c r="E1315" s="1">
        <v>3</v>
      </c>
      <c r="F1315" s="1">
        <v>6</v>
      </c>
      <c r="G1315" s="1">
        <v>8</v>
      </c>
      <c r="H1315" s="1">
        <v>1</v>
      </c>
      <c r="I1315" s="1">
        <v>3</v>
      </c>
      <c r="J1315" s="1">
        <v>3</v>
      </c>
    </row>
    <row r="1316" spans="1:10" x14ac:dyDescent="0.2">
      <c r="A1316" s="1">
        <v>1685</v>
      </c>
      <c r="B1316" s="1">
        <v>0</v>
      </c>
      <c r="C1316" s="1">
        <v>19</v>
      </c>
      <c r="D1316" s="1">
        <v>1</v>
      </c>
      <c r="E1316" s="1">
        <v>3</v>
      </c>
      <c r="F1316" s="1">
        <v>6</v>
      </c>
      <c r="G1316" s="1">
        <v>8</v>
      </c>
      <c r="H1316" s="1">
        <v>0</v>
      </c>
      <c r="I1316" s="1">
        <v>0</v>
      </c>
      <c r="J1316" s="1">
        <v>3</v>
      </c>
    </row>
    <row r="1317" spans="1:10" x14ac:dyDescent="0.2">
      <c r="A1317" s="1">
        <v>677</v>
      </c>
      <c r="B1317" s="1">
        <v>0</v>
      </c>
      <c r="C1317" s="1">
        <v>6</v>
      </c>
      <c r="D1317" s="1">
        <v>1</v>
      </c>
      <c r="E1317" s="1">
        <v>2</v>
      </c>
      <c r="F1317" s="1">
        <v>8</v>
      </c>
      <c r="G1317" s="1">
        <v>8</v>
      </c>
      <c r="H1317" s="1">
        <v>0</v>
      </c>
      <c r="I1317" s="1">
        <v>0</v>
      </c>
      <c r="J1317" s="1">
        <v>3</v>
      </c>
    </row>
    <row r="1318" spans="1:10" x14ac:dyDescent="0.2">
      <c r="A1318" s="1">
        <v>695</v>
      </c>
      <c r="B1318" s="1">
        <v>0</v>
      </c>
      <c r="C1318" s="1">
        <v>16</v>
      </c>
      <c r="D1318" s="1">
        <v>4</v>
      </c>
      <c r="E1318" s="1">
        <v>2</v>
      </c>
      <c r="F1318" s="1">
        <v>8</v>
      </c>
      <c r="G1318" s="1">
        <v>8</v>
      </c>
      <c r="H1318" s="1">
        <v>0</v>
      </c>
      <c r="I1318" s="1">
        <v>0</v>
      </c>
      <c r="J1318" s="1">
        <v>3</v>
      </c>
    </row>
    <row r="1319" spans="1:10" x14ac:dyDescent="0.2">
      <c r="A1319" s="1">
        <v>2085</v>
      </c>
      <c r="B1319" s="1">
        <v>0</v>
      </c>
      <c r="C1319" s="1">
        <v>13</v>
      </c>
      <c r="D1319" s="1">
        <v>2</v>
      </c>
      <c r="E1319" s="1">
        <v>2</v>
      </c>
      <c r="F1319" s="1">
        <v>9</v>
      </c>
      <c r="G1319" s="1">
        <v>8</v>
      </c>
      <c r="H1319" s="1">
        <v>1</v>
      </c>
      <c r="I1319" s="1">
        <v>3</v>
      </c>
      <c r="J1319" s="1">
        <v>3</v>
      </c>
    </row>
    <row r="1320" spans="1:10" x14ac:dyDescent="0.2">
      <c r="A1320" s="1">
        <v>244</v>
      </c>
      <c r="B1320" s="1">
        <v>0</v>
      </c>
      <c r="C1320" s="1">
        <v>20</v>
      </c>
      <c r="D1320" s="1">
        <v>5</v>
      </c>
      <c r="E1320" s="1">
        <v>2</v>
      </c>
      <c r="F1320" s="1">
        <v>9</v>
      </c>
      <c r="G1320" s="1">
        <v>8</v>
      </c>
      <c r="H1320" s="1">
        <v>0</v>
      </c>
      <c r="I1320" s="1">
        <v>1</v>
      </c>
      <c r="J1320" s="1">
        <v>3</v>
      </c>
    </row>
    <row r="1321" spans="1:10" x14ac:dyDescent="0.2">
      <c r="A1321" s="1">
        <v>1008</v>
      </c>
      <c r="B1321" s="1">
        <v>0</v>
      </c>
      <c r="C1321" s="1">
        <v>14</v>
      </c>
      <c r="D1321" s="1">
        <v>3</v>
      </c>
      <c r="E1321" s="1">
        <v>3</v>
      </c>
      <c r="F1321" s="1">
        <v>9</v>
      </c>
      <c r="G1321" s="1">
        <v>8</v>
      </c>
      <c r="H1321" s="1">
        <v>1</v>
      </c>
      <c r="I1321" s="1">
        <v>3</v>
      </c>
      <c r="J1321" s="1">
        <v>3</v>
      </c>
    </row>
    <row r="1322" spans="1:10" x14ac:dyDescent="0.2">
      <c r="A1322" s="1">
        <v>2035</v>
      </c>
      <c r="B1322" s="1">
        <v>0</v>
      </c>
      <c r="C1322" s="1">
        <v>20</v>
      </c>
      <c r="D1322" s="1">
        <v>2</v>
      </c>
      <c r="E1322" s="1">
        <v>3</v>
      </c>
      <c r="F1322" s="1">
        <v>9</v>
      </c>
      <c r="G1322" s="1">
        <v>8</v>
      </c>
      <c r="H1322" s="1">
        <v>1</v>
      </c>
      <c r="I1322" s="1">
        <v>1</v>
      </c>
      <c r="J1322" s="1">
        <v>3</v>
      </c>
    </row>
    <row r="1323" spans="1:10" x14ac:dyDescent="0.2">
      <c r="A1323" s="1">
        <v>2298</v>
      </c>
      <c r="B1323" s="1">
        <v>0</v>
      </c>
      <c r="C1323" s="1">
        <v>5</v>
      </c>
      <c r="D1323" s="1">
        <v>2</v>
      </c>
      <c r="E1323" s="1">
        <v>3</v>
      </c>
      <c r="F1323" s="1">
        <v>10</v>
      </c>
      <c r="G1323" s="1">
        <v>8</v>
      </c>
      <c r="H1323" s="1">
        <v>0</v>
      </c>
      <c r="I1323" s="1">
        <v>1</v>
      </c>
      <c r="J1323" s="1">
        <v>3</v>
      </c>
    </row>
    <row r="1324" spans="1:10" x14ac:dyDescent="0.2">
      <c r="A1324" s="1">
        <v>1248</v>
      </c>
      <c r="B1324" s="1">
        <v>0</v>
      </c>
      <c r="C1324" s="1">
        <v>7</v>
      </c>
      <c r="D1324" s="1">
        <v>1</v>
      </c>
      <c r="E1324" s="1">
        <v>3</v>
      </c>
      <c r="F1324" s="1">
        <v>10</v>
      </c>
      <c r="G1324" s="1">
        <v>8</v>
      </c>
      <c r="H1324" s="1">
        <v>0</v>
      </c>
      <c r="I1324" s="1">
        <v>3</v>
      </c>
      <c r="J1324" s="1">
        <v>3</v>
      </c>
    </row>
    <row r="1325" spans="1:10" x14ac:dyDescent="0.2">
      <c r="A1325" s="1">
        <v>1224</v>
      </c>
      <c r="B1325" s="1">
        <v>0</v>
      </c>
      <c r="C1325" s="1">
        <v>11</v>
      </c>
      <c r="D1325" s="1">
        <v>3</v>
      </c>
      <c r="E1325" s="1">
        <v>3</v>
      </c>
      <c r="F1325" s="1">
        <v>10</v>
      </c>
      <c r="G1325" s="1">
        <v>8</v>
      </c>
      <c r="H1325" s="1">
        <v>1</v>
      </c>
      <c r="I1325" s="1">
        <v>0</v>
      </c>
      <c r="J1325" s="1">
        <v>3</v>
      </c>
    </row>
    <row r="1326" spans="1:10" x14ac:dyDescent="0.2">
      <c r="A1326" s="1">
        <v>253</v>
      </c>
      <c r="B1326" s="1">
        <v>0</v>
      </c>
      <c r="C1326" s="1">
        <v>13</v>
      </c>
      <c r="D1326" s="1">
        <v>1</v>
      </c>
      <c r="E1326" s="1">
        <v>3</v>
      </c>
      <c r="F1326" s="1">
        <v>10</v>
      </c>
      <c r="G1326" s="1">
        <v>8</v>
      </c>
      <c r="H1326" s="1">
        <v>0</v>
      </c>
      <c r="I1326" s="1">
        <v>3</v>
      </c>
      <c r="J1326" s="1">
        <v>3</v>
      </c>
    </row>
    <row r="1327" spans="1:10" x14ac:dyDescent="0.2">
      <c r="A1327" s="1">
        <v>2416</v>
      </c>
      <c r="B1327" s="1">
        <v>0</v>
      </c>
      <c r="C1327" s="1">
        <v>14</v>
      </c>
      <c r="D1327" s="1">
        <v>1</v>
      </c>
      <c r="E1327" s="1">
        <v>3</v>
      </c>
      <c r="F1327" s="1">
        <v>10</v>
      </c>
      <c r="G1327" s="1">
        <v>8</v>
      </c>
      <c r="H1327" s="1">
        <v>1</v>
      </c>
      <c r="I1327" s="1">
        <v>2</v>
      </c>
      <c r="J1327" s="1">
        <v>3</v>
      </c>
    </row>
    <row r="1328" spans="1:10" x14ac:dyDescent="0.2">
      <c r="A1328" s="1">
        <v>1346</v>
      </c>
      <c r="B1328" s="1">
        <v>0</v>
      </c>
      <c r="C1328" s="1">
        <v>15</v>
      </c>
      <c r="D1328" s="1">
        <v>4</v>
      </c>
      <c r="E1328" s="1">
        <v>3</v>
      </c>
      <c r="F1328" s="1">
        <v>10</v>
      </c>
      <c r="G1328" s="1">
        <v>8</v>
      </c>
      <c r="H1328" s="1">
        <v>1</v>
      </c>
      <c r="I1328" s="1">
        <v>0</v>
      </c>
      <c r="J1328" s="1">
        <v>3</v>
      </c>
    </row>
    <row r="1329" spans="1:10" x14ac:dyDescent="0.2">
      <c r="A1329" s="1">
        <v>1411</v>
      </c>
      <c r="B1329" s="1">
        <v>0</v>
      </c>
      <c r="C1329" s="1">
        <v>8</v>
      </c>
      <c r="D1329" s="1">
        <v>3</v>
      </c>
      <c r="E1329" s="1">
        <v>2</v>
      </c>
      <c r="F1329" s="1">
        <v>1</v>
      </c>
      <c r="G1329" s="1">
        <v>9</v>
      </c>
      <c r="H1329" s="1">
        <v>1</v>
      </c>
      <c r="I1329" s="1">
        <v>0</v>
      </c>
      <c r="J1329" s="1">
        <v>3</v>
      </c>
    </row>
    <row r="1330" spans="1:10" x14ac:dyDescent="0.2">
      <c r="A1330" s="1">
        <v>2045</v>
      </c>
      <c r="B1330" s="1">
        <v>0</v>
      </c>
      <c r="C1330" s="1">
        <v>19</v>
      </c>
      <c r="D1330" s="1">
        <v>3</v>
      </c>
      <c r="E1330" s="1">
        <v>2</v>
      </c>
      <c r="F1330" s="1">
        <v>1</v>
      </c>
      <c r="G1330" s="1">
        <v>9</v>
      </c>
      <c r="H1330" s="1">
        <v>1</v>
      </c>
      <c r="I1330" s="1">
        <v>1</v>
      </c>
      <c r="J1330" s="1">
        <v>3</v>
      </c>
    </row>
    <row r="1331" spans="1:10" x14ac:dyDescent="0.2">
      <c r="A1331" s="1">
        <v>1310</v>
      </c>
      <c r="B1331" s="1">
        <v>0</v>
      </c>
      <c r="C1331" s="1">
        <v>14</v>
      </c>
      <c r="D1331" s="1">
        <v>3</v>
      </c>
      <c r="E1331" s="1">
        <v>3</v>
      </c>
      <c r="F1331" s="1">
        <v>1</v>
      </c>
      <c r="G1331" s="1">
        <v>9</v>
      </c>
      <c r="H1331" s="1">
        <v>1</v>
      </c>
      <c r="I1331" s="1">
        <v>3</v>
      </c>
      <c r="J1331" s="1">
        <v>3</v>
      </c>
    </row>
    <row r="1332" spans="1:10" x14ac:dyDescent="0.2">
      <c r="A1332" s="1">
        <v>1460</v>
      </c>
      <c r="B1332" s="1">
        <v>0</v>
      </c>
      <c r="C1332" s="1">
        <v>11</v>
      </c>
      <c r="D1332" s="1">
        <v>3</v>
      </c>
      <c r="E1332" s="1">
        <v>1</v>
      </c>
      <c r="F1332" s="1">
        <v>2</v>
      </c>
      <c r="G1332" s="1">
        <v>9</v>
      </c>
      <c r="H1332" s="1">
        <v>0</v>
      </c>
      <c r="I1332" s="1">
        <v>2</v>
      </c>
      <c r="J1332" s="1">
        <v>3</v>
      </c>
    </row>
    <row r="1333" spans="1:10" x14ac:dyDescent="0.2">
      <c r="A1333" s="1">
        <v>232</v>
      </c>
      <c r="B1333" s="1">
        <v>0</v>
      </c>
      <c r="C1333" s="1">
        <v>16</v>
      </c>
      <c r="D1333" s="1">
        <v>5</v>
      </c>
      <c r="E1333" s="1">
        <v>1</v>
      </c>
      <c r="F1333" s="1">
        <v>2</v>
      </c>
      <c r="G1333" s="1">
        <v>9</v>
      </c>
      <c r="H1333" s="1">
        <v>1</v>
      </c>
      <c r="I1333" s="1">
        <v>3</v>
      </c>
      <c r="J1333" s="1">
        <v>3</v>
      </c>
    </row>
    <row r="1334" spans="1:10" x14ac:dyDescent="0.2">
      <c r="A1334" s="1">
        <v>1372</v>
      </c>
      <c r="B1334" s="1">
        <v>0</v>
      </c>
      <c r="C1334" s="1">
        <v>20</v>
      </c>
      <c r="D1334" s="1">
        <v>3</v>
      </c>
      <c r="E1334" s="1">
        <v>2</v>
      </c>
      <c r="F1334" s="1">
        <v>2</v>
      </c>
      <c r="G1334" s="1">
        <v>9</v>
      </c>
      <c r="H1334" s="1">
        <v>0</v>
      </c>
      <c r="I1334" s="1">
        <v>1</v>
      </c>
      <c r="J1334" s="1">
        <v>3</v>
      </c>
    </row>
    <row r="1335" spans="1:10" x14ac:dyDescent="0.2">
      <c r="A1335" s="1">
        <v>577</v>
      </c>
      <c r="B1335" s="1">
        <v>0</v>
      </c>
      <c r="C1335" s="1">
        <v>15</v>
      </c>
      <c r="D1335" s="1">
        <v>1</v>
      </c>
      <c r="E1335" s="1">
        <v>3</v>
      </c>
      <c r="F1335" s="1">
        <v>2</v>
      </c>
      <c r="G1335" s="1">
        <v>9</v>
      </c>
      <c r="H1335" s="1">
        <v>1</v>
      </c>
      <c r="I1335" s="1">
        <v>2</v>
      </c>
      <c r="J1335" s="1">
        <v>3</v>
      </c>
    </row>
    <row r="1336" spans="1:10" x14ac:dyDescent="0.2">
      <c r="A1336" s="1">
        <v>1705</v>
      </c>
      <c r="B1336" s="1">
        <v>0</v>
      </c>
      <c r="C1336" s="1">
        <v>16</v>
      </c>
      <c r="D1336" s="1">
        <v>4</v>
      </c>
      <c r="E1336" s="1">
        <v>3</v>
      </c>
      <c r="F1336" s="1">
        <v>2</v>
      </c>
      <c r="G1336" s="1">
        <v>9</v>
      </c>
      <c r="H1336" s="1">
        <v>1</v>
      </c>
      <c r="I1336" s="1">
        <v>0</v>
      </c>
      <c r="J1336" s="1">
        <v>3</v>
      </c>
    </row>
    <row r="1337" spans="1:10" x14ac:dyDescent="0.2">
      <c r="A1337" s="1">
        <v>595</v>
      </c>
      <c r="B1337" s="1">
        <v>0</v>
      </c>
      <c r="C1337" s="1">
        <v>5</v>
      </c>
      <c r="D1337" s="1">
        <v>5</v>
      </c>
      <c r="E1337" s="1">
        <v>2</v>
      </c>
      <c r="F1337" s="1">
        <v>3</v>
      </c>
      <c r="G1337" s="1">
        <v>9</v>
      </c>
      <c r="H1337" s="1">
        <v>0</v>
      </c>
      <c r="I1337" s="1">
        <v>2</v>
      </c>
      <c r="J1337" s="1">
        <v>3</v>
      </c>
    </row>
    <row r="1338" spans="1:10" x14ac:dyDescent="0.2">
      <c r="A1338" s="1">
        <v>440</v>
      </c>
      <c r="B1338" s="1">
        <v>0</v>
      </c>
      <c r="C1338" s="1">
        <v>9</v>
      </c>
      <c r="D1338" s="1">
        <v>4</v>
      </c>
      <c r="E1338" s="1">
        <v>2</v>
      </c>
      <c r="F1338" s="1">
        <v>3</v>
      </c>
      <c r="G1338" s="1">
        <v>9</v>
      </c>
      <c r="H1338" s="1">
        <v>1</v>
      </c>
      <c r="I1338" s="1">
        <v>3</v>
      </c>
      <c r="J1338" s="1">
        <v>3</v>
      </c>
    </row>
    <row r="1339" spans="1:10" x14ac:dyDescent="0.2">
      <c r="A1339" s="1">
        <v>1990</v>
      </c>
      <c r="B1339" s="1">
        <v>0</v>
      </c>
      <c r="C1339" s="1">
        <v>19</v>
      </c>
      <c r="D1339" s="1">
        <v>1</v>
      </c>
      <c r="E1339" s="1">
        <v>2</v>
      </c>
      <c r="F1339" s="1">
        <v>3</v>
      </c>
      <c r="G1339" s="1">
        <v>9</v>
      </c>
      <c r="H1339" s="1">
        <v>0</v>
      </c>
      <c r="I1339" s="1">
        <v>3</v>
      </c>
      <c r="J1339" s="1">
        <v>3</v>
      </c>
    </row>
    <row r="1340" spans="1:10" x14ac:dyDescent="0.2">
      <c r="A1340" s="1">
        <v>1655</v>
      </c>
      <c r="B1340" s="1">
        <v>0</v>
      </c>
      <c r="C1340" s="1">
        <v>5</v>
      </c>
      <c r="D1340" s="1">
        <v>3</v>
      </c>
      <c r="E1340" s="1">
        <v>3</v>
      </c>
      <c r="F1340" s="1">
        <v>3</v>
      </c>
      <c r="G1340" s="1">
        <v>9</v>
      </c>
      <c r="H1340" s="1">
        <v>0</v>
      </c>
      <c r="I1340" s="1">
        <v>0</v>
      </c>
      <c r="J1340" s="1">
        <v>3</v>
      </c>
    </row>
    <row r="1341" spans="1:10" x14ac:dyDescent="0.2">
      <c r="A1341" s="1">
        <v>1179</v>
      </c>
      <c r="B1341" s="1">
        <v>0</v>
      </c>
      <c r="C1341" s="1">
        <v>6</v>
      </c>
      <c r="D1341" s="1">
        <v>5</v>
      </c>
      <c r="E1341" s="1">
        <v>2</v>
      </c>
      <c r="F1341" s="1">
        <v>4</v>
      </c>
      <c r="G1341" s="1">
        <v>9</v>
      </c>
      <c r="H1341" s="1">
        <v>0</v>
      </c>
      <c r="I1341" s="1">
        <v>1</v>
      </c>
      <c r="J1341" s="1">
        <v>3</v>
      </c>
    </row>
    <row r="1342" spans="1:10" x14ac:dyDescent="0.2">
      <c r="A1342" s="1">
        <v>1792</v>
      </c>
      <c r="B1342" s="1">
        <v>0</v>
      </c>
      <c r="C1342" s="1">
        <v>9</v>
      </c>
      <c r="D1342" s="1">
        <v>5</v>
      </c>
      <c r="E1342" s="1">
        <v>3</v>
      </c>
      <c r="F1342" s="1">
        <v>4</v>
      </c>
      <c r="G1342" s="1">
        <v>9</v>
      </c>
      <c r="H1342" s="1">
        <v>1</v>
      </c>
      <c r="I1342" s="1">
        <v>0</v>
      </c>
      <c r="J1342" s="1">
        <v>3</v>
      </c>
    </row>
    <row r="1343" spans="1:10" x14ac:dyDescent="0.2">
      <c r="A1343" s="1">
        <v>2359</v>
      </c>
      <c r="B1343" s="1">
        <v>0</v>
      </c>
      <c r="C1343" s="1">
        <v>11</v>
      </c>
      <c r="D1343" s="1">
        <v>4</v>
      </c>
      <c r="E1343" s="1">
        <v>3</v>
      </c>
      <c r="F1343" s="1">
        <v>4</v>
      </c>
      <c r="G1343" s="1">
        <v>9</v>
      </c>
      <c r="H1343" s="1">
        <v>0</v>
      </c>
      <c r="I1343" s="1">
        <v>3</v>
      </c>
      <c r="J1343" s="1">
        <v>3</v>
      </c>
    </row>
    <row r="1344" spans="1:10" x14ac:dyDescent="0.2">
      <c r="A1344" s="1">
        <v>364</v>
      </c>
      <c r="B1344" s="1">
        <v>0</v>
      </c>
      <c r="C1344" s="1">
        <v>12</v>
      </c>
      <c r="D1344" s="1">
        <v>5</v>
      </c>
      <c r="E1344" s="1">
        <v>3</v>
      </c>
      <c r="F1344" s="1">
        <v>4</v>
      </c>
      <c r="G1344" s="1">
        <v>9</v>
      </c>
      <c r="H1344" s="1">
        <v>0</v>
      </c>
      <c r="I1344" s="1">
        <v>2</v>
      </c>
      <c r="J1344" s="1">
        <v>3</v>
      </c>
    </row>
    <row r="1345" spans="1:10" x14ac:dyDescent="0.2">
      <c r="A1345" s="1">
        <v>2228</v>
      </c>
      <c r="B1345" s="1">
        <v>0</v>
      </c>
      <c r="C1345" s="1">
        <v>5</v>
      </c>
      <c r="D1345" s="1">
        <v>4</v>
      </c>
      <c r="E1345" s="1">
        <v>3</v>
      </c>
      <c r="F1345" s="1">
        <v>5</v>
      </c>
      <c r="G1345" s="1">
        <v>9</v>
      </c>
      <c r="H1345" s="1">
        <v>0</v>
      </c>
      <c r="I1345" s="1">
        <v>1</v>
      </c>
      <c r="J1345" s="1">
        <v>3</v>
      </c>
    </row>
    <row r="1346" spans="1:10" x14ac:dyDescent="0.2">
      <c r="A1346" s="1">
        <v>119</v>
      </c>
      <c r="B1346" s="1">
        <v>0</v>
      </c>
      <c r="C1346" s="1">
        <v>10</v>
      </c>
      <c r="D1346" s="1">
        <v>5</v>
      </c>
      <c r="E1346" s="1">
        <v>3</v>
      </c>
      <c r="F1346" s="1">
        <v>5</v>
      </c>
      <c r="G1346" s="1">
        <v>9</v>
      </c>
      <c r="H1346" s="1">
        <v>1</v>
      </c>
      <c r="I1346" s="1">
        <v>1</v>
      </c>
      <c r="J1346" s="1">
        <v>3</v>
      </c>
    </row>
    <row r="1347" spans="1:10" x14ac:dyDescent="0.2">
      <c r="A1347" s="1">
        <v>14</v>
      </c>
      <c r="B1347" s="1">
        <v>0</v>
      </c>
      <c r="C1347" s="1">
        <v>20</v>
      </c>
      <c r="D1347" s="1">
        <v>1</v>
      </c>
      <c r="E1347" s="1">
        <v>3</v>
      </c>
      <c r="F1347" s="1">
        <v>5</v>
      </c>
      <c r="G1347" s="1">
        <v>9</v>
      </c>
      <c r="H1347" s="1">
        <v>0</v>
      </c>
      <c r="I1347" s="1">
        <v>1</v>
      </c>
      <c r="J1347" s="1">
        <v>3</v>
      </c>
    </row>
    <row r="1348" spans="1:10" x14ac:dyDescent="0.2">
      <c r="A1348" s="1">
        <v>1917</v>
      </c>
      <c r="B1348" s="1">
        <v>0</v>
      </c>
      <c r="C1348" s="1">
        <v>18</v>
      </c>
      <c r="D1348" s="1">
        <v>2</v>
      </c>
      <c r="E1348" s="1">
        <v>2</v>
      </c>
      <c r="F1348" s="1">
        <v>6</v>
      </c>
      <c r="G1348" s="1">
        <v>9</v>
      </c>
      <c r="H1348" s="1">
        <v>1</v>
      </c>
      <c r="I1348" s="1">
        <v>0</v>
      </c>
      <c r="J1348" s="1">
        <v>3</v>
      </c>
    </row>
    <row r="1349" spans="1:10" x14ac:dyDescent="0.2">
      <c r="A1349" s="1">
        <v>617</v>
      </c>
      <c r="B1349" s="1">
        <v>0</v>
      </c>
      <c r="C1349" s="1">
        <v>13</v>
      </c>
      <c r="D1349" s="1">
        <v>3</v>
      </c>
      <c r="E1349" s="1">
        <v>3</v>
      </c>
      <c r="F1349" s="1">
        <v>7</v>
      </c>
      <c r="G1349" s="1">
        <v>9</v>
      </c>
      <c r="H1349" s="1">
        <v>1</v>
      </c>
      <c r="I1349" s="1">
        <v>3</v>
      </c>
      <c r="J1349" s="1">
        <v>3</v>
      </c>
    </row>
    <row r="1350" spans="1:10" x14ac:dyDescent="0.2">
      <c r="A1350" s="1">
        <v>2279</v>
      </c>
      <c r="B1350" s="1">
        <v>0</v>
      </c>
      <c r="C1350" s="1">
        <v>13</v>
      </c>
      <c r="D1350" s="1">
        <v>1</v>
      </c>
      <c r="E1350" s="1">
        <v>3</v>
      </c>
      <c r="F1350" s="1">
        <v>9</v>
      </c>
      <c r="G1350" s="1">
        <v>9</v>
      </c>
      <c r="H1350" s="1">
        <v>1</v>
      </c>
      <c r="I1350" s="1">
        <v>0</v>
      </c>
      <c r="J1350" s="1">
        <v>3</v>
      </c>
    </row>
    <row r="1351" spans="1:10" x14ac:dyDescent="0.2">
      <c r="A1351" s="1">
        <v>1294</v>
      </c>
      <c r="B1351" s="1">
        <v>0</v>
      </c>
      <c r="C1351" s="1">
        <v>7</v>
      </c>
      <c r="D1351" s="1">
        <v>4</v>
      </c>
      <c r="E1351" s="1">
        <v>3</v>
      </c>
      <c r="F1351" s="1">
        <v>10</v>
      </c>
      <c r="G1351" s="1">
        <v>9</v>
      </c>
      <c r="H1351" s="1">
        <v>0</v>
      </c>
      <c r="I1351" s="1">
        <v>1</v>
      </c>
      <c r="J1351" s="1">
        <v>3</v>
      </c>
    </row>
    <row r="1352" spans="1:10" x14ac:dyDescent="0.2">
      <c r="A1352" s="1">
        <v>1693</v>
      </c>
      <c r="B1352" s="1">
        <v>0</v>
      </c>
      <c r="C1352" s="1">
        <v>15</v>
      </c>
      <c r="D1352" s="1">
        <v>1</v>
      </c>
      <c r="E1352" s="1">
        <v>3</v>
      </c>
      <c r="F1352" s="1">
        <v>10</v>
      </c>
      <c r="G1352" s="1">
        <v>9</v>
      </c>
      <c r="H1352" s="1">
        <v>1</v>
      </c>
      <c r="I1352" s="1">
        <v>2</v>
      </c>
      <c r="J1352" s="1">
        <v>3</v>
      </c>
    </row>
    <row r="1353" spans="1:10" x14ac:dyDescent="0.2">
      <c r="A1353" s="1">
        <v>1098</v>
      </c>
      <c r="B1353" s="1">
        <v>0</v>
      </c>
      <c r="C1353" s="1">
        <v>13</v>
      </c>
      <c r="D1353" s="1">
        <v>1</v>
      </c>
      <c r="E1353" s="1">
        <v>1</v>
      </c>
      <c r="F1353" s="1">
        <v>1</v>
      </c>
      <c r="G1353" s="1">
        <v>10</v>
      </c>
      <c r="H1353" s="1">
        <v>1</v>
      </c>
      <c r="I1353" s="1">
        <v>0</v>
      </c>
      <c r="J1353" s="1">
        <v>3</v>
      </c>
    </row>
    <row r="1354" spans="1:10" x14ac:dyDescent="0.2">
      <c r="A1354" s="1">
        <v>162</v>
      </c>
      <c r="B1354" s="1">
        <v>0</v>
      </c>
      <c r="C1354" s="1">
        <v>18</v>
      </c>
      <c r="D1354" s="1">
        <v>1</v>
      </c>
      <c r="E1354" s="1">
        <v>1</v>
      </c>
      <c r="F1354" s="1">
        <v>1</v>
      </c>
      <c r="G1354" s="1">
        <v>10</v>
      </c>
      <c r="H1354" s="1">
        <v>0</v>
      </c>
      <c r="I1354" s="1">
        <v>2</v>
      </c>
      <c r="J1354" s="1">
        <v>3</v>
      </c>
    </row>
    <row r="1355" spans="1:10" x14ac:dyDescent="0.2">
      <c r="A1355" s="1">
        <v>1318</v>
      </c>
      <c r="B1355" s="1">
        <v>0</v>
      </c>
      <c r="C1355" s="1">
        <v>9</v>
      </c>
      <c r="D1355" s="1">
        <v>4</v>
      </c>
      <c r="E1355" s="1">
        <v>2</v>
      </c>
      <c r="F1355" s="1">
        <v>2</v>
      </c>
      <c r="G1355" s="1">
        <v>10</v>
      </c>
      <c r="H1355" s="1">
        <v>1</v>
      </c>
      <c r="I1355" s="1">
        <v>3</v>
      </c>
      <c r="J1355" s="1">
        <v>3</v>
      </c>
    </row>
    <row r="1356" spans="1:10" x14ac:dyDescent="0.2">
      <c r="A1356" s="1">
        <v>2097</v>
      </c>
      <c r="B1356" s="1">
        <v>0</v>
      </c>
      <c r="C1356" s="1">
        <v>11</v>
      </c>
      <c r="D1356" s="1">
        <v>3</v>
      </c>
      <c r="E1356" s="1">
        <v>1</v>
      </c>
      <c r="F1356" s="1">
        <v>3</v>
      </c>
      <c r="G1356" s="1">
        <v>10</v>
      </c>
      <c r="H1356" s="1">
        <v>1</v>
      </c>
      <c r="I1356" s="1">
        <v>1</v>
      </c>
      <c r="J1356" s="1">
        <v>3</v>
      </c>
    </row>
    <row r="1357" spans="1:10" x14ac:dyDescent="0.2">
      <c r="A1357" s="1">
        <v>774</v>
      </c>
      <c r="B1357" s="1">
        <v>0</v>
      </c>
      <c r="C1357" s="1">
        <v>7</v>
      </c>
      <c r="D1357" s="1">
        <v>3</v>
      </c>
      <c r="E1357" s="1">
        <v>3</v>
      </c>
      <c r="F1357" s="1">
        <v>3</v>
      </c>
      <c r="G1357" s="1">
        <v>10</v>
      </c>
      <c r="H1357" s="1">
        <v>0</v>
      </c>
      <c r="I1357" s="1">
        <v>0</v>
      </c>
      <c r="J1357" s="1">
        <v>3</v>
      </c>
    </row>
    <row r="1358" spans="1:10" x14ac:dyDescent="0.2">
      <c r="A1358" s="1">
        <v>1622</v>
      </c>
      <c r="B1358" s="1">
        <v>0</v>
      </c>
      <c r="C1358" s="1">
        <v>9</v>
      </c>
      <c r="D1358" s="1">
        <v>4</v>
      </c>
      <c r="E1358" s="1">
        <v>3</v>
      </c>
      <c r="F1358" s="1">
        <v>3</v>
      </c>
      <c r="G1358" s="1">
        <v>10</v>
      </c>
      <c r="H1358" s="1">
        <v>1</v>
      </c>
      <c r="I1358" s="1">
        <v>3</v>
      </c>
      <c r="J1358" s="1">
        <v>3</v>
      </c>
    </row>
    <row r="1359" spans="1:10" x14ac:dyDescent="0.2">
      <c r="A1359" s="1">
        <v>1890</v>
      </c>
      <c r="B1359" s="1">
        <v>0</v>
      </c>
      <c r="C1359" s="1">
        <v>14</v>
      </c>
      <c r="D1359" s="1">
        <v>5</v>
      </c>
      <c r="E1359" s="1">
        <v>3</v>
      </c>
      <c r="F1359" s="1">
        <v>4</v>
      </c>
      <c r="G1359" s="1">
        <v>10</v>
      </c>
      <c r="H1359" s="1">
        <v>1</v>
      </c>
      <c r="I1359" s="1">
        <v>0</v>
      </c>
      <c r="J1359" s="1">
        <v>3</v>
      </c>
    </row>
    <row r="1360" spans="1:10" x14ac:dyDescent="0.2">
      <c r="A1360" s="1">
        <v>933</v>
      </c>
      <c r="B1360" s="1">
        <v>0</v>
      </c>
      <c r="C1360" s="1">
        <v>11</v>
      </c>
      <c r="D1360" s="1">
        <v>5</v>
      </c>
      <c r="E1360" s="1">
        <v>2</v>
      </c>
      <c r="F1360" s="1">
        <v>5</v>
      </c>
      <c r="G1360" s="1">
        <v>10</v>
      </c>
      <c r="H1360" s="1">
        <v>0</v>
      </c>
      <c r="I1360" s="1">
        <v>3</v>
      </c>
      <c r="J1360" s="1">
        <v>3</v>
      </c>
    </row>
    <row r="1361" spans="1:10" x14ac:dyDescent="0.2">
      <c r="A1361" s="1">
        <v>828</v>
      </c>
      <c r="B1361" s="1">
        <v>0</v>
      </c>
      <c r="C1361" s="1">
        <v>20</v>
      </c>
      <c r="D1361" s="1">
        <v>2</v>
      </c>
      <c r="E1361" s="1">
        <v>3</v>
      </c>
      <c r="F1361" s="1">
        <v>5</v>
      </c>
      <c r="G1361" s="1">
        <v>10</v>
      </c>
      <c r="H1361" s="1">
        <v>1</v>
      </c>
      <c r="I1361" s="1">
        <v>2</v>
      </c>
      <c r="J1361" s="1">
        <v>3</v>
      </c>
    </row>
    <row r="1362" spans="1:10" x14ac:dyDescent="0.2">
      <c r="A1362" s="1">
        <v>1146</v>
      </c>
      <c r="B1362" s="1">
        <v>0</v>
      </c>
      <c r="C1362" s="1">
        <v>20</v>
      </c>
      <c r="D1362" s="1">
        <v>1</v>
      </c>
      <c r="E1362" s="1">
        <v>3</v>
      </c>
      <c r="F1362" s="1">
        <v>5</v>
      </c>
      <c r="G1362" s="1">
        <v>10</v>
      </c>
      <c r="H1362" s="1">
        <v>1</v>
      </c>
      <c r="I1362" s="1">
        <v>2</v>
      </c>
      <c r="J1362" s="1">
        <v>3</v>
      </c>
    </row>
    <row r="1363" spans="1:10" x14ac:dyDescent="0.2">
      <c r="A1363" s="1">
        <v>2371</v>
      </c>
      <c r="B1363" s="1">
        <v>0</v>
      </c>
      <c r="C1363" s="1">
        <v>6</v>
      </c>
      <c r="D1363" s="1">
        <v>5</v>
      </c>
      <c r="E1363" s="1">
        <v>3</v>
      </c>
      <c r="F1363" s="1">
        <v>6</v>
      </c>
      <c r="G1363" s="1">
        <v>10</v>
      </c>
      <c r="H1363" s="1">
        <v>0</v>
      </c>
      <c r="I1363" s="1">
        <v>1</v>
      </c>
      <c r="J1363" s="1">
        <v>3</v>
      </c>
    </row>
    <row r="1364" spans="1:10" x14ac:dyDescent="0.2">
      <c r="A1364" s="1">
        <v>1105</v>
      </c>
      <c r="B1364" s="1">
        <v>0</v>
      </c>
      <c r="C1364" s="1">
        <v>16</v>
      </c>
      <c r="D1364" s="1">
        <v>5</v>
      </c>
      <c r="E1364" s="1">
        <v>3</v>
      </c>
      <c r="F1364" s="1">
        <v>7</v>
      </c>
      <c r="G1364" s="1">
        <v>10</v>
      </c>
      <c r="H1364" s="1">
        <v>0</v>
      </c>
      <c r="I1364" s="1">
        <v>0</v>
      </c>
      <c r="J1364" s="1">
        <v>3</v>
      </c>
    </row>
    <row r="1365" spans="1:10" x14ac:dyDescent="0.2">
      <c r="A1365" s="1">
        <v>1341</v>
      </c>
      <c r="B1365" s="1">
        <v>0</v>
      </c>
      <c r="C1365" s="1">
        <v>19</v>
      </c>
      <c r="D1365" s="1">
        <v>5</v>
      </c>
      <c r="E1365" s="1">
        <v>3</v>
      </c>
      <c r="F1365" s="1">
        <v>7</v>
      </c>
      <c r="G1365" s="1">
        <v>10</v>
      </c>
      <c r="H1365" s="1">
        <v>0</v>
      </c>
      <c r="I1365" s="1">
        <v>3</v>
      </c>
      <c r="J1365" s="1">
        <v>3</v>
      </c>
    </row>
    <row r="1366" spans="1:10" x14ac:dyDescent="0.2">
      <c r="A1366" s="1">
        <v>1616</v>
      </c>
      <c r="B1366" s="1">
        <v>0</v>
      </c>
      <c r="C1366" s="1">
        <v>18</v>
      </c>
      <c r="D1366" s="1">
        <v>1</v>
      </c>
      <c r="E1366" s="1">
        <v>3</v>
      </c>
      <c r="F1366" s="1">
        <v>8</v>
      </c>
      <c r="G1366" s="1">
        <v>10</v>
      </c>
      <c r="H1366" s="1">
        <v>1</v>
      </c>
      <c r="I1366" s="1">
        <v>3</v>
      </c>
      <c r="J1366" s="1">
        <v>3</v>
      </c>
    </row>
    <row r="1367" spans="1:10" x14ac:dyDescent="0.2">
      <c r="A1367" s="1">
        <v>1981</v>
      </c>
      <c r="B1367" s="1">
        <v>0</v>
      </c>
      <c r="C1367" s="1">
        <v>8</v>
      </c>
      <c r="D1367" s="1">
        <v>1</v>
      </c>
      <c r="E1367" s="1">
        <v>3</v>
      </c>
      <c r="F1367" s="1">
        <v>9</v>
      </c>
      <c r="G1367" s="1">
        <v>10</v>
      </c>
      <c r="H1367" s="1">
        <v>1</v>
      </c>
      <c r="I1367" s="1">
        <v>1</v>
      </c>
      <c r="J1367" s="1">
        <v>3</v>
      </c>
    </row>
    <row r="1368" spans="1:10" x14ac:dyDescent="0.2">
      <c r="A1368" s="1">
        <v>583</v>
      </c>
      <c r="B1368" s="1">
        <v>0</v>
      </c>
      <c r="C1368" s="1">
        <v>9</v>
      </c>
      <c r="D1368" s="1">
        <v>5</v>
      </c>
      <c r="E1368" s="1">
        <v>3</v>
      </c>
      <c r="F1368" s="1">
        <v>9</v>
      </c>
      <c r="G1368" s="1">
        <v>10</v>
      </c>
      <c r="H1368" s="1">
        <v>1</v>
      </c>
      <c r="I1368" s="1">
        <v>3</v>
      </c>
      <c r="J1368" s="1">
        <v>3</v>
      </c>
    </row>
    <row r="1369" spans="1:10" x14ac:dyDescent="0.2">
      <c r="A1369" s="1">
        <v>1100</v>
      </c>
      <c r="B1369" s="1">
        <v>0</v>
      </c>
      <c r="C1369" s="1">
        <v>17</v>
      </c>
      <c r="D1369" s="1">
        <v>3</v>
      </c>
      <c r="E1369" s="1">
        <v>3</v>
      </c>
      <c r="F1369" s="1">
        <v>9</v>
      </c>
      <c r="G1369" s="1">
        <v>10</v>
      </c>
      <c r="H1369" s="1">
        <v>1</v>
      </c>
      <c r="I1369" s="1">
        <v>2</v>
      </c>
      <c r="J1369" s="1">
        <v>3</v>
      </c>
    </row>
    <row r="1370" spans="1:10" x14ac:dyDescent="0.2">
      <c r="A1370" s="1">
        <v>27</v>
      </c>
      <c r="B1370" s="1">
        <v>0</v>
      </c>
      <c r="C1370" s="1">
        <v>19</v>
      </c>
      <c r="D1370" s="1">
        <v>1</v>
      </c>
      <c r="E1370" s="1">
        <v>3</v>
      </c>
      <c r="F1370" s="1">
        <v>9</v>
      </c>
      <c r="G1370" s="1">
        <v>10</v>
      </c>
      <c r="H1370" s="1">
        <v>1</v>
      </c>
      <c r="I1370" s="1">
        <v>0</v>
      </c>
      <c r="J1370" s="1">
        <v>3</v>
      </c>
    </row>
    <row r="1371" spans="1:10" x14ac:dyDescent="0.2">
      <c r="A1371" s="1">
        <v>1040</v>
      </c>
      <c r="B1371" s="1">
        <v>0</v>
      </c>
      <c r="C1371" s="1">
        <v>19</v>
      </c>
      <c r="D1371" s="1">
        <v>4</v>
      </c>
      <c r="E1371" s="1">
        <v>3</v>
      </c>
      <c r="F1371" s="1">
        <v>10</v>
      </c>
      <c r="G1371" s="1">
        <v>10</v>
      </c>
      <c r="H1371" s="1">
        <v>1</v>
      </c>
      <c r="I1371" s="1">
        <v>0</v>
      </c>
      <c r="J1371" s="1">
        <v>3</v>
      </c>
    </row>
    <row r="1372" spans="1:10" x14ac:dyDescent="0.2">
      <c r="A1372" s="1">
        <v>1531</v>
      </c>
      <c r="B1372" s="1">
        <v>0</v>
      </c>
      <c r="C1372" s="1">
        <v>15</v>
      </c>
      <c r="D1372" s="1">
        <v>1</v>
      </c>
      <c r="E1372" s="1">
        <v>1</v>
      </c>
      <c r="F1372" s="1">
        <v>1</v>
      </c>
      <c r="G1372" s="1">
        <v>1</v>
      </c>
      <c r="H1372" s="1">
        <v>1</v>
      </c>
      <c r="I1372" s="1">
        <v>0</v>
      </c>
      <c r="J1372" s="1">
        <v>4</v>
      </c>
    </row>
    <row r="1373" spans="1:10" x14ac:dyDescent="0.2">
      <c r="A1373" s="1">
        <v>157</v>
      </c>
      <c r="B1373" s="1">
        <v>0</v>
      </c>
      <c r="C1373" s="1">
        <v>18</v>
      </c>
      <c r="D1373" s="1">
        <v>4</v>
      </c>
      <c r="E1373" s="1">
        <v>1</v>
      </c>
      <c r="F1373" s="1">
        <v>1</v>
      </c>
      <c r="G1373" s="1">
        <v>1</v>
      </c>
      <c r="H1373" s="1">
        <v>1</v>
      </c>
      <c r="I1373" s="1">
        <v>3</v>
      </c>
      <c r="J1373" s="1">
        <v>4</v>
      </c>
    </row>
    <row r="1374" spans="1:10" x14ac:dyDescent="0.2">
      <c r="A1374" s="1">
        <v>2406</v>
      </c>
      <c r="B1374" s="1">
        <v>0</v>
      </c>
      <c r="C1374" s="1">
        <v>19</v>
      </c>
      <c r="D1374" s="1">
        <v>3</v>
      </c>
      <c r="E1374" s="1">
        <v>1</v>
      </c>
      <c r="F1374" s="1">
        <v>1</v>
      </c>
      <c r="G1374" s="1">
        <v>1</v>
      </c>
      <c r="H1374" s="1">
        <v>0</v>
      </c>
      <c r="I1374" s="1">
        <v>3</v>
      </c>
      <c r="J1374" s="1">
        <v>4</v>
      </c>
    </row>
    <row r="1375" spans="1:10" x14ac:dyDescent="0.2">
      <c r="A1375" s="1">
        <v>1329</v>
      </c>
      <c r="B1375" s="1">
        <v>0</v>
      </c>
      <c r="C1375" s="1">
        <v>20</v>
      </c>
      <c r="D1375" s="1">
        <v>3</v>
      </c>
      <c r="E1375" s="1">
        <v>1</v>
      </c>
      <c r="F1375" s="1">
        <v>1</v>
      </c>
      <c r="G1375" s="1">
        <v>1</v>
      </c>
      <c r="H1375" s="1">
        <v>1</v>
      </c>
      <c r="I1375" s="1">
        <v>2</v>
      </c>
      <c r="J1375" s="1">
        <v>4</v>
      </c>
    </row>
    <row r="1376" spans="1:10" x14ac:dyDescent="0.2">
      <c r="A1376" s="1">
        <v>94</v>
      </c>
      <c r="B1376" s="1">
        <v>0</v>
      </c>
      <c r="C1376" s="1">
        <v>17</v>
      </c>
      <c r="D1376" s="1">
        <v>2</v>
      </c>
      <c r="E1376" s="1">
        <v>2</v>
      </c>
      <c r="F1376" s="1">
        <v>1</v>
      </c>
      <c r="G1376" s="1">
        <v>1</v>
      </c>
      <c r="H1376" s="1">
        <v>1</v>
      </c>
      <c r="I1376" s="1">
        <v>2</v>
      </c>
      <c r="J1376" s="1">
        <v>4</v>
      </c>
    </row>
    <row r="1377" spans="1:10" x14ac:dyDescent="0.2">
      <c r="A1377" s="1">
        <v>89</v>
      </c>
      <c r="B1377" s="1">
        <v>0</v>
      </c>
      <c r="C1377" s="1">
        <v>19</v>
      </c>
      <c r="D1377" s="1">
        <v>4</v>
      </c>
      <c r="E1377" s="1">
        <v>2</v>
      </c>
      <c r="F1377" s="1">
        <v>1</v>
      </c>
      <c r="G1377" s="1">
        <v>1</v>
      </c>
      <c r="H1377" s="1">
        <v>0</v>
      </c>
      <c r="I1377" s="1">
        <v>0</v>
      </c>
      <c r="J1377" s="1">
        <v>4</v>
      </c>
    </row>
    <row r="1378" spans="1:10" x14ac:dyDescent="0.2">
      <c r="A1378" s="1">
        <v>1137</v>
      </c>
      <c r="B1378" s="1">
        <v>0</v>
      </c>
      <c r="C1378" s="1">
        <v>14</v>
      </c>
      <c r="D1378" s="1">
        <v>1</v>
      </c>
      <c r="E1378" s="1">
        <v>3</v>
      </c>
      <c r="F1378" s="1">
        <v>1</v>
      </c>
      <c r="G1378" s="1">
        <v>1</v>
      </c>
      <c r="H1378" s="1">
        <v>1</v>
      </c>
      <c r="I1378" s="1">
        <v>0</v>
      </c>
      <c r="J1378" s="1">
        <v>4</v>
      </c>
    </row>
    <row r="1379" spans="1:10" x14ac:dyDescent="0.2">
      <c r="A1379" s="1">
        <v>1130</v>
      </c>
      <c r="B1379" s="1">
        <v>0</v>
      </c>
      <c r="C1379" s="1">
        <v>19</v>
      </c>
      <c r="D1379" s="1">
        <v>4</v>
      </c>
      <c r="E1379" s="1">
        <v>3</v>
      </c>
      <c r="F1379" s="1">
        <v>1</v>
      </c>
      <c r="G1379" s="1">
        <v>1</v>
      </c>
      <c r="H1379" s="1">
        <v>1</v>
      </c>
      <c r="I1379" s="1">
        <v>2</v>
      </c>
      <c r="J1379" s="1">
        <v>4</v>
      </c>
    </row>
    <row r="1380" spans="1:10" x14ac:dyDescent="0.2">
      <c r="A1380" s="1">
        <v>73</v>
      </c>
      <c r="B1380" s="1">
        <v>0</v>
      </c>
      <c r="C1380" s="1">
        <v>5</v>
      </c>
      <c r="D1380" s="1">
        <v>5</v>
      </c>
      <c r="E1380" s="1">
        <v>1</v>
      </c>
      <c r="F1380" s="1">
        <v>2</v>
      </c>
      <c r="G1380" s="1">
        <v>1</v>
      </c>
      <c r="H1380" s="1">
        <v>0</v>
      </c>
      <c r="I1380" s="1">
        <v>0</v>
      </c>
      <c r="J1380" s="1">
        <v>4</v>
      </c>
    </row>
    <row r="1381" spans="1:10" x14ac:dyDescent="0.2">
      <c r="A1381" s="1">
        <v>2278</v>
      </c>
      <c r="B1381" s="1">
        <v>0</v>
      </c>
      <c r="C1381" s="1">
        <v>11</v>
      </c>
      <c r="D1381" s="1">
        <v>4</v>
      </c>
      <c r="E1381" s="1">
        <v>1</v>
      </c>
      <c r="F1381" s="1">
        <v>2</v>
      </c>
      <c r="G1381" s="1">
        <v>1</v>
      </c>
      <c r="H1381" s="1">
        <v>1</v>
      </c>
      <c r="I1381" s="1">
        <v>0</v>
      </c>
      <c r="J1381" s="1">
        <v>4</v>
      </c>
    </row>
    <row r="1382" spans="1:10" x14ac:dyDescent="0.2">
      <c r="A1382" s="1">
        <v>2022</v>
      </c>
      <c r="B1382" s="1">
        <v>0</v>
      </c>
      <c r="C1382" s="1">
        <v>12</v>
      </c>
      <c r="D1382" s="1">
        <v>1</v>
      </c>
      <c r="E1382" s="1">
        <v>1</v>
      </c>
      <c r="F1382" s="1">
        <v>2</v>
      </c>
      <c r="G1382" s="1">
        <v>1</v>
      </c>
      <c r="H1382" s="1">
        <v>0</v>
      </c>
      <c r="I1382" s="1">
        <v>0</v>
      </c>
      <c r="J1382" s="1">
        <v>4</v>
      </c>
    </row>
    <row r="1383" spans="1:10" x14ac:dyDescent="0.2">
      <c r="A1383" s="1">
        <v>658</v>
      </c>
      <c r="B1383" s="1">
        <v>0</v>
      </c>
      <c r="C1383" s="1">
        <v>15</v>
      </c>
      <c r="D1383" s="1">
        <v>3</v>
      </c>
      <c r="E1383" s="1">
        <v>2</v>
      </c>
      <c r="F1383" s="1">
        <v>2</v>
      </c>
      <c r="G1383" s="1">
        <v>1</v>
      </c>
      <c r="H1383" s="1">
        <v>1</v>
      </c>
      <c r="I1383" s="1">
        <v>1</v>
      </c>
      <c r="J1383" s="1">
        <v>4</v>
      </c>
    </row>
    <row r="1384" spans="1:10" x14ac:dyDescent="0.2">
      <c r="A1384" s="1">
        <v>1470</v>
      </c>
      <c r="B1384" s="1">
        <v>0</v>
      </c>
      <c r="C1384" s="1">
        <v>19</v>
      </c>
      <c r="D1384" s="1">
        <v>1</v>
      </c>
      <c r="E1384" s="1">
        <v>2</v>
      </c>
      <c r="F1384" s="1">
        <v>2</v>
      </c>
      <c r="G1384" s="1">
        <v>1</v>
      </c>
      <c r="H1384" s="1">
        <v>1</v>
      </c>
      <c r="I1384" s="1">
        <v>0</v>
      </c>
      <c r="J1384" s="1">
        <v>4</v>
      </c>
    </row>
    <row r="1385" spans="1:10" x14ac:dyDescent="0.2">
      <c r="A1385" s="1">
        <v>1687</v>
      </c>
      <c r="B1385" s="1">
        <v>0</v>
      </c>
      <c r="C1385" s="1">
        <v>7</v>
      </c>
      <c r="D1385" s="1">
        <v>3</v>
      </c>
      <c r="E1385" s="1">
        <v>3</v>
      </c>
      <c r="F1385" s="1">
        <v>2</v>
      </c>
      <c r="G1385" s="1">
        <v>1</v>
      </c>
      <c r="H1385" s="1">
        <v>1</v>
      </c>
      <c r="I1385" s="1">
        <v>2</v>
      </c>
      <c r="J1385" s="1">
        <v>4</v>
      </c>
    </row>
    <row r="1386" spans="1:10" x14ac:dyDescent="0.2">
      <c r="A1386" s="1">
        <v>1244</v>
      </c>
      <c r="B1386" s="1">
        <v>0</v>
      </c>
      <c r="C1386" s="1">
        <v>16</v>
      </c>
      <c r="D1386" s="1">
        <v>1</v>
      </c>
      <c r="E1386" s="1">
        <v>3</v>
      </c>
      <c r="F1386" s="1">
        <v>2</v>
      </c>
      <c r="G1386" s="1">
        <v>1</v>
      </c>
      <c r="H1386" s="1">
        <v>1</v>
      </c>
      <c r="I1386" s="1">
        <v>0</v>
      </c>
      <c r="J1386" s="1">
        <v>4</v>
      </c>
    </row>
    <row r="1387" spans="1:10" x14ac:dyDescent="0.2">
      <c r="A1387" s="1">
        <v>2027</v>
      </c>
      <c r="B1387" s="1">
        <v>0</v>
      </c>
      <c r="C1387" s="1">
        <v>10</v>
      </c>
      <c r="D1387" s="1">
        <v>4</v>
      </c>
      <c r="E1387" s="1">
        <v>1</v>
      </c>
      <c r="F1387" s="1">
        <v>3</v>
      </c>
      <c r="G1387" s="1">
        <v>1</v>
      </c>
      <c r="H1387" s="1">
        <v>1</v>
      </c>
      <c r="I1387" s="1">
        <v>0</v>
      </c>
      <c r="J1387" s="1">
        <v>4</v>
      </c>
    </row>
    <row r="1388" spans="1:10" x14ac:dyDescent="0.2">
      <c r="A1388" s="1">
        <v>367</v>
      </c>
      <c r="B1388" s="1">
        <v>0</v>
      </c>
      <c r="C1388" s="1">
        <v>12</v>
      </c>
      <c r="D1388" s="1">
        <v>5</v>
      </c>
      <c r="E1388" s="1">
        <v>1</v>
      </c>
      <c r="F1388" s="1">
        <v>3</v>
      </c>
      <c r="G1388" s="1">
        <v>1</v>
      </c>
      <c r="H1388" s="1">
        <v>1</v>
      </c>
      <c r="I1388" s="1">
        <v>3</v>
      </c>
      <c r="J1388" s="1">
        <v>4</v>
      </c>
    </row>
    <row r="1389" spans="1:10" x14ac:dyDescent="0.2">
      <c r="A1389" s="1">
        <v>2032</v>
      </c>
      <c r="B1389" s="1">
        <v>0</v>
      </c>
      <c r="C1389" s="1">
        <v>14</v>
      </c>
      <c r="D1389" s="1">
        <v>3</v>
      </c>
      <c r="E1389" s="1">
        <v>2</v>
      </c>
      <c r="F1389" s="1">
        <v>3</v>
      </c>
      <c r="G1389" s="1">
        <v>1</v>
      </c>
      <c r="H1389" s="1">
        <v>1</v>
      </c>
      <c r="I1389" s="1">
        <v>0</v>
      </c>
      <c r="J1389" s="1">
        <v>4</v>
      </c>
    </row>
    <row r="1390" spans="1:10" x14ac:dyDescent="0.2">
      <c r="A1390" s="1">
        <v>1959</v>
      </c>
      <c r="B1390" s="1">
        <v>0</v>
      </c>
      <c r="C1390" s="1">
        <v>18</v>
      </c>
      <c r="D1390" s="1">
        <v>2</v>
      </c>
      <c r="E1390" s="1">
        <v>3</v>
      </c>
      <c r="F1390" s="1">
        <v>3</v>
      </c>
      <c r="G1390" s="1">
        <v>1</v>
      </c>
      <c r="H1390" s="1">
        <v>1</v>
      </c>
      <c r="I1390" s="1">
        <v>0</v>
      </c>
      <c r="J1390" s="1">
        <v>4</v>
      </c>
    </row>
    <row r="1391" spans="1:10" x14ac:dyDescent="0.2">
      <c r="A1391" s="1">
        <v>1017</v>
      </c>
      <c r="B1391" s="1">
        <v>0</v>
      </c>
      <c r="C1391" s="1">
        <v>6</v>
      </c>
      <c r="D1391" s="1">
        <v>4</v>
      </c>
      <c r="E1391" s="1">
        <v>1</v>
      </c>
      <c r="F1391" s="1">
        <v>4</v>
      </c>
      <c r="G1391" s="1">
        <v>1</v>
      </c>
      <c r="H1391" s="1">
        <v>1</v>
      </c>
      <c r="I1391" s="1">
        <v>2</v>
      </c>
      <c r="J1391" s="1">
        <v>4</v>
      </c>
    </row>
    <row r="1392" spans="1:10" x14ac:dyDescent="0.2">
      <c r="A1392" s="1">
        <v>2240</v>
      </c>
      <c r="B1392" s="1">
        <v>0</v>
      </c>
      <c r="C1392" s="1">
        <v>12</v>
      </c>
      <c r="D1392" s="1">
        <v>1</v>
      </c>
      <c r="E1392" s="1">
        <v>1</v>
      </c>
      <c r="F1392" s="1">
        <v>4</v>
      </c>
      <c r="G1392" s="1">
        <v>1</v>
      </c>
      <c r="H1392" s="1">
        <v>1</v>
      </c>
      <c r="I1392" s="1">
        <v>0</v>
      </c>
      <c r="J1392" s="1">
        <v>4</v>
      </c>
    </row>
    <row r="1393" spans="1:10" x14ac:dyDescent="0.2">
      <c r="A1393" s="1">
        <v>2066</v>
      </c>
      <c r="B1393" s="1">
        <v>0</v>
      </c>
      <c r="C1393" s="1">
        <v>11</v>
      </c>
      <c r="D1393" s="1">
        <v>4</v>
      </c>
      <c r="E1393" s="1">
        <v>2</v>
      </c>
      <c r="F1393" s="1">
        <v>4</v>
      </c>
      <c r="G1393" s="1">
        <v>1</v>
      </c>
      <c r="H1393" s="1">
        <v>1</v>
      </c>
      <c r="I1393" s="1">
        <v>0</v>
      </c>
      <c r="J1393" s="1">
        <v>4</v>
      </c>
    </row>
    <row r="1394" spans="1:10" x14ac:dyDescent="0.2">
      <c r="A1394" s="1">
        <v>1512</v>
      </c>
      <c r="B1394" s="1">
        <v>0</v>
      </c>
      <c r="C1394" s="1">
        <v>12</v>
      </c>
      <c r="D1394" s="1">
        <v>4</v>
      </c>
      <c r="E1394" s="1">
        <v>2</v>
      </c>
      <c r="F1394" s="1">
        <v>4</v>
      </c>
      <c r="G1394" s="1">
        <v>1</v>
      </c>
      <c r="H1394" s="1">
        <v>0</v>
      </c>
      <c r="I1394" s="1">
        <v>2</v>
      </c>
      <c r="J1394" s="1">
        <v>4</v>
      </c>
    </row>
    <row r="1395" spans="1:10" x14ac:dyDescent="0.2">
      <c r="A1395" s="1">
        <v>1733</v>
      </c>
      <c r="B1395" s="1">
        <v>0</v>
      </c>
      <c r="C1395" s="1">
        <v>17</v>
      </c>
      <c r="D1395" s="1">
        <v>4</v>
      </c>
      <c r="E1395" s="1">
        <v>2</v>
      </c>
      <c r="F1395" s="1">
        <v>4</v>
      </c>
      <c r="G1395" s="1">
        <v>1</v>
      </c>
      <c r="H1395" s="1">
        <v>0</v>
      </c>
      <c r="I1395" s="1">
        <v>2</v>
      </c>
      <c r="J1395" s="1">
        <v>4</v>
      </c>
    </row>
    <row r="1396" spans="1:10" x14ac:dyDescent="0.2">
      <c r="A1396" s="1">
        <v>1630</v>
      </c>
      <c r="B1396" s="1">
        <v>0</v>
      </c>
      <c r="C1396" s="1">
        <v>5</v>
      </c>
      <c r="D1396" s="1">
        <v>4</v>
      </c>
      <c r="E1396" s="1">
        <v>3</v>
      </c>
      <c r="F1396" s="1">
        <v>4</v>
      </c>
      <c r="G1396" s="1">
        <v>1</v>
      </c>
      <c r="H1396" s="1">
        <v>0</v>
      </c>
      <c r="I1396" s="1">
        <v>0</v>
      </c>
      <c r="J1396" s="1">
        <v>4</v>
      </c>
    </row>
    <row r="1397" spans="1:10" x14ac:dyDescent="0.2">
      <c r="A1397" s="1">
        <v>325</v>
      </c>
      <c r="B1397" s="1">
        <v>0</v>
      </c>
      <c r="C1397" s="1">
        <v>8</v>
      </c>
      <c r="D1397" s="1">
        <v>3</v>
      </c>
      <c r="E1397" s="1">
        <v>3</v>
      </c>
      <c r="F1397" s="1">
        <v>4</v>
      </c>
      <c r="G1397" s="1">
        <v>1</v>
      </c>
      <c r="H1397" s="1">
        <v>0</v>
      </c>
      <c r="I1397" s="1">
        <v>1</v>
      </c>
      <c r="J1397" s="1">
        <v>4</v>
      </c>
    </row>
    <row r="1398" spans="1:10" x14ac:dyDescent="0.2">
      <c r="A1398" s="1">
        <v>80</v>
      </c>
      <c r="B1398" s="1">
        <v>0</v>
      </c>
      <c r="C1398" s="1">
        <v>15</v>
      </c>
      <c r="D1398" s="1">
        <v>4</v>
      </c>
      <c r="E1398" s="1">
        <v>3</v>
      </c>
      <c r="F1398" s="1">
        <v>4</v>
      </c>
      <c r="G1398" s="1">
        <v>1</v>
      </c>
      <c r="H1398" s="1">
        <v>0</v>
      </c>
      <c r="I1398" s="1">
        <v>3</v>
      </c>
      <c r="J1398" s="1">
        <v>4</v>
      </c>
    </row>
    <row r="1399" spans="1:10" x14ac:dyDescent="0.2">
      <c r="A1399" s="1">
        <v>2286</v>
      </c>
      <c r="B1399" s="1">
        <v>0</v>
      </c>
      <c r="C1399" s="1">
        <v>20</v>
      </c>
      <c r="D1399" s="1">
        <v>1</v>
      </c>
      <c r="E1399" s="1">
        <v>3</v>
      </c>
      <c r="F1399" s="1">
        <v>4</v>
      </c>
      <c r="G1399" s="1">
        <v>1</v>
      </c>
      <c r="H1399" s="1">
        <v>0</v>
      </c>
      <c r="I1399" s="1">
        <v>1</v>
      </c>
      <c r="J1399" s="1">
        <v>4</v>
      </c>
    </row>
    <row r="1400" spans="1:10" x14ac:dyDescent="0.2">
      <c r="A1400" s="1">
        <v>1517</v>
      </c>
      <c r="B1400" s="1">
        <v>0</v>
      </c>
      <c r="C1400" s="1">
        <v>6</v>
      </c>
      <c r="D1400" s="1">
        <v>3</v>
      </c>
      <c r="E1400" s="1">
        <v>1</v>
      </c>
      <c r="F1400" s="1">
        <v>5</v>
      </c>
      <c r="G1400" s="1">
        <v>1</v>
      </c>
      <c r="H1400" s="1">
        <v>1</v>
      </c>
      <c r="I1400" s="1">
        <v>2</v>
      </c>
      <c r="J1400" s="1">
        <v>4</v>
      </c>
    </row>
    <row r="1401" spans="1:10" x14ac:dyDescent="0.2">
      <c r="A1401" s="1">
        <v>307</v>
      </c>
      <c r="B1401" s="1">
        <v>0</v>
      </c>
      <c r="C1401" s="1">
        <v>9</v>
      </c>
      <c r="D1401" s="1">
        <v>5</v>
      </c>
      <c r="E1401" s="1">
        <v>1</v>
      </c>
      <c r="F1401" s="1">
        <v>5</v>
      </c>
      <c r="G1401" s="1">
        <v>1</v>
      </c>
      <c r="H1401" s="1">
        <v>0</v>
      </c>
      <c r="I1401" s="1">
        <v>2</v>
      </c>
      <c r="J1401" s="1">
        <v>4</v>
      </c>
    </row>
    <row r="1402" spans="1:10" x14ac:dyDescent="0.2">
      <c r="A1402" s="1">
        <v>708</v>
      </c>
      <c r="B1402" s="1">
        <v>0</v>
      </c>
      <c r="C1402" s="1">
        <v>11</v>
      </c>
      <c r="D1402" s="1">
        <v>4</v>
      </c>
      <c r="E1402" s="1">
        <v>2</v>
      </c>
      <c r="F1402" s="1">
        <v>5</v>
      </c>
      <c r="G1402" s="1">
        <v>1</v>
      </c>
      <c r="H1402" s="1">
        <v>0</v>
      </c>
      <c r="I1402" s="1">
        <v>3</v>
      </c>
      <c r="J1402" s="1">
        <v>4</v>
      </c>
    </row>
    <row r="1403" spans="1:10" x14ac:dyDescent="0.2">
      <c r="A1403" s="1">
        <v>1790</v>
      </c>
      <c r="B1403" s="1">
        <v>0</v>
      </c>
      <c r="C1403" s="1">
        <v>13</v>
      </c>
      <c r="D1403" s="1">
        <v>1</v>
      </c>
      <c r="E1403" s="1">
        <v>2</v>
      </c>
      <c r="F1403" s="1">
        <v>5</v>
      </c>
      <c r="G1403" s="1">
        <v>1</v>
      </c>
      <c r="H1403" s="1">
        <v>0</v>
      </c>
      <c r="I1403" s="1">
        <v>1</v>
      </c>
      <c r="J1403" s="1">
        <v>4</v>
      </c>
    </row>
    <row r="1404" spans="1:10" x14ac:dyDescent="0.2">
      <c r="A1404" s="1">
        <v>2102</v>
      </c>
      <c r="B1404" s="1">
        <v>0</v>
      </c>
      <c r="C1404" s="1">
        <v>14</v>
      </c>
      <c r="D1404" s="1">
        <v>4</v>
      </c>
      <c r="E1404" s="1">
        <v>2</v>
      </c>
      <c r="F1404" s="1">
        <v>5</v>
      </c>
      <c r="G1404" s="1">
        <v>1</v>
      </c>
      <c r="H1404" s="1">
        <v>0</v>
      </c>
      <c r="I1404" s="1">
        <v>2</v>
      </c>
      <c r="J1404" s="1">
        <v>4</v>
      </c>
    </row>
    <row r="1405" spans="1:10" x14ac:dyDescent="0.2">
      <c r="A1405" s="1">
        <v>79</v>
      </c>
      <c r="B1405" s="1">
        <v>0</v>
      </c>
      <c r="C1405" s="1">
        <v>15</v>
      </c>
      <c r="D1405" s="1">
        <v>3</v>
      </c>
      <c r="E1405" s="1">
        <v>3</v>
      </c>
      <c r="F1405" s="1">
        <v>5</v>
      </c>
      <c r="G1405" s="1">
        <v>1</v>
      </c>
      <c r="H1405" s="1">
        <v>1</v>
      </c>
      <c r="I1405" s="1">
        <v>2</v>
      </c>
      <c r="J1405" s="1">
        <v>4</v>
      </c>
    </row>
    <row r="1406" spans="1:10" x14ac:dyDescent="0.2">
      <c r="A1406" s="1">
        <v>356</v>
      </c>
      <c r="B1406" s="1">
        <v>0</v>
      </c>
      <c r="C1406" s="1">
        <v>19</v>
      </c>
      <c r="D1406" s="1">
        <v>4</v>
      </c>
      <c r="E1406" s="1">
        <v>3</v>
      </c>
      <c r="F1406" s="1">
        <v>5</v>
      </c>
      <c r="G1406" s="1">
        <v>1</v>
      </c>
      <c r="H1406" s="1">
        <v>0</v>
      </c>
      <c r="I1406" s="1">
        <v>3</v>
      </c>
      <c r="J1406" s="1">
        <v>4</v>
      </c>
    </row>
    <row r="1407" spans="1:10" x14ac:dyDescent="0.2">
      <c r="A1407" s="1">
        <v>1612</v>
      </c>
      <c r="B1407" s="1">
        <v>0</v>
      </c>
      <c r="C1407" s="1">
        <v>14</v>
      </c>
      <c r="D1407" s="1">
        <v>5</v>
      </c>
      <c r="E1407" s="1">
        <v>1</v>
      </c>
      <c r="F1407" s="1">
        <v>6</v>
      </c>
      <c r="G1407" s="1">
        <v>1</v>
      </c>
      <c r="H1407" s="1">
        <v>0</v>
      </c>
      <c r="I1407" s="1">
        <v>0</v>
      </c>
      <c r="J1407" s="1">
        <v>4</v>
      </c>
    </row>
    <row r="1408" spans="1:10" x14ac:dyDescent="0.2">
      <c r="A1408" s="1">
        <v>1902</v>
      </c>
      <c r="B1408" s="1">
        <v>0</v>
      </c>
      <c r="C1408" s="1">
        <v>16</v>
      </c>
      <c r="D1408" s="1">
        <v>4</v>
      </c>
      <c r="E1408" s="1">
        <v>1</v>
      </c>
      <c r="F1408" s="1">
        <v>6</v>
      </c>
      <c r="G1408" s="1">
        <v>1</v>
      </c>
      <c r="H1408" s="1">
        <v>0</v>
      </c>
      <c r="I1408" s="1">
        <v>0</v>
      </c>
      <c r="J1408" s="1">
        <v>4</v>
      </c>
    </row>
    <row r="1409" spans="1:10" x14ac:dyDescent="0.2">
      <c r="A1409" s="1">
        <v>490</v>
      </c>
      <c r="B1409" s="1">
        <v>0</v>
      </c>
      <c r="C1409" s="1">
        <v>18</v>
      </c>
      <c r="D1409" s="1">
        <v>5</v>
      </c>
      <c r="E1409" s="1">
        <v>1</v>
      </c>
      <c r="F1409" s="1">
        <v>6</v>
      </c>
      <c r="G1409" s="1">
        <v>1</v>
      </c>
      <c r="H1409" s="1">
        <v>1</v>
      </c>
      <c r="I1409" s="1">
        <v>0</v>
      </c>
      <c r="J1409" s="1">
        <v>4</v>
      </c>
    </row>
    <row r="1410" spans="1:10" x14ac:dyDescent="0.2">
      <c r="A1410" s="1">
        <v>1126</v>
      </c>
      <c r="B1410" s="1">
        <v>0</v>
      </c>
      <c r="C1410" s="1">
        <v>7</v>
      </c>
      <c r="D1410" s="1">
        <v>2</v>
      </c>
      <c r="E1410" s="1">
        <v>2</v>
      </c>
      <c r="F1410" s="1">
        <v>6</v>
      </c>
      <c r="G1410" s="1">
        <v>1</v>
      </c>
      <c r="H1410" s="1">
        <v>0</v>
      </c>
      <c r="I1410" s="1">
        <v>3</v>
      </c>
      <c r="J1410" s="1">
        <v>4</v>
      </c>
    </row>
    <row r="1411" spans="1:10" x14ac:dyDescent="0.2">
      <c r="A1411" s="1">
        <v>1542</v>
      </c>
      <c r="B1411" s="1">
        <v>0</v>
      </c>
      <c r="C1411" s="1">
        <v>10</v>
      </c>
      <c r="D1411" s="1">
        <v>4</v>
      </c>
      <c r="E1411" s="1">
        <v>2</v>
      </c>
      <c r="F1411" s="1">
        <v>6</v>
      </c>
      <c r="G1411" s="1">
        <v>1</v>
      </c>
      <c r="H1411" s="1">
        <v>0</v>
      </c>
      <c r="I1411" s="1">
        <v>3</v>
      </c>
      <c r="J1411" s="1">
        <v>4</v>
      </c>
    </row>
    <row r="1412" spans="1:10" x14ac:dyDescent="0.2">
      <c r="A1412" s="1">
        <v>228</v>
      </c>
      <c r="B1412" s="1">
        <v>0</v>
      </c>
      <c r="C1412" s="1">
        <v>10</v>
      </c>
      <c r="D1412" s="1">
        <v>5</v>
      </c>
      <c r="E1412" s="1">
        <v>3</v>
      </c>
      <c r="F1412" s="1">
        <v>6</v>
      </c>
      <c r="G1412" s="1">
        <v>1</v>
      </c>
      <c r="H1412" s="1">
        <v>0</v>
      </c>
      <c r="I1412" s="1">
        <v>2</v>
      </c>
      <c r="J1412" s="1">
        <v>4</v>
      </c>
    </row>
    <row r="1413" spans="1:10" x14ac:dyDescent="0.2">
      <c r="A1413" s="1">
        <v>1388</v>
      </c>
      <c r="B1413" s="1">
        <v>0</v>
      </c>
      <c r="C1413" s="1">
        <v>16</v>
      </c>
      <c r="D1413" s="1">
        <v>1</v>
      </c>
      <c r="E1413" s="1">
        <v>3</v>
      </c>
      <c r="F1413" s="1">
        <v>6</v>
      </c>
      <c r="G1413" s="1">
        <v>1</v>
      </c>
      <c r="H1413" s="1">
        <v>1</v>
      </c>
      <c r="I1413" s="1">
        <v>2</v>
      </c>
      <c r="J1413" s="1">
        <v>4</v>
      </c>
    </row>
    <row r="1414" spans="1:10" x14ac:dyDescent="0.2">
      <c r="A1414" s="1">
        <v>21</v>
      </c>
      <c r="B1414" s="1">
        <v>0</v>
      </c>
      <c r="C1414" s="1">
        <v>18</v>
      </c>
      <c r="D1414" s="1">
        <v>2</v>
      </c>
      <c r="E1414" s="1">
        <v>3</v>
      </c>
      <c r="F1414" s="1">
        <v>6</v>
      </c>
      <c r="G1414" s="1">
        <v>1</v>
      </c>
      <c r="H1414" s="1">
        <v>1</v>
      </c>
      <c r="I1414" s="1">
        <v>1</v>
      </c>
      <c r="J1414" s="1">
        <v>4</v>
      </c>
    </row>
    <row r="1415" spans="1:10" x14ac:dyDescent="0.2">
      <c r="A1415" s="1">
        <v>43</v>
      </c>
      <c r="B1415" s="1">
        <v>0</v>
      </c>
      <c r="C1415" s="1">
        <v>7</v>
      </c>
      <c r="D1415" s="1">
        <v>2</v>
      </c>
      <c r="E1415" s="1">
        <v>1</v>
      </c>
      <c r="F1415" s="1">
        <v>7</v>
      </c>
      <c r="G1415" s="1">
        <v>1</v>
      </c>
      <c r="H1415" s="1">
        <v>1</v>
      </c>
      <c r="I1415" s="1">
        <v>2</v>
      </c>
      <c r="J1415" s="1">
        <v>4</v>
      </c>
    </row>
    <row r="1416" spans="1:10" x14ac:dyDescent="0.2">
      <c r="A1416" s="1">
        <v>2457</v>
      </c>
      <c r="B1416" s="1">
        <v>0</v>
      </c>
      <c r="C1416" s="1">
        <v>8</v>
      </c>
      <c r="D1416" s="1">
        <v>4</v>
      </c>
      <c r="E1416" s="1">
        <v>1</v>
      </c>
      <c r="F1416" s="1">
        <v>7</v>
      </c>
      <c r="G1416" s="1">
        <v>1</v>
      </c>
      <c r="H1416" s="1">
        <v>1</v>
      </c>
      <c r="I1416" s="1">
        <v>0</v>
      </c>
      <c r="J1416" s="1">
        <v>4</v>
      </c>
    </row>
    <row r="1417" spans="1:10" x14ac:dyDescent="0.2">
      <c r="A1417" s="1">
        <v>1653</v>
      </c>
      <c r="B1417" s="1">
        <v>0</v>
      </c>
      <c r="C1417" s="1">
        <v>16</v>
      </c>
      <c r="D1417" s="1">
        <v>5</v>
      </c>
      <c r="E1417" s="1">
        <v>2</v>
      </c>
      <c r="F1417" s="1">
        <v>7</v>
      </c>
      <c r="G1417" s="1">
        <v>1</v>
      </c>
      <c r="H1417" s="1">
        <v>0</v>
      </c>
      <c r="I1417" s="1">
        <v>0</v>
      </c>
      <c r="J1417" s="1">
        <v>4</v>
      </c>
    </row>
    <row r="1418" spans="1:10" x14ac:dyDescent="0.2">
      <c r="A1418" s="1">
        <v>546</v>
      </c>
      <c r="B1418" s="1">
        <v>0</v>
      </c>
      <c r="C1418" s="1">
        <v>17</v>
      </c>
      <c r="D1418" s="1">
        <v>3</v>
      </c>
      <c r="E1418" s="1">
        <v>2</v>
      </c>
      <c r="F1418" s="1">
        <v>7</v>
      </c>
      <c r="G1418" s="1">
        <v>1</v>
      </c>
      <c r="H1418" s="1">
        <v>0</v>
      </c>
      <c r="I1418" s="1">
        <v>1</v>
      </c>
      <c r="J1418" s="1">
        <v>4</v>
      </c>
    </row>
    <row r="1419" spans="1:10" x14ac:dyDescent="0.2">
      <c r="A1419" s="1">
        <v>1794</v>
      </c>
      <c r="B1419" s="1">
        <v>0</v>
      </c>
      <c r="C1419" s="1">
        <v>10</v>
      </c>
      <c r="D1419" s="1">
        <v>1</v>
      </c>
      <c r="E1419" s="1">
        <v>3</v>
      </c>
      <c r="F1419" s="1">
        <v>7</v>
      </c>
      <c r="G1419" s="1">
        <v>1</v>
      </c>
      <c r="H1419" s="1">
        <v>1</v>
      </c>
      <c r="I1419" s="1">
        <v>1</v>
      </c>
      <c r="J1419" s="1">
        <v>4</v>
      </c>
    </row>
    <row r="1420" spans="1:10" x14ac:dyDescent="0.2">
      <c r="A1420" s="1">
        <v>2490</v>
      </c>
      <c r="B1420" s="1">
        <v>0</v>
      </c>
      <c r="C1420" s="1">
        <v>11</v>
      </c>
      <c r="D1420" s="1">
        <v>5</v>
      </c>
      <c r="E1420" s="1">
        <v>3</v>
      </c>
      <c r="F1420" s="1">
        <v>7</v>
      </c>
      <c r="G1420" s="1">
        <v>1</v>
      </c>
      <c r="H1420" s="1">
        <v>1</v>
      </c>
      <c r="I1420" s="1">
        <v>1</v>
      </c>
      <c r="J1420" s="1">
        <v>4</v>
      </c>
    </row>
    <row r="1421" spans="1:10" x14ac:dyDescent="0.2">
      <c r="A1421" s="1">
        <v>449</v>
      </c>
      <c r="B1421" s="1">
        <v>0</v>
      </c>
      <c r="C1421" s="1">
        <v>15</v>
      </c>
      <c r="D1421" s="1">
        <v>5</v>
      </c>
      <c r="E1421" s="1">
        <v>3</v>
      </c>
      <c r="F1421" s="1">
        <v>7</v>
      </c>
      <c r="G1421" s="1">
        <v>1</v>
      </c>
      <c r="H1421" s="1">
        <v>0</v>
      </c>
      <c r="I1421" s="1">
        <v>1</v>
      </c>
      <c r="J1421" s="1">
        <v>4</v>
      </c>
    </row>
    <row r="1422" spans="1:10" x14ac:dyDescent="0.2">
      <c r="A1422" s="1">
        <v>1665</v>
      </c>
      <c r="B1422" s="1">
        <v>0</v>
      </c>
      <c r="C1422" s="1">
        <v>10</v>
      </c>
      <c r="D1422" s="1">
        <v>4</v>
      </c>
      <c r="E1422" s="1">
        <v>1</v>
      </c>
      <c r="F1422" s="1">
        <v>8</v>
      </c>
      <c r="G1422" s="1">
        <v>1</v>
      </c>
      <c r="H1422" s="1">
        <v>1</v>
      </c>
      <c r="I1422" s="1">
        <v>3</v>
      </c>
      <c r="J1422" s="1">
        <v>4</v>
      </c>
    </row>
    <row r="1423" spans="1:10" x14ac:dyDescent="0.2">
      <c r="A1423" s="1">
        <v>1033</v>
      </c>
      <c r="B1423" s="1">
        <v>0</v>
      </c>
      <c r="C1423" s="1">
        <v>11</v>
      </c>
      <c r="D1423" s="1">
        <v>5</v>
      </c>
      <c r="E1423" s="1">
        <v>1</v>
      </c>
      <c r="F1423" s="1">
        <v>8</v>
      </c>
      <c r="G1423" s="1">
        <v>1</v>
      </c>
      <c r="H1423" s="1">
        <v>1</v>
      </c>
      <c r="I1423" s="1">
        <v>3</v>
      </c>
      <c r="J1423" s="1">
        <v>4</v>
      </c>
    </row>
    <row r="1424" spans="1:10" x14ac:dyDescent="0.2">
      <c r="A1424" s="1">
        <v>575</v>
      </c>
      <c r="B1424" s="1">
        <v>0</v>
      </c>
      <c r="C1424" s="1">
        <v>12</v>
      </c>
      <c r="D1424" s="1">
        <v>1</v>
      </c>
      <c r="E1424" s="1">
        <v>1</v>
      </c>
      <c r="F1424" s="1">
        <v>8</v>
      </c>
      <c r="G1424" s="1">
        <v>1</v>
      </c>
      <c r="H1424" s="1">
        <v>1</v>
      </c>
      <c r="I1424" s="1">
        <v>3</v>
      </c>
      <c r="J1424" s="1">
        <v>4</v>
      </c>
    </row>
    <row r="1425" spans="1:10" x14ac:dyDescent="0.2">
      <c r="A1425" s="1">
        <v>727</v>
      </c>
      <c r="B1425" s="1">
        <v>0</v>
      </c>
      <c r="C1425" s="1">
        <v>8</v>
      </c>
      <c r="D1425" s="1">
        <v>3</v>
      </c>
      <c r="E1425" s="1">
        <v>2</v>
      </c>
      <c r="F1425" s="1">
        <v>8</v>
      </c>
      <c r="G1425" s="1">
        <v>1</v>
      </c>
      <c r="H1425" s="1">
        <v>0</v>
      </c>
      <c r="I1425" s="1">
        <v>0</v>
      </c>
      <c r="J1425" s="1">
        <v>4</v>
      </c>
    </row>
    <row r="1426" spans="1:10" x14ac:dyDescent="0.2">
      <c r="A1426" s="1">
        <v>1175</v>
      </c>
      <c r="B1426" s="1">
        <v>0</v>
      </c>
      <c r="C1426" s="1">
        <v>13</v>
      </c>
      <c r="D1426" s="1">
        <v>5</v>
      </c>
      <c r="E1426" s="1">
        <v>2</v>
      </c>
      <c r="F1426" s="1">
        <v>8</v>
      </c>
      <c r="G1426" s="1">
        <v>1</v>
      </c>
      <c r="H1426" s="1">
        <v>0</v>
      </c>
      <c r="I1426" s="1">
        <v>3</v>
      </c>
      <c r="J1426" s="1">
        <v>4</v>
      </c>
    </row>
    <row r="1427" spans="1:10" x14ac:dyDescent="0.2">
      <c r="A1427" s="1">
        <v>2183</v>
      </c>
      <c r="B1427" s="1">
        <v>0</v>
      </c>
      <c r="C1427" s="1">
        <v>6</v>
      </c>
      <c r="D1427" s="1">
        <v>3</v>
      </c>
      <c r="E1427" s="1">
        <v>3</v>
      </c>
      <c r="F1427" s="1">
        <v>8</v>
      </c>
      <c r="G1427" s="1">
        <v>1</v>
      </c>
      <c r="H1427" s="1">
        <v>1</v>
      </c>
      <c r="I1427" s="1">
        <v>1</v>
      </c>
      <c r="J1427" s="1">
        <v>4</v>
      </c>
    </row>
    <row r="1428" spans="1:10" x14ac:dyDescent="0.2">
      <c r="A1428" s="1">
        <v>814</v>
      </c>
      <c r="B1428" s="1">
        <v>0</v>
      </c>
      <c r="C1428" s="1">
        <v>13</v>
      </c>
      <c r="D1428" s="1">
        <v>3</v>
      </c>
      <c r="E1428" s="1">
        <v>1</v>
      </c>
      <c r="F1428" s="1">
        <v>9</v>
      </c>
      <c r="G1428" s="1">
        <v>1</v>
      </c>
      <c r="H1428" s="1">
        <v>0</v>
      </c>
      <c r="I1428" s="1">
        <v>2</v>
      </c>
      <c r="J1428" s="1">
        <v>4</v>
      </c>
    </row>
    <row r="1429" spans="1:10" x14ac:dyDescent="0.2">
      <c r="A1429" s="1">
        <v>2405</v>
      </c>
      <c r="B1429" s="1">
        <v>0</v>
      </c>
      <c r="C1429" s="1">
        <v>8</v>
      </c>
      <c r="D1429" s="1">
        <v>1</v>
      </c>
      <c r="E1429" s="1">
        <v>2</v>
      </c>
      <c r="F1429" s="1">
        <v>9</v>
      </c>
      <c r="G1429" s="1">
        <v>1</v>
      </c>
      <c r="H1429" s="1">
        <v>1</v>
      </c>
      <c r="I1429" s="1">
        <v>0</v>
      </c>
      <c r="J1429" s="1">
        <v>4</v>
      </c>
    </row>
    <row r="1430" spans="1:10" x14ac:dyDescent="0.2">
      <c r="A1430" s="1">
        <v>1031</v>
      </c>
      <c r="B1430" s="1">
        <v>0</v>
      </c>
      <c r="C1430" s="1">
        <v>12</v>
      </c>
      <c r="D1430" s="1">
        <v>2</v>
      </c>
      <c r="E1430" s="1">
        <v>2</v>
      </c>
      <c r="F1430" s="1">
        <v>9</v>
      </c>
      <c r="G1430" s="1">
        <v>1</v>
      </c>
      <c r="H1430" s="1">
        <v>1</v>
      </c>
      <c r="I1430" s="1">
        <v>1</v>
      </c>
      <c r="J1430" s="1">
        <v>4</v>
      </c>
    </row>
    <row r="1431" spans="1:10" x14ac:dyDescent="0.2">
      <c r="A1431" s="1">
        <v>1189</v>
      </c>
      <c r="B1431" s="1">
        <v>0</v>
      </c>
      <c r="C1431" s="1">
        <v>14</v>
      </c>
      <c r="D1431" s="1">
        <v>5</v>
      </c>
      <c r="E1431" s="1">
        <v>2</v>
      </c>
      <c r="F1431" s="1">
        <v>9</v>
      </c>
      <c r="G1431" s="1">
        <v>1</v>
      </c>
      <c r="H1431" s="1">
        <v>0</v>
      </c>
      <c r="I1431" s="1">
        <v>2</v>
      </c>
      <c r="J1431" s="1">
        <v>4</v>
      </c>
    </row>
    <row r="1432" spans="1:10" x14ac:dyDescent="0.2">
      <c r="A1432" s="1">
        <v>548</v>
      </c>
      <c r="B1432" s="1">
        <v>0</v>
      </c>
      <c r="C1432" s="1">
        <v>16</v>
      </c>
      <c r="D1432" s="1">
        <v>5</v>
      </c>
      <c r="E1432" s="1">
        <v>2</v>
      </c>
      <c r="F1432" s="1">
        <v>9</v>
      </c>
      <c r="G1432" s="1">
        <v>1</v>
      </c>
      <c r="H1432" s="1">
        <v>0</v>
      </c>
      <c r="I1432" s="1">
        <v>0</v>
      </c>
      <c r="J1432" s="1">
        <v>4</v>
      </c>
    </row>
    <row r="1433" spans="1:10" x14ac:dyDescent="0.2">
      <c r="A1433" s="1">
        <v>1576</v>
      </c>
      <c r="B1433" s="1">
        <v>0</v>
      </c>
      <c r="C1433" s="1">
        <v>17</v>
      </c>
      <c r="D1433" s="1">
        <v>4</v>
      </c>
      <c r="E1433" s="1">
        <v>2</v>
      </c>
      <c r="F1433" s="1">
        <v>9</v>
      </c>
      <c r="G1433" s="1">
        <v>1</v>
      </c>
      <c r="H1433" s="1">
        <v>0</v>
      </c>
      <c r="I1433" s="1">
        <v>0</v>
      </c>
      <c r="J1433" s="1">
        <v>4</v>
      </c>
    </row>
    <row r="1434" spans="1:10" x14ac:dyDescent="0.2">
      <c r="A1434" s="1">
        <v>350</v>
      </c>
      <c r="B1434" s="1">
        <v>0</v>
      </c>
      <c r="C1434" s="1">
        <v>14</v>
      </c>
      <c r="D1434" s="1">
        <v>2</v>
      </c>
      <c r="E1434" s="1">
        <v>3</v>
      </c>
      <c r="F1434" s="1">
        <v>9</v>
      </c>
      <c r="G1434" s="1">
        <v>1</v>
      </c>
      <c r="H1434" s="1">
        <v>1</v>
      </c>
      <c r="I1434" s="1">
        <v>1</v>
      </c>
      <c r="J1434" s="1">
        <v>4</v>
      </c>
    </row>
    <row r="1435" spans="1:10" x14ac:dyDescent="0.2">
      <c r="A1435" s="1">
        <v>864</v>
      </c>
      <c r="B1435" s="1">
        <v>0</v>
      </c>
      <c r="C1435" s="1">
        <v>12</v>
      </c>
      <c r="D1435" s="1">
        <v>4</v>
      </c>
      <c r="E1435" s="1">
        <v>1</v>
      </c>
      <c r="F1435" s="1">
        <v>10</v>
      </c>
      <c r="G1435" s="1">
        <v>1</v>
      </c>
      <c r="H1435" s="1">
        <v>1</v>
      </c>
      <c r="I1435" s="1">
        <v>2</v>
      </c>
      <c r="J1435" s="1">
        <v>4</v>
      </c>
    </row>
    <row r="1436" spans="1:10" x14ac:dyDescent="0.2">
      <c r="A1436" s="1">
        <v>2264</v>
      </c>
      <c r="B1436" s="1">
        <v>0</v>
      </c>
      <c r="C1436" s="1">
        <v>12</v>
      </c>
      <c r="D1436" s="1">
        <v>4</v>
      </c>
      <c r="E1436" s="1">
        <v>1</v>
      </c>
      <c r="F1436" s="1">
        <v>10</v>
      </c>
      <c r="G1436" s="1">
        <v>1</v>
      </c>
      <c r="H1436" s="1">
        <v>0</v>
      </c>
      <c r="I1436" s="1">
        <v>2</v>
      </c>
      <c r="J1436" s="1">
        <v>4</v>
      </c>
    </row>
    <row r="1437" spans="1:10" x14ac:dyDescent="0.2">
      <c r="A1437" s="1">
        <v>2322</v>
      </c>
      <c r="B1437" s="1">
        <v>0</v>
      </c>
      <c r="C1437" s="1">
        <v>19</v>
      </c>
      <c r="D1437" s="1">
        <v>2</v>
      </c>
      <c r="E1437" s="1">
        <v>1</v>
      </c>
      <c r="F1437" s="1">
        <v>10</v>
      </c>
      <c r="G1437" s="1">
        <v>1</v>
      </c>
      <c r="H1437" s="1">
        <v>1</v>
      </c>
      <c r="I1437" s="1">
        <v>2</v>
      </c>
      <c r="J1437" s="1">
        <v>4</v>
      </c>
    </row>
    <row r="1438" spans="1:10" x14ac:dyDescent="0.2">
      <c r="A1438" s="1">
        <v>2499</v>
      </c>
      <c r="B1438" s="1">
        <v>0</v>
      </c>
      <c r="C1438" s="1">
        <v>6</v>
      </c>
      <c r="D1438" s="1">
        <v>2</v>
      </c>
      <c r="E1438" s="1">
        <v>2</v>
      </c>
      <c r="F1438" s="1">
        <v>10</v>
      </c>
      <c r="G1438" s="1">
        <v>1</v>
      </c>
      <c r="H1438" s="1">
        <v>1</v>
      </c>
      <c r="I1438" s="1">
        <v>2</v>
      </c>
      <c r="J1438" s="1">
        <v>4</v>
      </c>
    </row>
    <row r="1439" spans="1:10" x14ac:dyDescent="0.2">
      <c r="A1439" s="1">
        <v>2058</v>
      </c>
      <c r="B1439" s="1">
        <v>0</v>
      </c>
      <c r="C1439" s="1">
        <v>8</v>
      </c>
      <c r="D1439" s="1">
        <v>1</v>
      </c>
      <c r="E1439" s="1">
        <v>2</v>
      </c>
      <c r="F1439" s="1">
        <v>10</v>
      </c>
      <c r="G1439" s="1">
        <v>1</v>
      </c>
      <c r="H1439" s="1">
        <v>0</v>
      </c>
      <c r="I1439" s="1">
        <v>3</v>
      </c>
      <c r="J1439" s="1">
        <v>4</v>
      </c>
    </row>
    <row r="1440" spans="1:10" x14ac:dyDescent="0.2">
      <c r="A1440" s="1">
        <v>2257</v>
      </c>
      <c r="B1440" s="1">
        <v>0</v>
      </c>
      <c r="C1440" s="1">
        <v>16</v>
      </c>
      <c r="D1440" s="1">
        <v>1</v>
      </c>
      <c r="E1440" s="1">
        <v>2</v>
      </c>
      <c r="F1440" s="1">
        <v>10</v>
      </c>
      <c r="G1440" s="1">
        <v>1</v>
      </c>
      <c r="H1440" s="1">
        <v>0</v>
      </c>
      <c r="I1440" s="1">
        <v>1</v>
      </c>
      <c r="J1440" s="1">
        <v>4</v>
      </c>
    </row>
    <row r="1441" spans="1:10" x14ac:dyDescent="0.2">
      <c r="A1441" s="1">
        <v>1183</v>
      </c>
      <c r="B1441" s="1">
        <v>0</v>
      </c>
      <c r="C1441" s="1">
        <v>19</v>
      </c>
      <c r="D1441" s="1">
        <v>2</v>
      </c>
      <c r="E1441" s="1">
        <v>2</v>
      </c>
      <c r="F1441" s="1">
        <v>10</v>
      </c>
      <c r="G1441" s="1">
        <v>1</v>
      </c>
      <c r="H1441" s="1">
        <v>0</v>
      </c>
      <c r="I1441" s="1">
        <v>0</v>
      </c>
      <c r="J1441" s="1">
        <v>4</v>
      </c>
    </row>
    <row r="1442" spans="1:10" x14ac:dyDescent="0.2">
      <c r="A1442" s="1">
        <v>915</v>
      </c>
      <c r="B1442" s="1">
        <v>0</v>
      </c>
      <c r="C1442" s="1">
        <v>18</v>
      </c>
      <c r="D1442" s="1">
        <v>1</v>
      </c>
      <c r="E1442" s="1">
        <v>3</v>
      </c>
      <c r="F1442" s="1">
        <v>10</v>
      </c>
      <c r="G1442" s="1">
        <v>1</v>
      </c>
      <c r="H1442" s="1">
        <v>1</v>
      </c>
      <c r="I1442" s="1">
        <v>1</v>
      </c>
      <c r="J1442" s="1">
        <v>4</v>
      </c>
    </row>
    <row r="1443" spans="1:10" x14ac:dyDescent="0.2">
      <c r="A1443" s="1">
        <v>2318</v>
      </c>
      <c r="B1443" s="1">
        <v>0</v>
      </c>
      <c r="C1443" s="1">
        <v>20</v>
      </c>
      <c r="D1443" s="1">
        <v>3</v>
      </c>
      <c r="E1443" s="1">
        <v>3</v>
      </c>
      <c r="F1443" s="1">
        <v>10</v>
      </c>
      <c r="G1443" s="1">
        <v>1</v>
      </c>
      <c r="H1443" s="1">
        <v>0</v>
      </c>
      <c r="I1443" s="1">
        <v>1</v>
      </c>
      <c r="J1443" s="1">
        <v>4</v>
      </c>
    </row>
    <row r="1444" spans="1:10" x14ac:dyDescent="0.2">
      <c r="A1444" s="1">
        <v>234</v>
      </c>
      <c r="B1444" s="1">
        <v>0</v>
      </c>
      <c r="C1444" s="1">
        <v>14</v>
      </c>
      <c r="D1444" s="1">
        <v>5</v>
      </c>
      <c r="E1444" s="1">
        <v>1</v>
      </c>
      <c r="F1444" s="1">
        <v>1</v>
      </c>
      <c r="G1444" s="1">
        <v>2</v>
      </c>
      <c r="H1444" s="1">
        <v>0</v>
      </c>
      <c r="I1444" s="1">
        <v>1</v>
      </c>
      <c r="J1444" s="1">
        <v>4</v>
      </c>
    </row>
    <row r="1445" spans="1:10" x14ac:dyDescent="0.2">
      <c r="A1445" s="1">
        <v>508</v>
      </c>
      <c r="B1445" s="1">
        <v>0</v>
      </c>
      <c r="C1445" s="1">
        <v>20</v>
      </c>
      <c r="D1445" s="1">
        <v>2</v>
      </c>
      <c r="E1445" s="1">
        <v>2</v>
      </c>
      <c r="F1445" s="1">
        <v>1</v>
      </c>
      <c r="G1445" s="1">
        <v>2</v>
      </c>
      <c r="H1445" s="1">
        <v>0</v>
      </c>
      <c r="I1445" s="1">
        <v>2</v>
      </c>
      <c r="J1445" s="1">
        <v>4</v>
      </c>
    </row>
    <row r="1446" spans="1:10" x14ac:dyDescent="0.2">
      <c r="A1446" s="1">
        <v>2206</v>
      </c>
      <c r="B1446" s="1">
        <v>0</v>
      </c>
      <c r="C1446" s="1">
        <v>20</v>
      </c>
      <c r="D1446" s="1">
        <v>5</v>
      </c>
      <c r="E1446" s="1">
        <v>2</v>
      </c>
      <c r="F1446" s="1">
        <v>1</v>
      </c>
      <c r="G1446" s="1">
        <v>2</v>
      </c>
      <c r="H1446" s="1">
        <v>1</v>
      </c>
      <c r="I1446" s="1">
        <v>0</v>
      </c>
      <c r="J1446" s="1">
        <v>4</v>
      </c>
    </row>
    <row r="1447" spans="1:10" x14ac:dyDescent="0.2">
      <c r="A1447" s="1">
        <v>1659</v>
      </c>
      <c r="B1447" s="1">
        <v>0</v>
      </c>
      <c r="C1447" s="1">
        <v>20</v>
      </c>
      <c r="D1447" s="1">
        <v>5</v>
      </c>
      <c r="E1447" s="1">
        <v>3</v>
      </c>
      <c r="F1447" s="1">
        <v>1</v>
      </c>
      <c r="G1447" s="1">
        <v>2</v>
      </c>
      <c r="H1447" s="1">
        <v>1</v>
      </c>
      <c r="I1447" s="1">
        <v>3</v>
      </c>
      <c r="J1447" s="1">
        <v>4</v>
      </c>
    </row>
    <row r="1448" spans="1:10" x14ac:dyDescent="0.2">
      <c r="A1448" s="1">
        <v>880</v>
      </c>
      <c r="B1448" s="1">
        <v>0</v>
      </c>
      <c r="C1448" s="1">
        <v>8</v>
      </c>
      <c r="D1448" s="1">
        <v>3</v>
      </c>
      <c r="E1448" s="1">
        <v>1</v>
      </c>
      <c r="F1448" s="1">
        <v>2</v>
      </c>
      <c r="G1448" s="1">
        <v>2</v>
      </c>
      <c r="H1448" s="1">
        <v>1</v>
      </c>
      <c r="I1448" s="1">
        <v>1</v>
      </c>
      <c r="J1448" s="1">
        <v>4</v>
      </c>
    </row>
    <row r="1449" spans="1:10" x14ac:dyDescent="0.2">
      <c r="A1449" s="1">
        <v>1268</v>
      </c>
      <c r="B1449" s="1">
        <v>0</v>
      </c>
      <c r="C1449" s="1">
        <v>10</v>
      </c>
      <c r="D1449" s="1">
        <v>1</v>
      </c>
      <c r="E1449" s="1">
        <v>1</v>
      </c>
      <c r="F1449" s="1">
        <v>2</v>
      </c>
      <c r="G1449" s="1">
        <v>2</v>
      </c>
      <c r="H1449" s="1">
        <v>0</v>
      </c>
      <c r="I1449" s="1">
        <v>0</v>
      </c>
      <c r="J1449" s="1">
        <v>4</v>
      </c>
    </row>
    <row r="1450" spans="1:10" x14ac:dyDescent="0.2">
      <c r="A1450" s="1">
        <v>116</v>
      </c>
      <c r="B1450" s="1">
        <v>0</v>
      </c>
      <c r="C1450" s="1">
        <v>12</v>
      </c>
      <c r="D1450" s="1">
        <v>4</v>
      </c>
      <c r="E1450" s="1">
        <v>1</v>
      </c>
      <c r="F1450" s="1">
        <v>2</v>
      </c>
      <c r="G1450" s="1">
        <v>2</v>
      </c>
      <c r="H1450" s="1">
        <v>1</v>
      </c>
      <c r="I1450" s="1">
        <v>0</v>
      </c>
      <c r="J1450" s="1">
        <v>4</v>
      </c>
    </row>
    <row r="1451" spans="1:10" x14ac:dyDescent="0.2">
      <c r="A1451" s="1">
        <v>1977</v>
      </c>
      <c r="B1451" s="1">
        <v>0</v>
      </c>
      <c r="C1451" s="1">
        <v>11</v>
      </c>
      <c r="D1451" s="1">
        <v>4</v>
      </c>
      <c r="E1451" s="1">
        <v>2</v>
      </c>
      <c r="F1451" s="1">
        <v>2</v>
      </c>
      <c r="G1451" s="1">
        <v>2</v>
      </c>
      <c r="H1451" s="1">
        <v>1</v>
      </c>
      <c r="I1451" s="1">
        <v>1</v>
      </c>
      <c r="J1451" s="1">
        <v>4</v>
      </c>
    </row>
    <row r="1452" spans="1:10" x14ac:dyDescent="0.2">
      <c r="A1452" s="1">
        <v>591</v>
      </c>
      <c r="B1452" s="1">
        <v>0</v>
      </c>
      <c r="C1452" s="1">
        <v>16</v>
      </c>
      <c r="D1452" s="1">
        <v>1</v>
      </c>
      <c r="E1452" s="1">
        <v>2</v>
      </c>
      <c r="F1452" s="1">
        <v>2</v>
      </c>
      <c r="G1452" s="1">
        <v>2</v>
      </c>
      <c r="H1452" s="1">
        <v>1</v>
      </c>
      <c r="I1452" s="1">
        <v>0</v>
      </c>
      <c r="J1452" s="1">
        <v>4</v>
      </c>
    </row>
    <row r="1453" spans="1:10" x14ac:dyDescent="0.2">
      <c r="A1453" s="1">
        <v>1678</v>
      </c>
      <c r="B1453" s="1">
        <v>0</v>
      </c>
      <c r="C1453" s="1">
        <v>7</v>
      </c>
      <c r="D1453" s="1">
        <v>3</v>
      </c>
      <c r="E1453" s="1">
        <v>3</v>
      </c>
      <c r="F1453" s="1">
        <v>2</v>
      </c>
      <c r="G1453" s="1">
        <v>2</v>
      </c>
      <c r="H1453" s="1">
        <v>0</v>
      </c>
      <c r="I1453" s="1">
        <v>1</v>
      </c>
      <c r="J1453" s="1">
        <v>4</v>
      </c>
    </row>
    <row r="1454" spans="1:10" x14ac:dyDescent="0.2">
      <c r="A1454" s="1">
        <v>692</v>
      </c>
      <c r="B1454" s="1">
        <v>0</v>
      </c>
      <c r="C1454" s="1">
        <v>7</v>
      </c>
      <c r="D1454" s="1">
        <v>4</v>
      </c>
      <c r="E1454" s="1">
        <v>1</v>
      </c>
      <c r="F1454" s="1">
        <v>3</v>
      </c>
      <c r="G1454" s="1">
        <v>2</v>
      </c>
      <c r="H1454" s="1">
        <v>1</v>
      </c>
      <c r="I1454" s="1">
        <v>1</v>
      </c>
      <c r="J1454" s="1">
        <v>4</v>
      </c>
    </row>
    <row r="1455" spans="1:10" x14ac:dyDescent="0.2">
      <c r="A1455" s="1">
        <v>2468</v>
      </c>
      <c r="B1455" s="1">
        <v>0</v>
      </c>
      <c r="C1455" s="1">
        <v>13</v>
      </c>
      <c r="D1455" s="1">
        <v>5</v>
      </c>
      <c r="E1455" s="1">
        <v>3</v>
      </c>
      <c r="F1455" s="1">
        <v>3</v>
      </c>
      <c r="G1455" s="1">
        <v>2</v>
      </c>
      <c r="H1455" s="1">
        <v>1</v>
      </c>
      <c r="I1455" s="1">
        <v>0</v>
      </c>
      <c r="J1455" s="1">
        <v>4</v>
      </c>
    </row>
    <row r="1456" spans="1:10" x14ac:dyDescent="0.2">
      <c r="A1456" s="1">
        <v>759</v>
      </c>
      <c r="B1456" s="1">
        <v>0</v>
      </c>
      <c r="C1456" s="1">
        <v>8</v>
      </c>
      <c r="D1456" s="1">
        <v>5</v>
      </c>
      <c r="E1456" s="1">
        <v>3</v>
      </c>
      <c r="F1456" s="1">
        <v>4</v>
      </c>
      <c r="G1456" s="1">
        <v>2</v>
      </c>
      <c r="H1456" s="1">
        <v>0</v>
      </c>
      <c r="I1456" s="1">
        <v>1</v>
      </c>
      <c r="J1456" s="1">
        <v>4</v>
      </c>
    </row>
    <row r="1457" spans="1:10" x14ac:dyDescent="0.2">
      <c r="A1457" s="1">
        <v>2424</v>
      </c>
      <c r="B1457" s="1">
        <v>0</v>
      </c>
      <c r="C1457" s="1">
        <v>9</v>
      </c>
      <c r="D1457" s="1">
        <v>5</v>
      </c>
      <c r="E1457" s="1">
        <v>3</v>
      </c>
      <c r="F1457" s="1">
        <v>4</v>
      </c>
      <c r="G1457" s="1">
        <v>2</v>
      </c>
      <c r="H1457" s="1">
        <v>1</v>
      </c>
      <c r="I1457" s="1">
        <v>0</v>
      </c>
      <c r="J1457" s="1">
        <v>4</v>
      </c>
    </row>
    <row r="1458" spans="1:10" x14ac:dyDescent="0.2">
      <c r="A1458" s="1">
        <v>2086</v>
      </c>
      <c r="B1458" s="1">
        <v>0</v>
      </c>
      <c r="C1458" s="1">
        <v>12</v>
      </c>
      <c r="D1458" s="1">
        <v>1</v>
      </c>
      <c r="E1458" s="1">
        <v>3</v>
      </c>
      <c r="F1458" s="1">
        <v>4</v>
      </c>
      <c r="G1458" s="1">
        <v>2</v>
      </c>
      <c r="H1458" s="1">
        <v>0</v>
      </c>
      <c r="I1458" s="1">
        <v>2</v>
      </c>
      <c r="J1458" s="1">
        <v>4</v>
      </c>
    </row>
    <row r="1459" spans="1:10" x14ac:dyDescent="0.2">
      <c r="A1459" s="1">
        <v>761</v>
      </c>
      <c r="B1459" s="1">
        <v>0</v>
      </c>
      <c r="C1459" s="1">
        <v>20</v>
      </c>
      <c r="D1459" s="1">
        <v>3</v>
      </c>
      <c r="E1459" s="1">
        <v>3</v>
      </c>
      <c r="F1459" s="1">
        <v>4</v>
      </c>
      <c r="G1459" s="1">
        <v>2</v>
      </c>
      <c r="H1459" s="1">
        <v>1</v>
      </c>
      <c r="I1459" s="1">
        <v>1</v>
      </c>
      <c r="J1459" s="1">
        <v>4</v>
      </c>
    </row>
    <row r="1460" spans="1:10" x14ac:dyDescent="0.2">
      <c r="A1460" s="1">
        <v>1131</v>
      </c>
      <c r="B1460" s="1">
        <v>0</v>
      </c>
      <c r="C1460" s="1">
        <v>6</v>
      </c>
      <c r="D1460" s="1">
        <v>3</v>
      </c>
      <c r="E1460" s="1">
        <v>2</v>
      </c>
      <c r="F1460" s="1">
        <v>5</v>
      </c>
      <c r="G1460" s="1">
        <v>2</v>
      </c>
      <c r="H1460" s="1">
        <v>0</v>
      </c>
      <c r="I1460" s="1">
        <v>3</v>
      </c>
      <c r="J1460" s="1">
        <v>4</v>
      </c>
    </row>
    <row r="1461" spans="1:10" x14ac:dyDescent="0.2">
      <c r="A1461" s="1">
        <v>199</v>
      </c>
      <c r="B1461" s="1">
        <v>0</v>
      </c>
      <c r="C1461" s="1">
        <v>16</v>
      </c>
      <c r="D1461" s="1">
        <v>5</v>
      </c>
      <c r="E1461" s="1">
        <v>3</v>
      </c>
      <c r="F1461" s="1">
        <v>5</v>
      </c>
      <c r="G1461" s="1">
        <v>2</v>
      </c>
      <c r="H1461" s="1">
        <v>1</v>
      </c>
      <c r="I1461" s="1">
        <v>0</v>
      </c>
      <c r="J1461" s="1">
        <v>4</v>
      </c>
    </row>
    <row r="1462" spans="1:10" x14ac:dyDescent="0.2">
      <c r="A1462" s="1">
        <v>1740</v>
      </c>
      <c r="B1462" s="1">
        <v>0</v>
      </c>
      <c r="C1462" s="1">
        <v>18</v>
      </c>
      <c r="D1462" s="1">
        <v>4</v>
      </c>
      <c r="E1462" s="1">
        <v>3</v>
      </c>
      <c r="F1462" s="1">
        <v>5</v>
      </c>
      <c r="G1462" s="1">
        <v>2</v>
      </c>
      <c r="H1462" s="1">
        <v>0</v>
      </c>
      <c r="I1462" s="1">
        <v>1</v>
      </c>
      <c r="J1462" s="1">
        <v>4</v>
      </c>
    </row>
    <row r="1463" spans="1:10" x14ac:dyDescent="0.2">
      <c r="A1463" s="1">
        <v>881</v>
      </c>
      <c r="B1463" s="1">
        <v>0</v>
      </c>
      <c r="C1463" s="1">
        <v>8</v>
      </c>
      <c r="D1463" s="1">
        <v>1</v>
      </c>
      <c r="E1463" s="1">
        <v>1</v>
      </c>
      <c r="F1463" s="1">
        <v>6</v>
      </c>
      <c r="G1463" s="1">
        <v>2</v>
      </c>
      <c r="H1463" s="1">
        <v>1</v>
      </c>
      <c r="I1463" s="1">
        <v>0</v>
      </c>
      <c r="J1463" s="1">
        <v>4</v>
      </c>
    </row>
    <row r="1464" spans="1:10" x14ac:dyDescent="0.2">
      <c r="A1464" s="1">
        <v>1059</v>
      </c>
      <c r="B1464" s="1">
        <v>0</v>
      </c>
      <c r="C1464" s="1">
        <v>9</v>
      </c>
      <c r="D1464" s="1">
        <v>5</v>
      </c>
      <c r="E1464" s="1">
        <v>3</v>
      </c>
      <c r="F1464" s="1">
        <v>6</v>
      </c>
      <c r="G1464" s="1">
        <v>2</v>
      </c>
      <c r="H1464" s="1">
        <v>0</v>
      </c>
      <c r="I1464" s="1">
        <v>3</v>
      </c>
      <c r="J1464" s="1">
        <v>4</v>
      </c>
    </row>
    <row r="1465" spans="1:10" x14ac:dyDescent="0.2">
      <c r="A1465" s="1">
        <v>327</v>
      </c>
      <c r="B1465" s="1">
        <v>0</v>
      </c>
      <c r="C1465" s="1">
        <v>11</v>
      </c>
      <c r="D1465" s="1">
        <v>5</v>
      </c>
      <c r="E1465" s="1">
        <v>1</v>
      </c>
      <c r="F1465" s="1">
        <v>7</v>
      </c>
      <c r="G1465" s="1">
        <v>2</v>
      </c>
      <c r="H1465" s="1">
        <v>1</v>
      </c>
      <c r="I1465" s="1">
        <v>2</v>
      </c>
      <c r="J1465" s="1">
        <v>4</v>
      </c>
    </row>
    <row r="1466" spans="1:10" x14ac:dyDescent="0.2">
      <c r="A1466" s="1">
        <v>132</v>
      </c>
      <c r="B1466" s="1">
        <v>0</v>
      </c>
      <c r="C1466" s="1">
        <v>18</v>
      </c>
      <c r="D1466" s="1">
        <v>5</v>
      </c>
      <c r="E1466" s="1">
        <v>1</v>
      </c>
      <c r="F1466" s="1">
        <v>7</v>
      </c>
      <c r="G1466" s="1">
        <v>2</v>
      </c>
      <c r="H1466" s="1">
        <v>1</v>
      </c>
      <c r="I1466" s="1">
        <v>0</v>
      </c>
      <c r="J1466" s="1">
        <v>4</v>
      </c>
    </row>
    <row r="1467" spans="1:10" x14ac:dyDescent="0.2">
      <c r="A1467" s="1">
        <v>1152</v>
      </c>
      <c r="B1467" s="1">
        <v>0</v>
      </c>
      <c r="C1467" s="1">
        <v>18</v>
      </c>
      <c r="D1467" s="1">
        <v>5</v>
      </c>
      <c r="E1467" s="1">
        <v>1</v>
      </c>
      <c r="F1467" s="1">
        <v>7</v>
      </c>
      <c r="G1467" s="1">
        <v>2</v>
      </c>
      <c r="H1467" s="1">
        <v>1</v>
      </c>
      <c r="I1467" s="1">
        <v>0</v>
      </c>
      <c r="J1467" s="1">
        <v>4</v>
      </c>
    </row>
    <row r="1468" spans="1:10" x14ac:dyDescent="0.2">
      <c r="A1468" s="1">
        <v>2326</v>
      </c>
      <c r="B1468" s="1">
        <v>0</v>
      </c>
      <c r="C1468" s="1">
        <v>18</v>
      </c>
      <c r="D1468" s="1">
        <v>2</v>
      </c>
      <c r="E1468" s="1">
        <v>1</v>
      </c>
      <c r="F1468" s="1">
        <v>7</v>
      </c>
      <c r="G1468" s="1">
        <v>2</v>
      </c>
      <c r="H1468" s="1">
        <v>0</v>
      </c>
      <c r="I1468" s="1">
        <v>3</v>
      </c>
      <c r="J1468" s="1">
        <v>4</v>
      </c>
    </row>
    <row r="1469" spans="1:10" x14ac:dyDescent="0.2">
      <c r="A1469" s="1">
        <v>159</v>
      </c>
      <c r="B1469" s="1">
        <v>0</v>
      </c>
      <c r="C1469" s="1">
        <v>6</v>
      </c>
      <c r="D1469" s="1">
        <v>1</v>
      </c>
      <c r="E1469" s="1">
        <v>2</v>
      </c>
      <c r="F1469" s="1">
        <v>7</v>
      </c>
      <c r="G1469" s="1">
        <v>2</v>
      </c>
      <c r="H1469" s="1">
        <v>0</v>
      </c>
      <c r="I1469" s="1">
        <v>3</v>
      </c>
      <c r="J1469" s="1">
        <v>4</v>
      </c>
    </row>
    <row r="1470" spans="1:10" x14ac:dyDescent="0.2">
      <c r="A1470" s="1">
        <v>1718</v>
      </c>
      <c r="B1470" s="1">
        <v>0</v>
      </c>
      <c r="C1470" s="1">
        <v>9</v>
      </c>
      <c r="D1470" s="1">
        <v>2</v>
      </c>
      <c r="E1470" s="1">
        <v>2</v>
      </c>
      <c r="F1470" s="1">
        <v>7</v>
      </c>
      <c r="G1470" s="1">
        <v>2</v>
      </c>
      <c r="H1470" s="1">
        <v>0</v>
      </c>
      <c r="I1470" s="1">
        <v>3</v>
      </c>
      <c r="J1470" s="1">
        <v>4</v>
      </c>
    </row>
    <row r="1471" spans="1:10" x14ac:dyDescent="0.2">
      <c r="A1471" s="1">
        <v>2090</v>
      </c>
      <c r="B1471" s="1">
        <v>0</v>
      </c>
      <c r="C1471" s="1">
        <v>17</v>
      </c>
      <c r="D1471" s="1">
        <v>2</v>
      </c>
      <c r="E1471" s="1">
        <v>3</v>
      </c>
      <c r="F1471" s="1">
        <v>7</v>
      </c>
      <c r="G1471" s="1">
        <v>2</v>
      </c>
      <c r="H1471" s="1">
        <v>0</v>
      </c>
      <c r="I1471" s="1">
        <v>3</v>
      </c>
      <c r="J1471" s="1">
        <v>4</v>
      </c>
    </row>
    <row r="1472" spans="1:10" x14ac:dyDescent="0.2">
      <c r="A1472" s="1">
        <v>218</v>
      </c>
      <c r="B1472" s="1">
        <v>0</v>
      </c>
      <c r="C1472" s="1">
        <v>18</v>
      </c>
      <c r="D1472" s="1">
        <v>3</v>
      </c>
      <c r="E1472" s="1">
        <v>3</v>
      </c>
      <c r="F1472" s="1">
        <v>7</v>
      </c>
      <c r="G1472" s="1">
        <v>2</v>
      </c>
      <c r="H1472" s="1">
        <v>0</v>
      </c>
      <c r="I1472" s="1">
        <v>3</v>
      </c>
      <c r="J1472" s="1">
        <v>4</v>
      </c>
    </row>
    <row r="1473" spans="1:10" x14ac:dyDescent="0.2">
      <c r="A1473" s="1">
        <v>1313</v>
      </c>
      <c r="B1473" s="1">
        <v>0</v>
      </c>
      <c r="C1473" s="1">
        <v>10</v>
      </c>
      <c r="D1473" s="1">
        <v>3</v>
      </c>
      <c r="E1473" s="1">
        <v>1</v>
      </c>
      <c r="F1473" s="1">
        <v>8</v>
      </c>
      <c r="G1473" s="1">
        <v>2</v>
      </c>
      <c r="H1473" s="1">
        <v>0</v>
      </c>
      <c r="I1473" s="1">
        <v>3</v>
      </c>
      <c r="J1473" s="1">
        <v>4</v>
      </c>
    </row>
    <row r="1474" spans="1:10" x14ac:dyDescent="0.2">
      <c r="A1474" s="1">
        <v>1727</v>
      </c>
      <c r="B1474" s="1">
        <v>0</v>
      </c>
      <c r="C1474" s="1">
        <v>16</v>
      </c>
      <c r="D1474" s="1">
        <v>4</v>
      </c>
      <c r="E1474" s="1">
        <v>1</v>
      </c>
      <c r="F1474" s="1">
        <v>8</v>
      </c>
      <c r="G1474" s="1">
        <v>2</v>
      </c>
      <c r="H1474" s="1">
        <v>1</v>
      </c>
      <c r="I1474" s="1">
        <v>1</v>
      </c>
      <c r="J1474" s="1">
        <v>4</v>
      </c>
    </row>
    <row r="1475" spans="1:10" x14ac:dyDescent="0.2">
      <c r="A1475" s="1">
        <v>267</v>
      </c>
      <c r="B1475" s="1">
        <v>0</v>
      </c>
      <c r="C1475" s="1">
        <v>6</v>
      </c>
      <c r="D1475" s="1">
        <v>1</v>
      </c>
      <c r="E1475" s="1">
        <v>2</v>
      </c>
      <c r="F1475" s="1">
        <v>8</v>
      </c>
      <c r="G1475" s="1">
        <v>2</v>
      </c>
      <c r="H1475" s="1">
        <v>1</v>
      </c>
      <c r="I1475" s="1">
        <v>3</v>
      </c>
      <c r="J1475" s="1">
        <v>4</v>
      </c>
    </row>
    <row r="1476" spans="1:10" x14ac:dyDescent="0.2">
      <c r="A1476" s="1">
        <v>1540</v>
      </c>
      <c r="B1476" s="1">
        <v>0</v>
      </c>
      <c r="C1476" s="1">
        <v>11</v>
      </c>
      <c r="D1476" s="1">
        <v>4</v>
      </c>
      <c r="E1476" s="1">
        <v>3</v>
      </c>
      <c r="F1476" s="1">
        <v>8</v>
      </c>
      <c r="G1476" s="1">
        <v>2</v>
      </c>
      <c r="H1476" s="1">
        <v>1</v>
      </c>
      <c r="I1476" s="1">
        <v>1</v>
      </c>
      <c r="J1476" s="1">
        <v>4</v>
      </c>
    </row>
    <row r="1477" spans="1:10" x14ac:dyDescent="0.2">
      <c r="A1477" s="1">
        <v>2453</v>
      </c>
      <c r="B1477" s="1">
        <v>0</v>
      </c>
      <c r="C1477" s="1">
        <v>5</v>
      </c>
      <c r="D1477" s="1">
        <v>2</v>
      </c>
      <c r="E1477" s="1">
        <v>1</v>
      </c>
      <c r="F1477" s="1">
        <v>9</v>
      </c>
      <c r="G1477" s="1">
        <v>2</v>
      </c>
      <c r="H1477" s="1">
        <v>1</v>
      </c>
      <c r="I1477" s="1">
        <v>1</v>
      </c>
      <c r="J1477" s="1">
        <v>4</v>
      </c>
    </row>
    <row r="1478" spans="1:10" x14ac:dyDescent="0.2">
      <c r="A1478" s="1">
        <v>1919</v>
      </c>
      <c r="B1478" s="1">
        <v>0</v>
      </c>
      <c r="C1478" s="1">
        <v>5</v>
      </c>
      <c r="D1478" s="1">
        <v>4</v>
      </c>
      <c r="E1478" s="1">
        <v>2</v>
      </c>
      <c r="F1478" s="1">
        <v>9</v>
      </c>
      <c r="G1478" s="1">
        <v>2</v>
      </c>
      <c r="H1478" s="1">
        <v>0</v>
      </c>
      <c r="I1478" s="1">
        <v>2</v>
      </c>
      <c r="J1478" s="1">
        <v>4</v>
      </c>
    </row>
    <row r="1479" spans="1:10" x14ac:dyDescent="0.2">
      <c r="A1479" s="1">
        <v>1445</v>
      </c>
      <c r="B1479" s="1">
        <v>0</v>
      </c>
      <c r="C1479" s="1">
        <v>7</v>
      </c>
      <c r="D1479" s="1">
        <v>5</v>
      </c>
      <c r="E1479" s="1">
        <v>2</v>
      </c>
      <c r="F1479" s="1">
        <v>9</v>
      </c>
      <c r="G1479" s="1">
        <v>2</v>
      </c>
      <c r="H1479" s="1">
        <v>0</v>
      </c>
      <c r="I1479" s="1">
        <v>3</v>
      </c>
      <c r="J1479" s="1">
        <v>4</v>
      </c>
    </row>
    <row r="1480" spans="1:10" x14ac:dyDescent="0.2">
      <c r="A1480" s="1">
        <v>1311</v>
      </c>
      <c r="B1480" s="1">
        <v>0</v>
      </c>
      <c r="C1480" s="1">
        <v>6</v>
      </c>
      <c r="D1480" s="1">
        <v>2</v>
      </c>
      <c r="E1480" s="1">
        <v>3</v>
      </c>
      <c r="F1480" s="1">
        <v>9</v>
      </c>
      <c r="G1480" s="1">
        <v>2</v>
      </c>
      <c r="H1480" s="1">
        <v>1</v>
      </c>
      <c r="I1480" s="1">
        <v>2</v>
      </c>
      <c r="J1480" s="1">
        <v>4</v>
      </c>
    </row>
    <row r="1481" spans="1:10" x14ac:dyDescent="0.2">
      <c r="A1481" s="1">
        <v>1174</v>
      </c>
      <c r="B1481" s="1">
        <v>0</v>
      </c>
      <c r="C1481" s="1">
        <v>7</v>
      </c>
      <c r="D1481" s="1">
        <v>3</v>
      </c>
      <c r="E1481" s="1">
        <v>3</v>
      </c>
      <c r="F1481" s="1">
        <v>9</v>
      </c>
      <c r="G1481" s="1">
        <v>2</v>
      </c>
      <c r="H1481" s="1">
        <v>0</v>
      </c>
      <c r="I1481" s="1">
        <v>2</v>
      </c>
      <c r="J1481" s="1">
        <v>4</v>
      </c>
    </row>
    <row r="1482" spans="1:10" x14ac:dyDescent="0.2">
      <c r="A1482" s="1">
        <v>2370</v>
      </c>
      <c r="B1482" s="1">
        <v>0</v>
      </c>
      <c r="C1482" s="1">
        <v>8</v>
      </c>
      <c r="D1482" s="1">
        <v>1</v>
      </c>
      <c r="E1482" s="1">
        <v>2</v>
      </c>
      <c r="F1482" s="1">
        <v>10</v>
      </c>
      <c r="G1482" s="1">
        <v>2</v>
      </c>
      <c r="H1482" s="1">
        <v>1</v>
      </c>
      <c r="I1482" s="1">
        <v>2</v>
      </c>
      <c r="J1482" s="1">
        <v>4</v>
      </c>
    </row>
    <row r="1483" spans="1:10" x14ac:dyDescent="0.2">
      <c r="A1483" s="1">
        <v>277</v>
      </c>
      <c r="B1483" s="1">
        <v>0</v>
      </c>
      <c r="C1483" s="1">
        <v>18</v>
      </c>
      <c r="D1483" s="1">
        <v>4</v>
      </c>
      <c r="E1483" s="1">
        <v>1</v>
      </c>
      <c r="F1483" s="1">
        <v>1</v>
      </c>
      <c r="G1483" s="1">
        <v>3</v>
      </c>
      <c r="H1483" s="1">
        <v>0</v>
      </c>
      <c r="I1483" s="1">
        <v>2</v>
      </c>
      <c r="J1483" s="1">
        <v>4</v>
      </c>
    </row>
    <row r="1484" spans="1:10" x14ac:dyDescent="0.2">
      <c r="A1484" s="1">
        <v>2120</v>
      </c>
      <c r="B1484" s="1">
        <v>0</v>
      </c>
      <c r="C1484" s="1">
        <v>8</v>
      </c>
      <c r="D1484" s="1">
        <v>5</v>
      </c>
      <c r="E1484" s="1">
        <v>3</v>
      </c>
      <c r="F1484" s="1">
        <v>1</v>
      </c>
      <c r="G1484" s="1">
        <v>3</v>
      </c>
      <c r="H1484" s="1">
        <v>1</v>
      </c>
      <c r="I1484" s="1">
        <v>3</v>
      </c>
      <c r="J1484" s="1">
        <v>4</v>
      </c>
    </row>
    <row r="1485" spans="1:10" x14ac:dyDescent="0.2">
      <c r="A1485" s="1">
        <v>2237</v>
      </c>
      <c r="B1485" s="1">
        <v>0</v>
      </c>
      <c r="C1485" s="1">
        <v>16</v>
      </c>
      <c r="D1485" s="1">
        <v>1</v>
      </c>
      <c r="E1485" s="1">
        <v>3</v>
      </c>
      <c r="F1485" s="1">
        <v>1</v>
      </c>
      <c r="G1485" s="1">
        <v>3</v>
      </c>
      <c r="H1485" s="1">
        <v>0</v>
      </c>
      <c r="I1485" s="1">
        <v>0</v>
      </c>
      <c r="J1485" s="1">
        <v>4</v>
      </c>
    </row>
    <row r="1486" spans="1:10" x14ac:dyDescent="0.2">
      <c r="A1486" s="1">
        <v>389</v>
      </c>
      <c r="B1486" s="1">
        <v>0</v>
      </c>
      <c r="C1486" s="1">
        <v>20</v>
      </c>
      <c r="D1486" s="1">
        <v>3</v>
      </c>
      <c r="E1486" s="1">
        <v>3</v>
      </c>
      <c r="F1486" s="1">
        <v>1</v>
      </c>
      <c r="G1486" s="1">
        <v>3</v>
      </c>
      <c r="H1486" s="1">
        <v>0</v>
      </c>
      <c r="I1486" s="1">
        <v>1</v>
      </c>
      <c r="J1486" s="1">
        <v>4</v>
      </c>
    </row>
    <row r="1487" spans="1:10" x14ac:dyDescent="0.2">
      <c r="A1487" s="1">
        <v>2132</v>
      </c>
      <c r="B1487" s="1">
        <v>0</v>
      </c>
      <c r="C1487" s="1">
        <v>5</v>
      </c>
      <c r="D1487" s="1">
        <v>3</v>
      </c>
      <c r="E1487" s="1">
        <v>1</v>
      </c>
      <c r="F1487" s="1">
        <v>2</v>
      </c>
      <c r="G1487" s="1">
        <v>3</v>
      </c>
      <c r="H1487" s="1">
        <v>0</v>
      </c>
      <c r="I1487" s="1">
        <v>2</v>
      </c>
      <c r="J1487" s="1">
        <v>4</v>
      </c>
    </row>
    <row r="1488" spans="1:10" x14ac:dyDescent="0.2">
      <c r="A1488" s="1">
        <v>738</v>
      </c>
      <c r="B1488" s="1">
        <v>0</v>
      </c>
      <c r="C1488" s="1">
        <v>8</v>
      </c>
      <c r="D1488" s="1">
        <v>2</v>
      </c>
      <c r="E1488" s="1">
        <v>1</v>
      </c>
      <c r="F1488" s="1">
        <v>2</v>
      </c>
      <c r="G1488" s="1">
        <v>3</v>
      </c>
      <c r="H1488" s="1">
        <v>0</v>
      </c>
      <c r="I1488" s="1">
        <v>2</v>
      </c>
      <c r="J1488" s="1">
        <v>4</v>
      </c>
    </row>
    <row r="1489" spans="1:10" x14ac:dyDescent="0.2">
      <c r="A1489" s="1">
        <v>382</v>
      </c>
      <c r="B1489" s="1">
        <v>0</v>
      </c>
      <c r="C1489" s="1">
        <v>6</v>
      </c>
      <c r="D1489" s="1">
        <v>5</v>
      </c>
      <c r="E1489" s="1">
        <v>2</v>
      </c>
      <c r="F1489" s="1">
        <v>2</v>
      </c>
      <c r="G1489" s="1">
        <v>3</v>
      </c>
      <c r="H1489" s="1">
        <v>0</v>
      </c>
      <c r="I1489" s="1">
        <v>0</v>
      </c>
      <c r="J1489" s="1">
        <v>4</v>
      </c>
    </row>
    <row r="1490" spans="1:10" x14ac:dyDescent="0.2">
      <c r="A1490" s="1">
        <v>1825</v>
      </c>
      <c r="B1490" s="1">
        <v>0</v>
      </c>
      <c r="C1490" s="1">
        <v>9</v>
      </c>
      <c r="D1490" s="1">
        <v>1</v>
      </c>
      <c r="E1490" s="1">
        <v>2</v>
      </c>
      <c r="F1490" s="1">
        <v>2</v>
      </c>
      <c r="G1490" s="1">
        <v>3</v>
      </c>
      <c r="H1490" s="1">
        <v>1</v>
      </c>
      <c r="I1490" s="1">
        <v>0</v>
      </c>
      <c r="J1490" s="1">
        <v>4</v>
      </c>
    </row>
    <row r="1491" spans="1:10" x14ac:dyDescent="0.2">
      <c r="A1491" s="1">
        <v>622</v>
      </c>
      <c r="B1491" s="1">
        <v>0</v>
      </c>
      <c r="C1491" s="1">
        <v>18</v>
      </c>
      <c r="D1491" s="1">
        <v>2</v>
      </c>
      <c r="E1491" s="1">
        <v>2</v>
      </c>
      <c r="F1491" s="1">
        <v>2</v>
      </c>
      <c r="G1491" s="1">
        <v>3</v>
      </c>
      <c r="H1491" s="1">
        <v>0</v>
      </c>
      <c r="I1491" s="1">
        <v>3</v>
      </c>
      <c r="J1491" s="1">
        <v>4</v>
      </c>
    </row>
    <row r="1492" spans="1:10" x14ac:dyDescent="0.2">
      <c r="A1492" s="1">
        <v>740</v>
      </c>
      <c r="B1492" s="1">
        <v>0</v>
      </c>
      <c r="C1492" s="1">
        <v>8</v>
      </c>
      <c r="D1492" s="1">
        <v>1</v>
      </c>
      <c r="E1492" s="1">
        <v>3</v>
      </c>
      <c r="F1492" s="1">
        <v>2</v>
      </c>
      <c r="G1492" s="1">
        <v>3</v>
      </c>
      <c r="H1492" s="1">
        <v>0</v>
      </c>
      <c r="I1492" s="1">
        <v>2</v>
      </c>
      <c r="J1492" s="1">
        <v>4</v>
      </c>
    </row>
    <row r="1493" spans="1:10" x14ac:dyDescent="0.2">
      <c r="A1493" s="1">
        <v>1575</v>
      </c>
      <c r="B1493" s="1">
        <v>0</v>
      </c>
      <c r="C1493" s="1">
        <v>14</v>
      </c>
      <c r="D1493" s="1">
        <v>1</v>
      </c>
      <c r="E1493" s="1">
        <v>1</v>
      </c>
      <c r="F1493" s="1">
        <v>3</v>
      </c>
      <c r="G1493" s="1">
        <v>3</v>
      </c>
      <c r="H1493" s="1">
        <v>1</v>
      </c>
      <c r="I1493" s="1">
        <v>0</v>
      </c>
      <c r="J1493" s="1">
        <v>4</v>
      </c>
    </row>
    <row r="1494" spans="1:10" x14ac:dyDescent="0.2">
      <c r="A1494" s="1">
        <v>2009</v>
      </c>
      <c r="B1494" s="1">
        <v>0</v>
      </c>
      <c r="C1494" s="1">
        <v>18</v>
      </c>
      <c r="D1494" s="1">
        <v>2</v>
      </c>
      <c r="E1494" s="1">
        <v>1</v>
      </c>
      <c r="F1494" s="1">
        <v>3</v>
      </c>
      <c r="G1494" s="1">
        <v>3</v>
      </c>
      <c r="H1494" s="1">
        <v>1</v>
      </c>
      <c r="I1494" s="1">
        <v>2</v>
      </c>
      <c r="J1494" s="1">
        <v>4</v>
      </c>
    </row>
    <row r="1495" spans="1:10" x14ac:dyDescent="0.2">
      <c r="A1495" s="1">
        <v>2157</v>
      </c>
      <c r="B1495" s="1">
        <v>0</v>
      </c>
      <c r="C1495" s="1">
        <v>5</v>
      </c>
      <c r="D1495" s="1">
        <v>3</v>
      </c>
      <c r="E1495" s="1">
        <v>2</v>
      </c>
      <c r="F1495" s="1">
        <v>3</v>
      </c>
      <c r="G1495" s="1">
        <v>3</v>
      </c>
      <c r="H1495" s="1">
        <v>0</v>
      </c>
      <c r="I1495" s="1">
        <v>1</v>
      </c>
      <c r="J1495" s="1">
        <v>4</v>
      </c>
    </row>
    <row r="1496" spans="1:10" x14ac:dyDescent="0.2">
      <c r="A1496" s="1">
        <v>2173</v>
      </c>
      <c r="B1496" s="1">
        <v>0</v>
      </c>
      <c r="C1496" s="1">
        <v>5</v>
      </c>
      <c r="D1496" s="1">
        <v>4</v>
      </c>
      <c r="E1496" s="1">
        <v>2</v>
      </c>
      <c r="F1496" s="1">
        <v>3</v>
      </c>
      <c r="G1496" s="1">
        <v>3</v>
      </c>
      <c r="H1496" s="1">
        <v>1</v>
      </c>
      <c r="I1496" s="1">
        <v>2</v>
      </c>
      <c r="J1496" s="1">
        <v>4</v>
      </c>
    </row>
    <row r="1497" spans="1:10" x14ac:dyDescent="0.2">
      <c r="A1497" s="1">
        <v>2265</v>
      </c>
      <c r="B1497" s="1">
        <v>0</v>
      </c>
      <c r="C1497" s="1">
        <v>9</v>
      </c>
      <c r="D1497" s="1">
        <v>4</v>
      </c>
      <c r="E1497" s="1">
        <v>2</v>
      </c>
      <c r="F1497" s="1">
        <v>3</v>
      </c>
      <c r="G1497" s="1">
        <v>3</v>
      </c>
      <c r="H1497" s="1">
        <v>1</v>
      </c>
      <c r="I1497" s="1">
        <v>3</v>
      </c>
      <c r="J1497" s="1">
        <v>4</v>
      </c>
    </row>
    <row r="1498" spans="1:10" x14ac:dyDescent="0.2">
      <c r="A1498" s="1">
        <v>177</v>
      </c>
      <c r="B1498" s="1">
        <v>0</v>
      </c>
      <c r="C1498" s="1">
        <v>11</v>
      </c>
      <c r="D1498" s="1">
        <v>1</v>
      </c>
      <c r="E1498" s="1">
        <v>1</v>
      </c>
      <c r="F1498" s="1">
        <v>4</v>
      </c>
      <c r="G1498" s="1">
        <v>3</v>
      </c>
      <c r="H1498" s="1">
        <v>1</v>
      </c>
      <c r="I1498" s="1">
        <v>0</v>
      </c>
      <c r="J1498" s="1">
        <v>4</v>
      </c>
    </row>
    <row r="1499" spans="1:10" x14ac:dyDescent="0.2">
      <c r="A1499" s="1">
        <v>568</v>
      </c>
      <c r="B1499" s="1">
        <v>0</v>
      </c>
      <c r="C1499" s="1">
        <v>10</v>
      </c>
      <c r="D1499" s="1">
        <v>1</v>
      </c>
      <c r="E1499" s="1">
        <v>2</v>
      </c>
      <c r="F1499" s="1">
        <v>4</v>
      </c>
      <c r="G1499" s="1">
        <v>3</v>
      </c>
      <c r="H1499" s="1">
        <v>0</v>
      </c>
      <c r="I1499" s="1">
        <v>0</v>
      </c>
      <c r="J1499" s="1">
        <v>4</v>
      </c>
    </row>
    <row r="1500" spans="1:10" x14ac:dyDescent="0.2">
      <c r="A1500" s="1">
        <v>702</v>
      </c>
      <c r="B1500" s="1">
        <v>0</v>
      </c>
      <c r="C1500" s="1">
        <v>19</v>
      </c>
      <c r="D1500" s="1">
        <v>4</v>
      </c>
      <c r="E1500" s="1">
        <v>2</v>
      </c>
      <c r="F1500" s="1">
        <v>5</v>
      </c>
      <c r="G1500" s="1">
        <v>3</v>
      </c>
      <c r="H1500" s="1">
        <v>0</v>
      </c>
      <c r="I1500" s="1">
        <v>3</v>
      </c>
      <c r="J1500" s="1">
        <v>4</v>
      </c>
    </row>
    <row r="1501" spans="1:10" x14ac:dyDescent="0.2">
      <c r="A1501" s="1">
        <v>1308</v>
      </c>
      <c r="B1501" s="1">
        <v>0</v>
      </c>
      <c r="C1501" s="1">
        <v>7</v>
      </c>
      <c r="D1501" s="1">
        <v>2</v>
      </c>
      <c r="E1501" s="1">
        <v>1</v>
      </c>
      <c r="F1501" s="1">
        <v>6</v>
      </c>
      <c r="G1501" s="1">
        <v>3</v>
      </c>
      <c r="H1501" s="1">
        <v>0</v>
      </c>
      <c r="I1501" s="1">
        <v>1</v>
      </c>
      <c r="J1501" s="1">
        <v>4</v>
      </c>
    </row>
    <row r="1502" spans="1:10" x14ac:dyDescent="0.2">
      <c r="A1502" s="1">
        <v>2137</v>
      </c>
      <c r="B1502" s="1">
        <v>0</v>
      </c>
      <c r="C1502" s="1">
        <v>14</v>
      </c>
      <c r="D1502" s="1">
        <v>5</v>
      </c>
      <c r="E1502" s="1">
        <v>1</v>
      </c>
      <c r="F1502" s="1">
        <v>6</v>
      </c>
      <c r="G1502" s="1">
        <v>3</v>
      </c>
      <c r="H1502" s="1">
        <v>1</v>
      </c>
      <c r="I1502" s="1">
        <v>3</v>
      </c>
      <c r="J1502" s="1">
        <v>4</v>
      </c>
    </row>
    <row r="1503" spans="1:10" x14ac:dyDescent="0.2">
      <c r="A1503" s="1">
        <v>1883</v>
      </c>
      <c r="B1503" s="1">
        <v>0</v>
      </c>
      <c r="C1503" s="1">
        <v>6</v>
      </c>
      <c r="D1503" s="1">
        <v>4</v>
      </c>
      <c r="E1503" s="1">
        <v>2</v>
      </c>
      <c r="F1503" s="1">
        <v>6</v>
      </c>
      <c r="G1503" s="1">
        <v>3</v>
      </c>
      <c r="H1503" s="1">
        <v>0</v>
      </c>
      <c r="I1503" s="1">
        <v>3</v>
      </c>
      <c r="J1503" s="1">
        <v>4</v>
      </c>
    </row>
    <row r="1504" spans="1:10" x14ac:dyDescent="0.2">
      <c r="A1504" s="1">
        <v>2202</v>
      </c>
      <c r="B1504" s="1">
        <v>0</v>
      </c>
      <c r="C1504" s="1">
        <v>13</v>
      </c>
      <c r="D1504" s="1">
        <v>4</v>
      </c>
      <c r="E1504" s="1">
        <v>2</v>
      </c>
      <c r="F1504" s="1">
        <v>6</v>
      </c>
      <c r="G1504" s="1">
        <v>3</v>
      </c>
      <c r="H1504" s="1">
        <v>1</v>
      </c>
      <c r="I1504" s="1">
        <v>3</v>
      </c>
      <c r="J1504" s="1">
        <v>4</v>
      </c>
    </row>
    <row r="1505" spans="1:10" x14ac:dyDescent="0.2">
      <c r="A1505" s="1">
        <v>392</v>
      </c>
      <c r="B1505" s="1">
        <v>0</v>
      </c>
      <c r="C1505" s="1">
        <v>18</v>
      </c>
      <c r="D1505" s="1">
        <v>1</v>
      </c>
      <c r="E1505" s="1">
        <v>3</v>
      </c>
      <c r="F1505" s="1">
        <v>6</v>
      </c>
      <c r="G1505" s="1">
        <v>3</v>
      </c>
      <c r="H1505" s="1">
        <v>0</v>
      </c>
      <c r="I1505" s="1">
        <v>1</v>
      </c>
      <c r="J1505" s="1">
        <v>4</v>
      </c>
    </row>
    <row r="1506" spans="1:10" x14ac:dyDescent="0.2">
      <c r="A1506" s="1">
        <v>916</v>
      </c>
      <c r="B1506" s="1">
        <v>0</v>
      </c>
      <c r="C1506" s="1">
        <v>10</v>
      </c>
      <c r="D1506" s="1">
        <v>3</v>
      </c>
      <c r="E1506" s="1">
        <v>2</v>
      </c>
      <c r="F1506" s="1">
        <v>7</v>
      </c>
      <c r="G1506" s="1">
        <v>3</v>
      </c>
      <c r="H1506" s="1">
        <v>1</v>
      </c>
      <c r="I1506" s="1">
        <v>3</v>
      </c>
      <c r="J1506" s="1">
        <v>4</v>
      </c>
    </row>
    <row r="1507" spans="1:10" x14ac:dyDescent="0.2">
      <c r="A1507" s="1">
        <v>1163</v>
      </c>
      <c r="B1507" s="1">
        <v>0</v>
      </c>
      <c r="C1507" s="1">
        <v>11</v>
      </c>
      <c r="D1507" s="1">
        <v>2</v>
      </c>
      <c r="E1507" s="1">
        <v>2</v>
      </c>
      <c r="F1507" s="1">
        <v>7</v>
      </c>
      <c r="G1507" s="1">
        <v>3</v>
      </c>
      <c r="H1507" s="1">
        <v>1</v>
      </c>
      <c r="I1507" s="1">
        <v>1</v>
      </c>
      <c r="J1507" s="1">
        <v>4</v>
      </c>
    </row>
    <row r="1508" spans="1:10" x14ac:dyDescent="0.2">
      <c r="A1508" s="1">
        <v>150</v>
      </c>
      <c r="B1508" s="1">
        <v>0</v>
      </c>
      <c r="C1508" s="1">
        <v>17</v>
      </c>
      <c r="D1508" s="1">
        <v>2</v>
      </c>
      <c r="E1508" s="1">
        <v>2</v>
      </c>
      <c r="F1508" s="1">
        <v>7</v>
      </c>
      <c r="G1508" s="1">
        <v>3</v>
      </c>
      <c r="H1508" s="1">
        <v>0</v>
      </c>
      <c r="I1508" s="1">
        <v>3</v>
      </c>
      <c r="J1508" s="1">
        <v>4</v>
      </c>
    </row>
    <row r="1509" spans="1:10" x14ac:dyDescent="0.2">
      <c r="A1509" s="1">
        <v>2135</v>
      </c>
      <c r="B1509" s="1">
        <v>0</v>
      </c>
      <c r="C1509" s="1">
        <v>19</v>
      </c>
      <c r="D1509" s="1">
        <v>1</v>
      </c>
      <c r="E1509" s="1">
        <v>2</v>
      </c>
      <c r="F1509" s="1">
        <v>7</v>
      </c>
      <c r="G1509" s="1">
        <v>3</v>
      </c>
      <c r="H1509" s="1">
        <v>0</v>
      </c>
      <c r="I1509" s="1">
        <v>1</v>
      </c>
      <c r="J1509" s="1">
        <v>4</v>
      </c>
    </row>
    <row r="1510" spans="1:10" x14ac:dyDescent="0.2">
      <c r="A1510" s="1">
        <v>1862</v>
      </c>
      <c r="B1510" s="1">
        <v>0</v>
      </c>
      <c r="C1510" s="1">
        <v>6</v>
      </c>
      <c r="D1510" s="1">
        <v>3</v>
      </c>
      <c r="E1510" s="1">
        <v>3</v>
      </c>
      <c r="F1510" s="1">
        <v>7</v>
      </c>
      <c r="G1510" s="1">
        <v>3</v>
      </c>
      <c r="H1510" s="1">
        <v>0</v>
      </c>
      <c r="I1510" s="1">
        <v>3</v>
      </c>
      <c r="J1510" s="1">
        <v>4</v>
      </c>
    </row>
    <row r="1511" spans="1:10" x14ac:dyDescent="0.2">
      <c r="A1511" s="1">
        <v>1760</v>
      </c>
      <c r="B1511" s="1">
        <v>0</v>
      </c>
      <c r="C1511" s="1">
        <v>6</v>
      </c>
      <c r="D1511" s="1">
        <v>3</v>
      </c>
      <c r="E1511" s="1">
        <v>1</v>
      </c>
      <c r="F1511" s="1">
        <v>8</v>
      </c>
      <c r="G1511" s="1">
        <v>3</v>
      </c>
      <c r="H1511" s="1">
        <v>1</v>
      </c>
      <c r="I1511" s="1">
        <v>0</v>
      </c>
      <c r="J1511" s="1">
        <v>4</v>
      </c>
    </row>
    <row r="1512" spans="1:10" x14ac:dyDescent="0.2">
      <c r="A1512" s="1">
        <v>1111</v>
      </c>
      <c r="B1512" s="1">
        <v>0</v>
      </c>
      <c r="C1512" s="1">
        <v>14</v>
      </c>
      <c r="D1512" s="1">
        <v>3</v>
      </c>
      <c r="E1512" s="1">
        <v>1</v>
      </c>
      <c r="F1512" s="1">
        <v>8</v>
      </c>
      <c r="G1512" s="1">
        <v>3</v>
      </c>
      <c r="H1512" s="1">
        <v>0</v>
      </c>
      <c r="I1512" s="1">
        <v>2</v>
      </c>
      <c r="J1512" s="1">
        <v>4</v>
      </c>
    </row>
    <row r="1513" spans="1:10" x14ac:dyDescent="0.2">
      <c r="A1513" s="1">
        <v>1117</v>
      </c>
      <c r="B1513" s="1">
        <v>0</v>
      </c>
      <c r="C1513" s="1">
        <v>15</v>
      </c>
      <c r="D1513" s="1">
        <v>5</v>
      </c>
      <c r="E1513" s="1">
        <v>1</v>
      </c>
      <c r="F1513" s="1">
        <v>8</v>
      </c>
      <c r="G1513" s="1">
        <v>3</v>
      </c>
      <c r="H1513" s="1">
        <v>1</v>
      </c>
      <c r="I1513" s="1">
        <v>2</v>
      </c>
      <c r="J1513" s="1">
        <v>4</v>
      </c>
    </row>
    <row r="1514" spans="1:10" x14ac:dyDescent="0.2">
      <c r="A1514" s="1">
        <v>1980</v>
      </c>
      <c r="B1514" s="1">
        <v>0</v>
      </c>
      <c r="C1514" s="1">
        <v>7</v>
      </c>
      <c r="D1514" s="1">
        <v>2</v>
      </c>
      <c r="E1514" s="1">
        <v>2</v>
      </c>
      <c r="F1514" s="1">
        <v>8</v>
      </c>
      <c r="G1514" s="1">
        <v>3</v>
      </c>
      <c r="H1514" s="1">
        <v>1</v>
      </c>
      <c r="I1514" s="1">
        <v>2</v>
      </c>
      <c r="J1514" s="1">
        <v>4</v>
      </c>
    </row>
    <row r="1515" spans="1:10" x14ac:dyDescent="0.2">
      <c r="A1515" s="1">
        <v>2071</v>
      </c>
      <c r="B1515" s="1">
        <v>0</v>
      </c>
      <c r="C1515" s="1">
        <v>14</v>
      </c>
      <c r="D1515" s="1">
        <v>3</v>
      </c>
      <c r="E1515" s="1">
        <v>2</v>
      </c>
      <c r="F1515" s="1">
        <v>8</v>
      </c>
      <c r="G1515" s="1">
        <v>3</v>
      </c>
      <c r="H1515" s="1">
        <v>0</v>
      </c>
      <c r="I1515" s="1">
        <v>0</v>
      </c>
      <c r="J1515" s="1">
        <v>4</v>
      </c>
    </row>
    <row r="1516" spans="1:10" x14ac:dyDescent="0.2">
      <c r="A1516" s="1">
        <v>1602</v>
      </c>
      <c r="B1516" s="1">
        <v>0</v>
      </c>
      <c r="C1516" s="1">
        <v>7</v>
      </c>
      <c r="D1516" s="1">
        <v>3</v>
      </c>
      <c r="E1516" s="1">
        <v>3</v>
      </c>
      <c r="F1516" s="1">
        <v>8</v>
      </c>
      <c r="G1516" s="1">
        <v>3</v>
      </c>
      <c r="H1516" s="1">
        <v>0</v>
      </c>
      <c r="I1516" s="1">
        <v>0</v>
      </c>
      <c r="J1516" s="1">
        <v>4</v>
      </c>
    </row>
    <row r="1517" spans="1:10" x14ac:dyDescent="0.2">
      <c r="A1517" s="1">
        <v>137</v>
      </c>
      <c r="B1517" s="1">
        <v>0</v>
      </c>
      <c r="C1517" s="1">
        <v>11</v>
      </c>
      <c r="D1517" s="1">
        <v>4</v>
      </c>
      <c r="E1517" s="1">
        <v>3</v>
      </c>
      <c r="F1517" s="1">
        <v>8</v>
      </c>
      <c r="G1517" s="1">
        <v>3</v>
      </c>
      <c r="H1517" s="1">
        <v>1</v>
      </c>
      <c r="I1517" s="1">
        <v>1</v>
      </c>
      <c r="J1517" s="1">
        <v>4</v>
      </c>
    </row>
    <row r="1518" spans="1:10" x14ac:dyDescent="0.2">
      <c r="A1518" s="1">
        <v>563</v>
      </c>
      <c r="B1518" s="1">
        <v>0</v>
      </c>
      <c r="C1518" s="1">
        <v>9</v>
      </c>
      <c r="D1518" s="1">
        <v>2</v>
      </c>
      <c r="E1518" s="1">
        <v>3</v>
      </c>
      <c r="F1518" s="1">
        <v>10</v>
      </c>
      <c r="G1518" s="1">
        <v>3</v>
      </c>
      <c r="H1518" s="1">
        <v>1</v>
      </c>
      <c r="I1518" s="1">
        <v>1</v>
      </c>
      <c r="J1518" s="1">
        <v>4</v>
      </c>
    </row>
    <row r="1519" spans="1:10" x14ac:dyDescent="0.2">
      <c r="A1519" s="1">
        <v>1</v>
      </c>
      <c r="B1519" s="1">
        <v>0</v>
      </c>
      <c r="C1519" s="1">
        <v>12</v>
      </c>
      <c r="D1519" s="1">
        <v>3</v>
      </c>
      <c r="E1519" s="1">
        <v>3</v>
      </c>
      <c r="F1519" s="1">
        <v>10</v>
      </c>
      <c r="G1519" s="1">
        <v>3</v>
      </c>
      <c r="H1519" s="1">
        <v>1</v>
      </c>
      <c r="I1519" s="1">
        <v>0</v>
      </c>
      <c r="J1519" s="1">
        <v>4</v>
      </c>
    </row>
    <row r="1520" spans="1:10" x14ac:dyDescent="0.2">
      <c r="A1520" s="1">
        <v>1643</v>
      </c>
      <c r="B1520" s="1">
        <v>0</v>
      </c>
      <c r="C1520" s="1">
        <v>14</v>
      </c>
      <c r="D1520" s="1">
        <v>5</v>
      </c>
      <c r="E1520" s="1">
        <v>3</v>
      </c>
      <c r="F1520" s="1">
        <v>10</v>
      </c>
      <c r="G1520" s="1">
        <v>3</v>
      </c>
      <c r="H1520" s="1">
        <v>0</v>
      </c>
      <c r="I1520" s="1">
        <v>3</v>
      </c>
      <c r="J1520" s="1">
        <v>4</v>
      </c>
    </row>
    <row r="1521" spans="1:10" x14ac:dyDescent="0.2">
      <c r="A1521" s="1">
        <v>1420</v>
      </c>
      <c r="B1521" s="1">
        <v>0</v>
      </c>
      <c r="C1521" s="1">
        <v>15</v>
      </c>
      <c r="D1521" s="1">
        <v>5</v>
      </c>
      <c r="E1521" s="1">
        <v>3</v>
      </c>
      <c r="F1521" s="1">
        <v>10</v>
      </c>
      <c r="G1521" s="1">
        <v>3</v>
      </c>
      <c r="H1521" s="1">
        <v>0</v>
      </c>
      <c r="I1521" s="1">
        <v>1</v>
      </c>
      <c r="J1521" s="1">
        <v>4</v>
      </c>
    </row>
    <row r="1522" spans="1:10" x14ac:dyDescent="0.2">
      <c r="A1522" s="1">
        <v>935</v>
      </c>
      <c r="B1522" s="1">
        <v>0</v>
      </c>
      <c r="C1522" s="1">
        <v>17</v>
      </c>
      <c r="D1522" s="1">
        <v>1</v>
      </c>
      <c r="E1522" s="1">
        <v>3</v>
      </c>
      <c r="F1522" s="1">
        <v>10</v>
      </c>
      <c r="G1522" s="1">
        <v>3</v>
      </c>
      <c r="H1522" s="1">
        <v>0</v>
      </c>
      <c r="I1522" s="1">
        <v>1</v>
      </c>
      <c r="J1522" s="1">
        <v>4</v>
      </c>
    </row>
    <row r="1523" spans="1:10" x14ac:dyDescent="0.2">
      <c r="A1523" s="1">
        <v>1913</v>
      </c>
      <c r="B1523" s="1">
        <v>0</v>
      </c>
      <c r="C1523" s="1">
        <v>5</v>
      </c>
      <c r="D1523" s="1">
        <v>2</v>
      </c>
      <c r="E1523" s="1">
        <v>1</v>
      </c>
      <c r="F1523" s="1">
        <v>1</v>
      </c>
      <c r="G1523" s="1">
        <v>4</v>
      </c>
      <c r="H1523" s="1">
        <v>0</v>
      </c>
      <c r="I1523" s="1">
        <v>3</v>
      </c>
      <c r="J1523" s="1">
        <v>4</v>
      </c>
    </row>
    <row r="1524" spans="1:10" x14ac:dyDescent="0.2">
      <c r="A1524" s="1">
        <v>51</v>
      </c>
      <c r="B1524" s="1">
        <v>0</v>
      </c>
      <c r="C1524" s="1">
        <v>14</v>
      </c>
      <c r="D1524" s="1">
        <v>5</v>
      </c>
      <c r="E1524" s="1">
        <v>1</v>
      </c>
      <c r="F1524" s="1">
        <v>1</v>
      </c>
      <c r="G1524" s="1">
        <v>4</v>
      </c>
      <c r="H1524" s="1">
        <v>0</v>
      </c>
      <c r="I1524" s="1">
        <v>2</v>
      </c>
      <c r="J1524" s="1">
        <v>4</v>
      </c>
    </row>
    <row r="1525" spans="1:10" x14ac:dyDescent="0.2">
      <c r="A1525" s="1">
        <v>832</v>
      </c>
      <c r="B1525" s="1">
        <v>0</v>
      </c>
      <c r="C1525" s="1">
        <v>9</v>
      </c>
      <c r="D1525" s="1">
        <v>1</v>
      </c>
      <c r="E1525" s="1">
        <v>2</v>
      </c>
      <c r="F1525" s="1">
        <v>1</v>
      </c>
      <c r="G1525" s="1">
        <v>4</v>
      </c>
      <c r="H1525" s="1">
        <v>0</v>
      </c>
      <c r="I1525" s="1">
        <v>1</v>
      </c>
      <c r="J1525" s="1">
        <v>4</v>
      </c>
    </row>
    <row r="1526" spans="1:10" x14ac:dyDescent="0.2">
      <c r="A1526" s="1">
        <v>2290</v>
      </c>
      <c r="B1526" s="1">
        <v>0</v>
      </c>
      <c r="C1526" s="1">
        <v>11</v>
      </c>
      <c r="D1526" s="1">
        <v>2</v>
      </c>
      <c r="E1526" s="1">
        <v>2</v>
      </c>
      <c r="F1526" s="1">
        <v>1</v>
      </c>
      <c r="G1526" s="1">
        <v>4</v>
      </c>
      <c r="H1526" s="1">
        <v>0</v>
      </c>
      <c r="I1526" s="1">
        <v>2</v>
      </c>
      <c r="J1526" s="1">
        <v>4</v>
      </c>
    </row>
    <row r="1527" spans="1:10" x14ac:dyDescent="0.2">
      <c r="A1527" s="1">
        <v>2418</v>
      </c>
      <c r="B1527" s="1">
        <v>0</v>
      </c>
      <c r="C1527" s="1">
        <v>18</v>
      </c>
      <c r="D1527" s="1">
        <v>1</v>
      </c>
      <c r="E1527" s="1">
        <v>2</v>
      </c>
      <c r="F1527" s="1">
        <v>1</v>
      </c>
      <c r="G1527" s="1">
        <v>4</v>
      </c>
      <c r="H1527" s="1">
        <v>0</v>
      </c>
      <c r="I1527" s="1">
        <v>2</v>
      </c>
      <c r="J1527" s="1">
        <v>4</v>
      </c>
    </row>
    <row r="1528" spans="1:10" x14ac:dyDescent="0.2">
      <c r="A1528" s="1">
        <v>1354</v>
      </c>
      <c r="B1528" s="1">
        <v>0</v>
      </c>
      <c r="C1528" s="1">
        <v>19</v>
      </c>
      <c r="D1528" s="1">
        <v>5</v>
      </c>
      <c r="E1528" s="1">
        <v>2</v>
      </c>
      <c r="F1528" s="1">
        <v>1</v>
      </c>
      <c r="G1528" s="1">
        <v>4</v>
      </c>
      <c r="H1528" s="1">
        <v>1</v>
      </c>
      <c r="I1528" s="1">
        <v>1</v>
      </c>
      <c r="J1528" s="1">
        <v>4</v>
      </c>
    </row>
    <row r="1529" spans="1:10" x14ac:dyDescent="0.2">
      <c r="A1529" s="1">
        <v>44</v>
      </c>
      <c r="B1529" s="1">
        <v>0</v>
      </c>
      <c r="C1529" s="1">
        <v>5</v>
      </c>
      <c r="D1529" s="1">
        <v>3</v>
      </c>
      <c r="E1529" s="1">
        <v>3</v>
      </c>
      <c r="F1529" s="1">
        <v>1</v>
      </c>
      <c r="G1529" s="1">
        <v>4</v>
      </c>
      <c r="H1529" s="1">
        <v>1</v>
      </c>
      <c r="I1529" s="1">
        <v>1</v>
      </c>
      <c r="J1529" s="1">
        <v>4</v>
      </c>
    </row>
    <row r="1530" spans="1:10" x14ac:dyDescent="0.2">
      <c r="A1530" s="1">
        <v>2106</v>
      </c>
      <c r="B1530" s="1">
        <v>0</v>
      </c>
      <c r="C1530" s="1">
        <v>5</v>
      </c>
      <c r="D1530" s="1">
        <v>4</v>
      </c>
      <c r="E1530" s="1">
        <v>3</v>
      </c>
      <c r="F1530" s="1">
        <v>1</v>
      </c>
      <c r="G1530" s="1">
        <v>4</v>
      </c>
      <c r="H1530" s="1">
        <v>1</v>
      </c>
      <c r="I1530" s="1">
        <v>1</v>
      </c>
      <c r="J1530" s="1">
        <v>4</v>
      </c>
    </row>
    <row r="1531" spans="1:10" x14ac:dyDescent="0.2">
      <c r="A1531" s="1">
        <v>1180</v>
      </c>
      <c r="B1531" s="1">
        <v>0</v>
      </c>
      <c r="C1531" s="1">
        <v>15</v>
      </c>
      <c r="D1531" s="1">
        <v>5</v>
      </c>
      <c r="E1531" s="1">
        <v>3</v>
      </c>
      <c r="F1531" s="1">
        <v>1</v>
      </c>
      <c r="G1531" s="1">
        <v>4</v>
      </c>
      <c r="H1531" s="1">
        <v>1</v>
      </c>
      <c r="I1531" s="1">
        <v>3</v>
      </c>
      <c r="J1531" s="1">
        <v>4</v>
      </c>
    </row>
    <row r="1532" spans="1:10" x14ac:dyDescent="0.2">
      <c r="A1532" s="1">
        <v>1278</v>
      </c>
      <c r="B1532" s="1">
        <v>0</v>
      </c>
      <c r="C1532" s="1">
        <v>6</v>
      </c>
      <c r="D1532" s="1">
        <v>4</v>
      </c>
      <c r="E1532" s="1">
        <v>2</v>
      </c>
      <c r="F1532" s="1">
        <v>2</v>
      </c>
      <c r="G1532" s="1">
        <v>4</v>
      </c>
      <c r="H1532" s="1">
        <v>1</v>
      </c>
      <c r="I1532" s="1">
        <v>0</v>
      </c>
      <c r="J1532" s="1">
        <v>4</v>
      </c>
    </row>
    <row r="1533" spans="1:10" x14ac:dyDescent="0.2">
      <c r="A1533" s="1">
        <v>15</v>
      </c>
      <c r="B1533" s="1">
        <v>0</v>
      </c>
      <c r="C1533" s="1">
        <v>7</v>
      </c>
      <c r="D1533" s="1">
        <v>2</v>
      </c>
      <c r="E1533" s="1">
        <v>2</v>
      </c>
      <c r="F1533" s="1">
        <v>2</v>
      </c>
      <c r="G1533" s="1">
        <v>4</v>
      </c>
      <c r="H1533" s="1">
        <v>0</v>
      </c>
      <c r="I1533" s="1">
        <v>2</v>
      </c>
      <c r="J1533" s="1">
        <v>4</v>
      </c>
    </row>
    <row r="1534" spans="1:10" x14ac:dyDescent="0.2">
      <c r="A1534" s="1">
        <v>491</v>
      </c>
      <c r="B1534" s="1">
        <v>0</v>
      </c>
      <c r="C1534" s="1">
        <v>7</v>
      </c>
      <c r="D1534" s="1">
        <v>4</v>
      </c>
      <c r="E1534" s="1">
        <v>2</v>
      </c>
      <c r="F1534" s="1">
        <v>2</v>
      </c>
      <c r="G1534" s="1">
        <v>4</v>
      </c>
      <c r="H1534" s="1">
        <v>0</v>
      </c>
      <c r="I1534" s="1">
        <v>1</v>
      </c>
      <c r="J1534" s="1">
        <v>4</v>
      </c>
    </row>
    <row r="1535" spans="1:10" x14ac:dyDescent="0.2">
      <c r="A1535" s="1">
        <v>1000</v>
      </c>
      <c r="B1535" s="1">
        <v>0</v>
      </c>
      <c r="C1535" s="1">
        <v>10</v>
      </c>
      <c r="D1535" s="1">
        <v>4</v>
      </c>
      <c r="E1535" s="1">
        <v>3</v>
      </c>
      <c r="F1535" s="1">
        <v>2</v>
      </c>
      <c r="G1535" s="1">
        <v>4</v>
      </c>
      <c r="H1535" s="1">
        <v>0</v>
      </c>
      <c r="I1535" s="1">
        <v>2</v>
      </c>
      <c r="J1535" s="1">
        <v>4</v>
      </c>
    </row>
    <row r="1536" spans="1:10" x14ac:dyDescent="0.2">
      <c r="A1536" s="1">
        <v>527</v>
      </c>
      <c r="B1536" s="1">
        <v>0</v>
      </c>
      <c r="C1536" s="1">
        <v>8</v>
      </c>
      <c r="D1536" s="1">
        <v>2</v>
      </c>
      <c r="E1536" s="1">
        <v>1</v>
      </c>
      <c r="F1536" s="1">
        <v>3</v>
      </c>
      <c r="G1536" s="1">
        <v>4</v>
      </c>
      <c r="H1536" s="1">
        <v>0</v>
      </c>
      <c r="I1536" s="1">
        <v>3</v>
      </c>
      <c r="J1536" s="1">
        <v>4</v>
      </c>
    </row>
    <row r="1537" spans="1:10" x14ac:dyDescent="0.2">
      <c r="A1537" s="1">
        <v>1103</v>
      </c>
      <c r="B1537" s="1">
        <v>0</v>
      </c>
      <c r="C1537" s="1">
        <v>5</v>
      </c>
      <c r="D1537" s="1">
        <v>4</v>
      </c>
      <c r="E1537" s="1">
        <v>2</v>
      </c>
      <c r="F1537" s="1">
        <v>3</v>
      </c>
      <c r="G1537" s="1">
        <v>4</v>
      </c>
      <c r="H1537" s="1">
        <v>0</v>
      </c>
      <c r="I1537" s="1">
        <v>3</v>
      </c>
      <c r="J1537" s="1">
        <v>4</v>
      </c>
    </row>
    <row r="1538" spans="1:10" x14ac:dyDescent="0.2">
      <c r="A1538" s="1">
        <v>1666</v>
      </c>
      <c r="B1538" s="1">
        <v>0</v>
      </c>
      <c r="C1538" s="1">
        <v>5</v>
      </c>
      <c r="D1538" s="1">
        <v>4</v>
      </c>
      <c r="E1538" s="1">
        <v>2</v>
      </c>
      <c r="F1538" s="1">
        <v>3</v>
      </c>
      <c r="G1538" s="1">
        <v>4</v>
      </c>
      <c r="H1538" s="1">
        <v>1</v>
      </c>
      <c r="I1538" s="1">
        <v>0</v>
      </c>
      <c r="J1538" s="1">
        <v>4</v>
      </c>
    </row>
    <row r="1539" spans="1:10" x14ac:dyDescent="0.2">
      <c r="A1539" s="1">
        <v>1551</v>
      </c>
      <c r="B1539" s="1">
        <v>0</v>
      </c>
      <c r="C1539" s="1">
        <v>13</v>
      </c>
      <c r="D1539" s="1">
        <v>1</v>
      </c>
      <c r="E1539" s="1">
        <v>2</v>
      </c>
      <c r="F1539" s="1">
        <v>3</v>
      </c>
      <c r="G1539" s="1">
        <v>4</v>
      </c>
      <c r="H1539" s="1">
        <v>0</v>
      </c>
      <c r="I1539" s="1">
        <v>2</v>
      </c>
      <c r="J1539" s="1">
        <v>4</v>
      </c>
    </row>
    <row r="1540" spans="1:10" x14ac:dyDescent="0.2">
      <c r="A1540" s="1">
        <v>2178</v>
      </c>
      <c r="B1540" s="1">
        <v>0</v>
      </c>
      <c r="C1540" s="1">
        <v>14</v>
      </c>
      <c r="D1540" s="1">
        <v>5</v>
      </c>
      <c r="E1540" s="1">
        <v>2</v>
      </c>
      <c r="F1540" s="1">
        <v>3</v>
      </c>
      <c r="G1540" s="1">
        <v>4</v>
      </c>
      <c r="H1540" s="1">
        <v>1</v>
      </c>
      <c r="I1540" s="1">
        <v>2</v>
      </c>
      <c r="J1540" s="1">
        <v>4</v>
      </c>
    </row>
    <row r="1541" spans="1:10" x14ac:dyDescent="0.2">
      <c r="A1541" s="1">
        <v>2043</v>
      </c>
      <c r="B1541" s="1">
        <v>0</v>
      </c>
      <c r="C1541" s="1">
        <v>16</v>
      </c>
      <c r="D1541" s="1">
        <v>1</v>
      </c>
      <c r="E1541" s="1">
        <v>3</v>
      </c>
      <c r="F1541" s="1">
        <v>3</v>
      </c>
      <c r="G1541" s="1">
        <v>4</v>
      </c>
      <c r="H1541" s="1">
        <v>0</v>
      </c>
      <c r="I1541" s="1">
        <v>3</v>
      </c>
      <c r="J1541" s="1">
        <v>4</v>
      </c>
    </row>
    <row r="1542" spans="1:10" x14ac:dyDescent="0.2">
      <c r="A1542" s="1">
        <v>1763</v>
      </c>
      <c r="B1542" s="1">
        <v>0</v>
      </c>
      <c r="C1542" s="1">
        <v>14</v>
      </c>
      <c r="D1542" s="1">
        <v>4</v>
      </c>
      <c r="E1542" s="1">
        <v>1</v>
      </c>
      <c r="F1542" s="1">
        <v>4</v>
      </c>
      <c r="G1542" s="1">
        <v>4</v>
      </c>
      <c r="H1542" s="1">
        <v>1</v>
      </c>
      <c r="I1542" s="1">
        <v>0</v>
      </c>
      <c r="J1542" s="1">
        <v>4</v>
      </c>
    </row>
    <row r="1543" spans="1:10" x14ac:dyDescent="0.2">
      <c r="A1543" s="1">
        <v>736</v>
      </c>
      <c r="B1543" s="1">
        <v>0</v>
      </c>
      <c r="C1543" s="1">
        <v>16</v>
      </c>
      <c r="D1543" s="1">
        <v>2</v>
      </c>
      <c r="E1543" s="1">
        <v>1</v>
      </c>
      <c r="F1543" s="1">
        <v>4</v>
      </c>
      <c r="G1543" s="1">
        <v>4</v>
      </c>
      <c r="H1543" s="1">
        <v>1</v>
      </c>
      <c r="I1543" s="1">
        <v>0</v>
      </c>
      <c r="J1543" s="1">
        <v>4</v>
      </c>
    </row>
    <row r="1544" spans="1:10" x14ac:dyDescent="0.2">
      <c r="A1544" s="1">
        <v>1366</v>
      </c>
      <c r="B1544" s="1">
        <v>0</v>
      </c>
      <c r="C1544" s="1">
        <v>18</v>
      </c>
      <c r="D1544" s="1">
        <v>2</v>
      </c>
      <c r="E1544" s="1">
        <v>1</v>
      </c>
      <c r="F1544" s="1">
        <v>4</v>
      </c>
      <c r="G1544" s="1">
        <v>4</v>
      </c>
      <c r="H1544" s="1">
        <v>1</v>
      </c>
      <c r="I1544" s="1">
        <v>2</v>
      </c>
      <c r="J1544" s="1">
        <v>4</v>
      </c>
    </row>
    <row r="1545" spans="1:10" x14ac:dyDescent="0.2">
      <c r="A1545" s="1">
        <v>2197</v>
      </c>
      <c r="B1545" s="1">
        <v>0</v>
      </c>
      <c r="C1545" s="1">
        <v>18</v>
      </c>
      <c r="D1545" s="1">
        <v>1</v>
      </c>
      <c r="E1545" s="1">
        <v>2</v>
      </c>
      <c r="F1545" s="1">
        <v>4</v>
      </c>
      <c r="G1545" s="1">
        <v>4</v>
      </c>
      <c r="H1545" s="1">
        <v>1</v>
      </c>
      <c r="I1545" s="1">
        <v>2</v>
      </c>
      <c r="J1545" s="1">
        <v>4</v>
      </c>
    </row>
    <row r="1546" spans="1:10" x14ac:dyDescent="0.2">
      <c r="A1546" s="1">
        <v>2294</v>
      </c>
      <c r="B1546" s="1">
        <v>0</v>
      </c>
      <c r="C1546" s="1">
        <v>8</v>
      </c>
      <c r="D1546" s="1">
        <v>2</v>
      </c>
      <c r="E1546" s="1">
        <v>3</v>
      </c>
      <c r="F1546" s="1">
        <v>4</v>
      </c>
      <c r="G1546" s="1">
        <v>4</v>
      </c>
      <c r="H1546" s="1">
        <v>1</v>
      </c>
      <c r="I1546" s="1">
        <v>0</v>
      </c>
      <c r="J1546" s="1">
        <v>4</v>
      </c>
    </row>
    <row r="1547" spans="1:10" x14ac:dyDescent="0.2">
      <c r="A1547" s="1">
        <v>1419</v>
      </c>
      <c r="B1547" s="1">
        <v>0</v>
      </c>
      <c r="C1547" s="1">
        <v>19</v>
      </c>
      <c r="D1547" s="1">
        <v>3</v>
      </c>
      <c r="E1547" s="1">
        <v>3</v>
      </c>
      <c r="F1547" s="1">
        <v>4</v>
      </c>
      <c r="G1547" s="1">
        <v>4</v>
      </c>
      <c r="H1547" s="1">
        <v>1</v>
      </c>
      <c r="I1547" s="1">
        <v>2</v>
      </c>
      <c r="J1547" s="1">
        <v>4</v>
      </c>
    </row>
    <row r="1548" spans="1:10" x14ac:dyDescent="0.2">
      <c r="A1548" s="1">
        <v>469</v>
      </c>
      <c r="B1548" s="1">
        <v>0</v>
      </c>
      <c r="C1548" s="1">
        <v>20</v>
      </c>
      <c r="D1548" s="1">
        <v>1</v>
      </c>
      <c r="E1548" s="1">
        <v>1</v>
      </c>
      <c r="F1548" s="1">
        <v>5</v>
      </c>
      <c r="G1548" s="1">
        <v>4</v>
      </c>
      <c r="H1548" s="1">
        <v>1</v>
      </c>
      <c r="I1548" s="1">
        <v>0</v>
      </c>
      <c r="J1548" s="1">
        <v>4</v>
      </c>
    </row>
    <row r="1549" spans="1:10" x14ac:dyDescent="0.2">
      <c r="A1549" s="1">
        <v>1074</v>
      </c>
      <c r="B1549" s="1">
        <v>0</v>
      </c>
      <c r="C1549" s="1">
        <v>13</v>
      </c>
      <c r="D1549" s="1">
        <v>1</v>
      </c>
      <c r="E1549" s="1">
        <v>2</v>
      </c>
      <c r="F1549" s="1">
        <v>5</v>
      </c>
      <c r="G1549" s="1">
        <v>4</v>
      </c>
      <c r="H1549" s="1">
        <v>1</v>
      </c>
      <c r="I1549" s="1">
        <v>3</v>
      </c>
      <c r="J1549" s="1">
        <v>4</v>
      </c>
    </row>
    <row r="1550" spans="1:10" x14ac:dyDescent="0.2">
      <c r="A1550" s="1">
        <v>2163</v>
      </c>
      <c r="B1550" s="1">
        <v>0</v>
      </c>
      <c r="C1550" s="1">
        <v>15</v>
      </c>
      <c r="D1550" s="1">
        <v>5</v>
      </c>
      <c r="E1550" s="1">
        <v>2</v>
      </c>
      <c r="F1550" s="1">
        <v>5</v>
      </c>
      <c r="G1550" s="1">
        <v>4</v>
      </c>
      <c r="H1550" s="1">
        <v>1</v>
      </c>
      <c r="I1550" s="1">
        <v>0</v>
      </c>
      <c r="J1550" s="1">
        <v>4</v>
      </c>
    </row>
    <row r="1551" spans="1:10" x14ac:dyDescent="0.2">
      <c r="A1551" s="1">
        <v>1347</v>
      </c>
      <c r="B1551" s="1">
        <v>0</v>
      </c>
      <c r="C1551" s="1">
        <v>19</v>
      </c>
      <c r="D1551" s="1">
        <v>4</v>
      </c>
      <c r="E1551" s="1">
        <v>1</v>
      </c>
      <c r="F1551" s="1">
        <v>6</v>
      </c>
      <c r="G1551" s="1">
        <v>4</v>
      </c>
      <c r="H1551" s="1">
        <v>0</v>
      </c>
      <c r="I1551" s="1">
        <v>3</v>
      </c>
      <c r="J1551" s="1">
        <v>4</v>
      </c>
    </row>
    <row r="1552" spans="1:10" x14ac:dyDescent="0.2">
      <c r="A1552" s="1">
        <v>1200</v>
      </c>
      <c r="B1552" s="1">
        <v>0</v>
      </c>
      <c r="C1552" s="1">
        <v>15</v>
      </c>
      <c r="D1552" s="1">
        <v>5</v>
      </c>
      <c r="E1552" s="1">
        <v>2</v>
      </c>
      <c r="F1552" s="1">
        <v>6</v>
      </c>
      <c r="G1552" s="1">
        <v>4</v>
      </c>
      <c r="H1552" s="1">
        <v>1</v>
      </c>
      <c r="I1552" s="1">
        <v>1</v>
      </c>
      <c r="J1552" s="1">
        <v>4</v>
      </c>
    </row>
    <row r="1553" spans="1:10" x14ac:dyDescent="0.2">
      <c r="A1553" s="1">
        <v>1798</v>
      </c>
      <c r="B1553" s="1">
        <v>0</v>
      </c>
      <c r="C1553" s="1">
        <v>10</v>
      </c>
      <c r="D1553" s="1">
        <v>4</v>
      </c>
      <c r="E1553" s="1">
        <v>1</v>
      </c>
      <c r="F1553" s="1">
        <v>7</v>
      </c>
      <c r="G1553" s="1">
        <v>4</v>
      </c>
      <c r="H1553" s="1">
        <v>1</v>
      </c>
      <c r="I1553" s="1">
        <v>1</v>
      </c>
      <c r="J1553" s="1">
        <v>4</v>
      </c>
    </row>
    <row r="1554" spans="1:10" x14ac:dyDescent="0.2">
      <c r="A1554" s="1">
        <v>60</v>
      </c>
      <c r="B1554" s="1">
        <v>0</v>
      </c>
      <c r="C1554" s="1">
        <v>18</v>
      </c>
      <c r="D1554" s="1">
        <v>2</v>
      </c>
      <c r="E1554" s="1">
        <v>1</v>
      </c>
      <c r="F1554" s="1">
        <v>7</v>
      </c>
      <c r="G1554" s="1">
        <v>4</v>
      </c>
      <c r="H1554" s="1">
        <v>0</v>
      </c>
      <c r="I1554" s="1">
        <v>3</v>
      </c>
      <c r="J1554" s="1">
        <v>4</v>
      </c>
    </row>
    <row r="1555" spans="1:10" x14ac:dyDescent="0.2">
      <c r="A1555" s="1">
        <v>2344</v>
      </c>
      <c r="B1555" s="1">
        <v>0</v>
      </c>
      <c r="C1555" s="1">
        <v>10</v>
      </c>
      <c r="D1555" s="1">
        <v>1</v>
      </c>
      <c r="E1555" s="1">
        <v>3</v>
      </c>
      <c r="F1555" s="1">
        <v>7</v>
      </c>
      <c r="G1555" s="1">
        <v>4</v>
      </c>
      <c r="H1555" s="1">
        <v>0</v>
      </c>
      <c r="I1555" s="1">
        <v>1</v>
      </c>
      <c r="J1555" s="1">
        <v>4</v>
      </c>
    </row>
    <row r="1556" spans="1:10" x14ac:dyDescent="0.2">
      <c r="A1556" s="1">
        <v>1395</v>
      </c>
      <c r="B1556" s="1">
        <v>0</v>
      </c>
      <c r="C1556" s="1">
        <v>12</v>
      </c>
      <c r="D1556" s="1">
        <v>4</v>
      </c>
      <c r="E1556" s="1">
        <v>3</v>
      </c>
      <c r="F1556" s="1">
        <v>7</v>
      </c>
      <c r="G1556" s="1">
        <v>4</v>
      </c>
      <c r="H1556" s="1">
        <v>0</v>
      </c>
      <c r="I1556" s="1">
        <v>3</v>
      </c>
      <c r="J1556" s="1">
        <v>4</v>
      </c>
    </row>
    <row r="1557" spans="1:10" x14ac:dyDescent="0.2">
      <c r="A1557" s="1">
        <v>1533</v>
      </c>
      <c r="B1557" s="1">
        <v>0</v>
      </c>
      <c r="C1557" s="1">
        <v>14</v>
      </c>
      <c r="D1557" s="1">
        <v>1</v>
      </c>
      <c r="E1557" s="1">
        <v>3</v>
      </c>
      <c r="F1557" s="1">
        <v>7</v>
      </c>
      <c r="G1557" s="1">
        <v>4</v>
      </c>
      <c r="H1557" s="1">
        <v>1</v>
      </c>
      <c r="I1557" s="1">
        <v>1</v>
      </c>
      <c r="J1557" s="1">
        <v>4</v>
      </c>
    </row>
    <row r="1558" spans="1:10" x14ac:dyDescent="0.2">
      <c r="A1558" s="1">
        <v>2263</v>
      </c>
      <c r="B1558" s="1">
        <v>0</v>
      </c>
      <c r="C1558" s="1">
        <v>16</v>
      </c>
      <c r="D1558" s="1">
        <v>5</v>
      </c>
      <c r="E1558" s="1">
        <v>3</v>
      </c>
      <c r="F1558" s="1">
        <v>7</v>
      </c>
      <c r="G1558" s="1">
        <v>4</v>
      </c>
      <c r="H1558" s="1">
        <v>1</v>
      </c>
      <c r="I1558" s="1">
        <v>3</v>
      </c>
      <c r="J1558" s="1">
        <v>4</v>
      </c>
    </row>
    <row r="1559" spans="1:10" x14ac:dyDescent="0.2">
      <c r="A1559" s="1">
        <v>2088</v>
      </c>
      <c r="B1559" s="1">
        <v>0</v>
      </c>
      <c r="C1559" s="1">
        <v>18</v>
      </c>
      <c r="D1559" s="1">
        <v>2</v>
      </c>
      <c r="E1559" s="1">
        <v>3</v>
      </c>
      <c r="F1559" s="1">
        <v>7</v>
      </c>
      <c r="G1559" s="1">
        <v>4</v>
      </c>
      <c r="H1559" s="1">
        <v>1</v>
      </c>
      <c r="I1559" s="1">
        <v>1</v>
      </c>
      <c r="J1559" s="1">
        <v>4</v>
      </c>
    </row>
    <row r="1560" spans="1:10" x14ac:dyDescent="0.2">
      <c r="A1560" s="1">
        <v>2411</v>
      </c>
      <c r="B1560" s="1">
        <v>0</v>
      </c>
      <c r="C1560" s="1">
        <v>12</v>
      </c>
      <c r="D1560" s="1">
        <v>1</v>
      </c>
      <c r="E1560" s="1">
        <v>2</v>
      </c>
      <c r="F1560" s="1">
        <v>8</v>
      </c>
      <c r="G1560" s="1">
        <v>4</v>
      </c>
      <c r="H1560" s="1">
        <v>0</v>
      </c>
      <c r="I1560" s="1">
        <v>0</v>
      </c>
      <c r="J1560" s="1">
        <v>4</v>
      </c>
    </row>
    <row r="1561" spans="1:10" x14ac:dyDescent="0.2">
      <c r="A1561" s="1">
        <v>1473</v>
      </c>
      <c r="B1561" s="1">
        <v>0</v>
      </c>
      <c r="C1561" s="1">
        <v>15</v>
      </c>
      <c r="D1561" s="1">
        <v>4</v>
      </c>
      <c r="E1561" s="1">
        <v>2</v>
      </c>
      <c r="F1561" s="1">
        <v>8</v>
      </c>
      <c r="G1561" s="1">
        <v>4</v>
      </c>
      <c r="H1561" s="1">
        <v>1</v>
      </c>
      <c r="I1561" s="1">
        <v>2</v>
      </c>
      <c r="J1561" s="1">
        <v>4</v>
      </c>
    </row>
    <row r="1562" spans="1:10" x14ac:dyDescent="0.2">
      <c r="A1562" s="1">
        <v>1578</v>
      </c>
      <c r="B1562" s="1">
        <v>0</v>
      </c>
      <c r="C1562" s="1">
        <v>17</v>
      </c>
      <c r="D1562" s="1">
        <v>2</v>
      </c>
      <c r="E1562" s="1">
        <v>2</v>
      </c>
      <c r="F1562" s="1">
        <v>8</v>
      </c>
      <c r="G1562" s="1">
        <v>4</v>
      </c>
      <c r="H1562" s="1">
        <v>0</v>
      </c>
      <c r="I1562" s="1">
        <v>0</v>
      </c>
      <c r="J1562" s="1">
        <v>4</v>
      </c>
    </row>
    <row r="1563" spans="1:10" x14ac:dyDescent="0.2">
      <c r="A1563" s="1">
        <v>261</v>
      </c>
      <c r="B1563" s="1">
        <v>0</v>
      </c>
      <c r="C1563" s="1">
        <v>14</v>
      </c>
      <c r="D1563" s="1">
        <v>1</v>
      </c>
      <c r="E1563" s="1">
        <v>3</v>
      </c>
      <c r="F1563" s="1">
        <v>8</v>
      </c>
      <c r="G1563" s="1">
        <v>4</v>
      </c>
      <c r="H1563" s="1">
        <v>1</v>
      </c>
      <c r="I1563" s="1">
        <v>0</v>
      </c>
      <c r="J1563" s="1">
        <v>4</v>
      </c>
    </row>
    <row r="1564" spans="1:10" x14ac:dyDescent="0.2">
      <c r="A1564" s="1">
        <v>607</v>
      </c>
      <c r="B1564" s="1">
        <v>0</v>
      </c>
      <c r="C1564" s="1">
        <v>7</v>
      </c>
      <c r="D1564" s="1">
        <v>1</v>
      </c>
      <c r="E1564" s="1">
        <v>3</v>
      </c>
      <c r="F1564" s="1">
        <v>9</v>
      </c>
      <c r="G1564" s="1">
        <v>4</v>
      </c>
      <c r="H1564" s="1">
        <v>1</v>
      </c>
      <c r="I1564" s="1">
        <v>1</v>
      </c>
      <c r="J1564" s="1">
        <v>4</v>
      </c>
    </row>
    <row r="1565" spans="1:10" x14ac:dyDescent="0.2">
      <c r="A1565" s="1">
        <v>243</v>
      </c>
      <c r="B1565" s="1">
        <v>0</v>
      </c>
      <c r="C1565" s="1">
        <v>8</v>
      </c>
      <c r="D1565" s="1">
        <v>2</v>
      </c>
      <c r="E1565" s="1">
        <v>3</v>
      </c>
      <c r="F1565" s="1">
        <v>9</v>
      </c>
      <c r="G1565" s="1">
        <v>4</v>
      </c>
      <c r="H1565" s="1">
        <v>0</v>
      </c>
      <c r="I1565" s="1">
        <v>1</v>
      </c>
      <c r="J1565" s="1">
        <v>4</v>
      </c>
    </row>
    <row r="1566" spans="1:10" x14ac:dyDescent="0.2">
      <c r="A1566" s="1">
        <v>2373</v>
      </c>
      <c r="B1566" s="1">
        <v>0</v>
      </c>
      <c r="C1566" s="1">
        <v>8</v>
      </c>
      <c r="D1566" s="1">
        <v>5</v>
      </c>
      <c r="E1566" s="1">
        <v>3</v>
      </c>
      <c r="F1566" s="1">
        <v>9</v>
      </c>
      <c r="G1566" s="1">
        <v>4</v>
      </c>
      <c r="H1566" s="1">
        <v>1</v>
      </c>
      <c r="I1566" s="1">
        <v>0</v>
      </c>
      <c r="J1566" s="1">
        <v>4</v>
      </c>
    </row>
    <row r="1567" spans="1:10" x14ac:dyDescent="0.2">
      <c r="A1567" s="1">
        <v>2328</v>
      </c>
      <c r="B1567" s="1">
        <v>0</v>
      </c>
      <c r="C1567" s="1">
        <v>11</v>
      </c>
      <c r="D1567" s="1">
        <v>3</v>
      </c>
      <c r="E1567" s="1">
        <v>3</v>
      </c>
      <c r="F1567" s="1">
        <v>10</v>
      </c>
      <c r="G1567" s="1">
        <v>4</v>
      </c>
      <c r="H1567" s="1">
        <v>0</v>
      </c>
      <c r="I1567" s="1">
        <v>2</v>
      </c>
      <c r="J1567" s="1">
        <v>4</v>
      </c>
    </row>
    <row r="1568" spans="1:10" x14ac:dyDescent="0.2">
      <c r="A1568" s="1">
        <v>2003</v>
      </c>
      <c r="B1568" s="1">
        <v>0</v>
      </c>
      <c r="C1568" s="1">
        <v>9</v>
      </c>
      <c r="D1568" s="1">
        <v>1</v>
      </c>
      <c r="E1568" s="1">
        <v>1</v>
      </c>
      <c r="F1568" s="1">
        <v>1</v>
      </c>
      <c r="G1568" s="1">
        <v>5</v>
      </c>
      <c r="H1568" s="1">
        <v>1</v>
      </c>
      <c r="I1568" s="1">
        <v>3</v>
      </c>
      <c r="J1568" s="1">
        <v>4</v>
      </c>
    </row>
    <row r="1569" spans="1:10" x14ac:dyDescent="0.2">
      <c r="A1569" s="1">
        <v>1416</v>
      </c>
      <c r="B1569" s="1">
        <v>0</v>
      </c>
      <c r="C1569" s="1">
        <v>14</v>
      </c>
      <c r="D1569" s="1">
        <v>2</v>
      </c>
      <c r="E1569" s="1">
        <v>1</v>
      </c>
      <c r="F1569" s="1">
        <v>1</v>
      </c>
      <c r="G1569" s="1">
        <v>5</v>
      </c>
      <c r="H1569" s="1">
        <v>1</v>
      </c>
      <c r="I1569" s="1">
        <v>0</v>
      </c>
      <c r="J1569" s="1">
        <v>4</v>
      </c>
    </row>
    <row r="1570" spans="1:10" x14ac:dyDescent="0.2">
      <c r="A1570" s="1">
        <v>1739</v>
      </c>
      <c r="B1570" s="1">
        <v>0</v>
      </c>
      <c r="C1570" s="1">
        <v>14</v>
      </c>
      <c r="D1570" s="1">
        <v>1</v>
      </c>
      <c r="E1570" s="1">
        <v>1</v>
      </c>
      <c r="F1570" s="1">
        <v>1</v>
      </c>
      <c r="G1570" s="1">
        <v>5</v>
      </c>
      <c r="H1570" s="1">
        <v>1</v>
      </c>
      <c r="I1570" s="1">
        <v>0</v>
      </c>
      <c r="J1570" s="1">
        <v>4</v>
      </c>
    </row>
    <row r="1571" spans="1:10" x14ac:dyDescent="0.2">
      <c r="A1571" s="1">
        <v>555</v>
      </c>
      <c r="B1571" s="1">
        <v>0</v>
      </c>
      <c r="C1571" s="1">
        <v>5</v>
      </c>
      <c r="D1571" s="1">
        <v>4</v>
      </c>
      <c r="E1571" s="1">
        <v>2</v>
      </c>
      <c r="F1571" s="1">
        <v>1</v>
      </c>
      <c r="G1571" s="1">
        <v>5</v>
      </c>
      <c r="H1571" s="1">
        <v>0</v>
      </c>
      <c r="I1571" s="1">
        <v>3</v>
      </c>
      <c r="J1571" s="1">
        <v>4</v>
      </c>
    </row>
    <row r="1572" spans="1:10" x14ac:dyDescent="0.2">
      <c r="A1572" s="1">
        <v>1281</v>
      </c>
      <c r="B1572" s="1">
        <v>0</v>
      </c>
      <c r="C1572" s="1">
        <v>15</v>
      </c>
      <c r="D1572" s="1">
        <v>2</v>
      </c>
      <c r="E1572" s="1">
        <v>2</v>
      </c>
      <c r="F1572" s="1">
        <v>1</v>
      </c>
      <c r="G1572" s="1">
        <v>5</v>
      </c>
      <c r="H1572" s="1">
        <v>1</v>
      </c>
      <c r="I1572" s="1">
        <v>1</v>
      </c>
      <c r="J1572" s="1">
        <v>4</v>
      </c>
    </row>
    <row r="1573" spans="1:10" x14ac:dyDescent="0.2">
      <c r="A1573" s="1">
        <v>2221</v>
      </c>
      <c r="B1573" s="1">
        <v>0</v>
      </c>
      <c r="C1573" s="1">
        <v>14</v>
      </c>
      <c r="D1573" s="1">
        <v>5</v>
      </c>
      <c r="E1573" s="1">
        <v>3</v>
      </c>
      <c r="F1573" s="1">
        <v>1</v>
      </c>
      <c r="G1573" s="1">
        <v>5</v>
      </c>
      <c r="H1573" s="1">
        <v>0</v>
      </c>
      <c r="I1573" s="1">
        <v>0</v>
      </c>
      <c r="J1573" s="1">
        <v>4</v>
      </c>
    </row>
    <row r="1574" spans="1:10" x14ac:dyDescent="0.2">
      <c r="A1574" s="1">
        <v>2250</v>
      </c>
      <c r="B1574" s="1">
        <v>0</v>
      </c>
      <c r="C1574" s="1">
        <v>19</v>
      </c>
      <c r="D1574" s="1">
        <v>1</v>
      </c>
      <c r="E1574" s="1">
        <v>3</v>
      </c>
      <c r="F1574" s="1">
        <v>1</v>
      </c>
      <c r="G1574" s="1">
        <v>5</v>
      </c>
      <c r="H1574" s="1">
        <v>0</v>
      </c>
      <c r="I1574" s="1">
        <v>1</v>
      </c>
      <c r="J1574" s="1">
        <v>4</v>
      </c>
    </row>
    <row r="1575" spans="1:10" x14ac:dyDescent="0.2">
      <c r="A1575" s="1">
        <v>1118</v>
      </c>
      <c r="B1575" s="1">
        <v>0</v>
      </c>
      <c r="C1575" s="1">
        <v>14</v>
      </c>
      <c r="D1575" s="1">
        <v>4</v>
      </c>
      <c r="E1575" s="1">
        <v>1</v>
      </c>
      <c r="F1575" s="1">
        <v>2</v>
      </c>
      <c r="G1575" s="1">
        <v>5</v>
      </c>
      <c r="H1575" s="1">
        <v>0</v>
      </c>
      <c r="I1575" s="1">
        <v>2</v>
      </c>
      <c r="J1575" s="1">
        <v>4</v>
      </c>
    </row>
    <row r="1576" spans="1:10" x14ac:dyDescent="0.2">
      <c r="A1576" s="1">
        <v>311</v>
      </c>
      <c r="B1576" s="1">
        <v>0</v>
      </c>
      <c r="C1576" s="1">
        <v>7</v>
      </c>
      <c r="D1576" s="1">
        <v>2</v>
      </c>
      <c r="E1576" s="1">
        <v>2</v>
      </c>
      <c r="F1576" s="1">
        <v>2</v>
      </c>
      <c r="G1576" s="1">
        <v>5</v>
      </c>
      <c r="H1576" s="1">
        <v>1</v>
      </c>
      <c r="I1576" s="1">
        <v>2</v>
      </c>
      <c r="J1576" s="1">
        <v>4</v>
      </c>
    </row>
    <row r="1577" spans="1:10" x14ac:dyDescent="0.2">
      <c r="A1577" s="1">
        <v>103</v>
      </c>
      <c r="B1577" s="1">
        <v>0</v>
      </c>
      <c r="C1577" s="1">
        <v>15</v>
      </c>
      <c r="D1577" s="1">
        <v>3</v>
      </c>
      <c r="E1577" s="1">
        <v>2</v>
      </c>
      <c r="F1577" s="1">
        <v>2</v>
      </c>
      <c r="G1577" s="1">
        <v>5</v>
      </c>
      <c r="H1577" s="1">
        <v>0</v>
      </c>
      <c r="I1577" s="1">
        <v>3</v>
      </c>
      <c r="J1577" s="1">
        <v>4</v>
      </c>
    </row>
    <row r="1578" spans="1:10" x14ac:dyDescent="0.2">
      <c r="A1578" s="1">
        <v>28</v>
      </c>
      <c r="B1578" s="1">
        <v>0</v>
      </c>
      <c r="C1578" s="1">
        <v>16</v>
      </c>
      <c r="D1578" s="1">
        <v>4</v>
      </c>
      <c r="E1578" s="1">
        <v>1</v>
      </c>
      <c r="F1578" s="1">
        <v>3</v>
      </c>
      <c r="G1578" s="1">
        <v>5</v>
      </c>
      <c r="H1578" s="1">
        <v>0</v>
      </c>
      <c r="I1578" s="1">
        <v>0</v>
      </c>
      <c r="J1578" s="1">
        <v>4</v>
      </c>
    </row>
    <row r="1579" spans="1:10" x14ac:dyDescent="0.2">
      <c r="A1579" s="1">
        <v>284</v>
      </c>
      <c r="B1579" s="1">
        <v>0</v>
      </c>
      <c r="C1579" s="1">
        <v>12</v>
      </c>
      <c r="D1579" s="1">
        <v>3</v>
      </c>
      <c r="E1579" s="1">
        <v>2</v>
      </c>
      <c r="F1579" s="1">
        <v>3</v>
      </c>
      <c r="G1579" s="1">
        <v>5</v>
      </c>
      <c r="H1579" s="1">
        <v>1</v>
      </c>
      <c r="I1579" s="1">
        <v>0</v>
      </c>
      <c r="J1579" s="1">
        <v>4</v>
      </c>
    </row>
    <row r="1580" spans="1:10" x14ac:dyDescent="0.2">
      <c r="A1580" s="1">
        <v>1509</v>
      </c>
      <c r="B1580" s="1">
        <v>0</v>
      </c>
      <c r="C1580" s="1">
        <v>16</v>
      </c>
      <c r="D1580" s="1">
        <v>5</v>
      </c>
      <c r="E1580" s="1">
        <v>2</v>
      </c>
      <c r="F1580" s="1">
        <v>3</v>
      </c>
      <c r="G1580" s="1">
        <v>5</v>
      </c>
      <c r="H1580" s="1">
        <v>0</v>
      </c>
      <c r="I1580" s="1">
        <v>2</v>
      </c>
      <c r="J1580" s="1">
        <v>4</v>
      </c>
    </row>
    <row r="1581" spans="1:10" x14ac:dyDescent="0.2">
      <c r="A1581" s="1">
        <v>1605</v>
      </c>
      <c r="B1581" s="1">
        <v>0</v>
      </c>
      <c r="C1581" s="1">
        <v>17</v>
      </c>
      <c r="D1581" s="1">
        <v>4</v>
      </c>
      <c r="E1581" s="1">
        <v>3</v>
      </c>
      <c r="F1581" s="1">
        <v>3</v>
      </c>
      <c r="G1581" s="1">
        <v>5</v>
      </c>
      <c r="H1581" s="1">
        <v>0</v>
      </c>
      <c r="I1581" s="1">
        <v>3</v>
      </c>
      <c r="J1581" s="1">
        <v>4</v>
      </c>
    </row>
    <row r="1582" spans="1:10" x14ac:dyDescent="0.2">
      <c r="A1582" s="1">
        <v>163</v>
      </c>
      <c r="B1582" s="1">
        <v>0</v>
      </c>
      <c r="C1582" s="1">
        <v>6</v>
      </c>
      <c r="D1582" s="1">
        <v>4</v>
      </c>
      <c r="E1582" s="1">
        <v>1</v>
      </c>
      <c r="F1582" s="1">
        <v>4</v>
      </c>
      <c r="G1582" s="1">
        <v>5</v>
      </c>
      <c r="H1582" s="1">
        <v>0</v>
      </c>
      <c r="I1582" s="1">
        <v>2</v>
      </c>
      <c r="J1582" s="1">
        <v>4</v>
      </c>
    </row>
    <row r="1583" spans="1:10" x14ac:dyDescent="0.2">
      <c r="A1583" s="1">
        <v>1834</v>
      </c>
      <c r="B1583" s="1">
        <v>0</v>
      </c>
      <c r="C1583" s="1">
        <v>20</v>
      </c>
      <c r="D1583" s="1">
        <v>5</v>
      </c>
      <c r="E1583" s="1">
        <v>1</v>
      </c>
      <c r="F1583" s="1">
        <v>4</v>
      </c>
      <c r="G1583" s="1">
        <v>5</v>
      </c>
      <c r="H1583" s="1">
        <v>1</v>
      </c>
      <c r="I1583" s="1">
        <v>0</v>
      </c>
      <c r="J1583" s="1">
        <v>4</v>
      </c>
    </row>
    <row r="1584" spans="1:10" x14ac:dyDescent="0.2">
      <c r="A1584" s="1">
        <v>24</v>
      </c>
      <c r="B1584" s="1">
        <v>0</v>
      </c>
      <c r="C1584" s="1">
        <v>5</v>
      </c>
      <c r="D1584" s="1">
        <v>2</v>
      </c>
      <c r="E1584" s="1">
        <v>2</v>
      </c>
      <c r="F1584" s="1">
        <v>4</v>
      </c>
      <c r="G1584" s="1">
        <v>5</v>
      </c>
      <c r="H1584" s="1">
        <v>0</v>
      </c>
      <c r="I1584" s="1">
        <v>2</v>
      </c>
      <c r="J1584" s="1">
        <v>4</v>
      </c>
    </row>
    <row r="1585" spans="1:10" x14ac:dyDescent="0.2">
      <c r="A1585" s="1">
        <v>2280</v>
      </c>
      <c r="B1585" s="1">
        <v>0</v>
      </c>
      <c r="C1585" s="1">
        <v>11</v>
      </c>
      <c r="D1585" s="1">
        <v>5</v>
      </c>
      <c r="E1585" s="1">
        <v>2</v>
      </c>
      <c r="F1585" s="1">
        <v>4</v>
      </c>
      <c r="G1585" s="1">
        <v>5</v>
      </c>
      <c r="H1585" s="1">
        <v>0</v>
      </c>
      <c r="I1585" s="1">
        <v>1</v>
      </c>
      <c r="J1585" s="1">
        <v>4</v>
      </c>
    </row>
    <row r="1586" spans="1:10" x14ac:dyDescent="0.2">
      <c r="A1586" s="1">
        <v>1771</v>
      </c>
      <c r="B1586" s="1">
        <v>0</v>
      </c>
      <c r="C1586" s="1">
        <v>10</v>
      </c>
      <c r="D1586" s="1">
        <v>5</v>
      </c>
      <c r="E1586" s="1">
        <v>3</v>
      </c>
      <c r="F1586" s="1">
        <v>4</v>
      </c>
      <c r="G1586" s="1">
        <v>5</v>
      </c>
      <c r="H1586" s="1">
        <v>1</v>
      </c>
      <c r="I1586" s="1">
        <v>3</v>
      </c>
      <c r="J1586" s="1">
        <v>4</v>
      </c>
    </row>
    <row r="1587" spans="1:10" x14ac:dyDescent="0.2">
      <c r="A1587" s="1">
        <v>1778</v>
      </c>
      <c r="B1587" s="1">
        <v>0</v>
      </c>
      <c r="C1587" s="1">
        <v>11</v>
      </c>
      <c r="D1587" s="1">
        <v>4</v>
      </c>
      <c r="E1587" s="1">
        <v>3</v>
      </c>
      <c r="F1587" s="1">
        <v>4</v>
      </c>
      <c r="G1587" s="1">
        <v>5</v>
      </c>
      <c r="H1587" s="1">
        <v>1</v>
      </c>
      <c r="I1587" s="1">
        <v>2</v>
      </c>
      <c r="J1587" s="1">
        <v>4</v>
      </c>
    </row>
    <row r="1588" spans="1:10" x14ac:dyDescent="0.2">
      <c r="A1588" s="1">
        <v>928</v>
      </c>
      <c r="B1588" s="1">
        <v>0</v>
      </c>
      <c r="C1588" s="1">
        <v>17</v>
      </c>
      <c r="D1588" s="1">
        <v>3</v>
      </c>
      <c r="E1588" s="1">
        <v>2</v>
      </c>
      <c r="F1588" s="1">
        <v>5</v>
      </c>
      <c r="G1588" s="1">
        <v>5</v>
      </c>
      <c r="H1588" s="1">
        <v>1</v>
      </c>
      <c r="I1588" s="1">
        <v>3</v>
      </c>
      <c r="J1588" s="1">
        <v>4</v>
      </c>
    </row>
    <row r="1589" spans="1:10" x14ac:dyDescent="0.2">
      <c r="A1589" s="1">
        <v>1050</v>
      </c>
      <c r="B1589" s="1">
        <v>0</v>
      </c>
      <c r="C1589" s="1">
        <v>8</v>
      </c>
      <c r="D1589" s="1">
        <v>4</v>
      </c>
      <c r="E1589" s="1">
        <v>3</v>
      </c>
      <c r="F1589" s="1">
        <v>5</v>
      </c>
      <c r="G1589" s="1">
        <v>5</v>
      </c>
      <c r="H1589" s="1">
        <v>1</v>
      </c>
      <c r="I1589" s="1">
        <v>1</v>
      </c>
      <c r="J1589" s="1">
        <v>4</v>
      </c>
    </row>
    <row r="1590" spans="1:10" x14ac:dyDescent="0.2">
      <c r="A1590" s="1">
        <v>1300</v>
      </c>
      <c r="B1590" s="1">
        <v>0</v>
      </c>
      <c r="C1590" s="1">
        <v>20</v>
      </c>
      <c r="D1590" s="1">
        <v>4</v>
      </c>
      <c r="E1590" s="1">
        <v>3</v>
      </c>
      <c r="F1590" s="1">
        <v>5</v>
      </c>
      <c r="G1590" s="1">
        <v>5</v>
      </c>
      <c r="H1590" s="1">
        <v>0</v>
      </c>
      <c r="I1590" s="1">
        <v>0</v>
      </c>
      <c r="J1590" s="1">
        <v>4</v>
      </c>
    </row>
    <row r="1591" spans="1:10" x14ac:dyDescent="0.2">
      <c r="A1591" s="1">
        <v>1541</v>
      </c>
      <c r="B1591" s="1">
        <v>0</v>
      </c>
      <c r="C1591" s="1">
        <v>12</v>
      </c>
      <c r="D1591" s="1">
        <v>1</v>
      </c>
      <c r="E1591" s="1">
        <v>1</v>
      </c>
      <c r="F1591" s="1">
        <v>6</v>
      </c>
      <c r="G1591" s="1">
        <v>5</v>
      </c>
      <c r="H1591" s="1">
        <v>1</v>
      </c>
      <c r="I1591" s="1">
        <v>3</v>
      </c>
      <c r="J1591" s="1">
        <v>4</v>
      </c>
    </row>
    <row r="1592" spans="1:10" x14ac:dyDescent="0.2">
      <c r="A1592" s="1">
        <v>963</v>
      </c>
      <c r="B1592" s="1">
        <v>0</v>
      </c>
      <c r="C1592" s="1">
        <v>17</v>
      </c>
      <c r="D1592" s="1">
        <v>1</v>
      </c>
      <c r="E1592" s="1">
        <v>1</v>
      </c>
      <c r="F1592" s="1">
        <v>6</v>
      </c>
      <c r="G1592" s="1">
        <v>5</v>
      </c>
      <c r="H1592" s="1">
        <v>1</v>
      </c>
      <c r="I1592" s="1">
        <v>3</v>
      </c>
      <c r="J1592" s="1">
        <v>4</v>
      </c>
    </row>
    <row r="1593" spans="1:10" x14ac:dyDescent="0.2">
      <c r="A1593" s="1">
        <v>1595</v>
      </c>
      <c r="B1593" s="1">
        <v>0</v>
      </c>
      <c r="C1593" s="1">
        <v>17</v>
      </c>
      <c r="D1593" s="1">
        <v>4</v>
      </c>
      <c r="E1593" s="1">
        <v>1</v>
      </c>
      <c r="F1593" s="1">
        <v>6</v>
      </c>
      <c r="G1593" s="1">
        <v>5</v>
      </c>
      <c r="H1593" s="1">
        <v>1</v>
      </c>
      <c r="I1593" s="1">
        <v>0</v>
      </c>
      <c r="J1593" s="1">
        <v>4</v>
      </c>
    </row>
    <row r="1594" spans="1:10" x14ac:dyDescent="0.2">
      <c r="A1594" s="1">
        <v>2184</v>
      </c>
      <c r="B1594" s="1">
        <v>0</v>
      </c>
      <c r="C1594" s="1">
        <v>5</v>
      </c>
      <c r="D1594" s="1">
        <v>4</v>
      </c>
      <c r="E1594" s="1">
        <v>2</v>
      </c>
      <c r="F1594" s="1">
        <v>6</v>
      </c>
      <c r="G1594" s="1">
        <v>5</v>
      </c>
      <c r="H1594" s="1">
        <v>0</v>
      </c>
      <c r="I1594" s="1">
        <v>0</v>
      </c>
      <c r="J1594" s="1">
        <v>4</v>
      </c>
    </row>
    <row r="1595" spans="1:10" x14ac:dyDescent="0.2">
      <c r="A1595" s="1">
        <v>1604</v>
      </c>
      <c r="B1595" s="1">
        <v>0</v>
      </c>
      <c r="C1595" s="1">
        <v>6</v>
      </c>
      <c r="D1595" s="1">
        <v>2</v>
      </c>
      <c r="E1595" s="1">
        <v>2</v>
      </c>
      <c r="F1595" s="1">
        <v>6</v>
      </c>
      <c r="G1595" s="1">
        <v>5</v>
      </c>
      <c r="H1595" s="1">
        <v>1</v>
      </c>
      <c r="I1595" s="1">
        <v>1</v>
      </c>
      <c r="J1595" s="1">
        <v>4</v>
      </c>
    </row>
    <row r="1596" spans="1:10" x14ac:dyDescent="0.2">
      <c r="A1596" s="1">
        <v>1514</v>
      </c>
      <c r="B1596" s="1">
        <v>0</v>
      </c>
      <c r="C1596" s="1">
        <v>20</v>
      </c>
      <c r="D1596" s="1">
        <v>3</v>
      </c>
      <c r="E1596" s="1">
        <v>2</v>
      </c>
      <c r="F1596" s="1">
        <v>6</v>
      </c>
      <c r="G1596" s="1">
        <v>5</v>
      </c>
      <c r="H1596" s="1">
        <v>1</v>
      </c>
      <c r="I1596" s="1">
        <v>0</v>
      </c>
      <c r="J1596" s="1">
        <v>4</v>
      </c>
    </row>
    <row r="1597" spans="1:10" x14ac:dyDescent="0.2">
      <c r="A1597" s="1">
        <v>1907</v>
      </c>
      <c r="B1597" s="1">
        <v>0</v>
      </c>
      <c r="C1597" s="1">
        <v>6</v>
      </c>
      <c r="D1597" s="1">
        <v>2</v>
      </c>
      <c r="E1597" s="1">
        <v>3</v>
      </c>
      <c r="F1597" s="1">
        <v>6</v>
      </c>
      <c r="G1597" s="1">
        <v>5</v>
      </c>
      <c r="H1597" s="1">
        <v>0</v>
      </c>
      <c r="I1597" s="1">
        <v>3</v>
      </c>
      <c r="J1597" s="1">
        <v>4</v>
      </c>
    </row>
    <row r="1598" spans="1:10" x14ac:dyDescent="0.2">
      <c r="A1598" s="1">
        <v>1632</v>
      </c>
      <c r="B1598" s="1">
        <v>0</v>
      </c>
      <c r="C1598" s="1">
        <v>6</v>
      </c>
      <c r="D1598" s="1">
        <v>3</v>
      </c>
      <c r="E1598" s="1">
        <v>2</v>
      </c>
      <c r="F1598" s="1">
        <v>7</v>
      </c>
      <c r="G1598" s="1">
        <v>5</v>
      </c>
      <c r="H1598" s="1">
        <v>1</v>
      </c>
      <c r="I1598" s="1">
        <v>3</v>
      </c>
      <c r="J1598" s="1">
        <v>4</v>
      </c>
    </row>
    <row r="1599" spans="1:10" x14ac:dyDescent="0.2">
      <c r="A1599" s="1">
        <v>1748</v>
      </c>
      <c r="B1599" s="1">
        <v>0</v>
      </c>
      <c r="C1599" s="1">
        <v>11</v>
      </c>
      <c r="D1599" s="1">
        <v>4</v>
      </c>
      <c r="E1599" s="1">
        <v>2</v>
      </c>
      <c r="F1599" s="1">
        <v>7</v>
      </c>
      <c r="G1599" s="1">
        <v>5</v>
      </c>
      <c r="H1599" s="1">
        <v>0</v>
      </c>
      <c r="I1599" s="1">
        <v>0</v>
      </c>
      <c r="J1599" s="1">
        <v>4</v>
      </c>
    </row>
    <row r="1600" spans="1:10" x14ac:dyDescent="0.2">
      <c r="A1600" s="1">
        <v>1638</v>
      </c>
      <c r="B1600" s="1">
        <v>0</v>
      </c>
      <c r="C1600" s="1">
        <v>18</v>
      </c>
      <c r="D1600" s="1">
        <v>5</v>
      </c>
      <c r="E1600" s="1">
        <v>3</v>
      </c>
      <c r="F1600" s="1">
        <v>7</v>
      </c>
      <c r="G1600" s="1">
        <v>5</v>
      </c>
      <c r="H1600" s="1">
        <v>1</v>
      </c>
      <c r="I1600" s="1">
        <v>1</v>
      </c>
      <c r="J1600" s="1">
        <v>4</v>
      </c>
    </row>
    <row r="1601" spans="1:10" x14ac:dyDescent="0.2">
      <c r="A1601" s="1">
        <v>2455</v>
      </c>
      <c r="B1601" s="1">
        <v>0</v>
      </c>
      <c r="C1601" s="1">
        <v>20</v>
      </c>
      <c r="D1601" s="1">
        <v>2</v>
      </c>
      <c r="E1601" s="1">
        <v>3</v>
      </c>
      <c r="F1601" s="1">
        <v>7</v>
      </c>
      <c r="G1601" s="1">
        <v>5</v>
      </c>
      <c r="H1601" s="1">
        <v>1</v>
      </c>
      <c r="I1601" s="1">
        <v>3</v>
      </c>
      <c r="J1601" s="1">
        <v>4</v>
      </c>
    </row>
    <row r="1602" spans="1:10" x14ac:dyDescent="0.2">
      <c r="A1602" s="1">
        <v>1260</v>
      </c>
      <c r="B1602" s="1">
        <v>0</v>
      </c>
      <c r="C1602" s="1">
        <v>10</v>
      </c>
      <c r="D1602" s="1">
        <v>3</v>
      </c>
      <c r="E1602" s="1">
        <v>2</v>
      </c>
      <c r="F1602" s="1">
        <v>8</v>
      </c>
      <c r="G1602" s="1">
        <v>5</v>
      </c>
      <c r="H1602" s="1">
        <v>0</v>
      </c>
      <c r="I1602" s="1">
        <v>3</v>
      </c>
      <c r="J1602" s="1">
        <v>4</v>
      </c>
    </row>
    <row r="1603" spans="1:10" x14ac:dyDescent="0.2">
      <c r="A1603" s="1">
        <v>561</v>
      </c>
      <c r="B1603" s="1">
        <v>0</v>
      </c>
      <c r="C1603" s="1">
        <v>11</v>
      </c>
      <c r="D1603" s="1">
        <v>3</v>
      </c>
      <c r="E1603" s="1">
        <v>3</v>
      </c>
      <c r="F1603" s="1">
        <v>8</v>
      </c>
      <c r="G1603" s="1">
        <v>5</v>
      </c>
      <c r="H1603" s="1">
        <v>0</v>
      </c>
      <c r="I1603" s="1">
        <v>0</v>
      </c>
      <c r="J1603" s="1">
        <v>4</v>
      </c>
    </row>
    <row r="1604" spans="1:10" x14ac:dyDescent="0.2">
      <c r="A1604" s="1">
        <v>668</v>
      </c>
      <c r="B1604" s="1">
        <v>0</v>
      </c>
      <c r="C1604" s="1">
        <v>10</v>
      </c>
      <c r="D1604" s="1">
        <v>2</v>
      </c>
      <c r="E1604" s="1">
        <v>2</v>
      </c>
      <c r="F1604" s="1">
        <v>9</v>
      </c>
      <c r="G1604" s="1">
        <v>5</v>
      </c>
      <c r="H1604" s="1">
        <v>0</v>
      </c>
      <c r="I1604" s="1">
        <v>2</v>
      </c>
      <c r="J1604" s="1">
        <v>4</v>
      </c>
    </row>
    <row r="1605" spans="1:10" x14ac:dyDescent="0.2">
      <c r="A1605" s="1">
        <v>1092</v>
      </c>
      <c r="B1605" s="1">
        <v>0</v>
      </c>
      <c r="C1605" s="1">
        <v>16</v>
      </c>
      <c r="D1605" s="1">
        <v>5</v>
      </c>
      <c r="E1605" s="1">
        <v>3</v>
      </c>
      <c r="F1605" s="1">
        <v>9</v>
      </c>
      <c r="G1605" s="1">
        <v>5</v>
      </c>
      <c r="H1605" s="1">
        <v>1</v>
      </c>
      <c r="I1605" s="1">
        <v>0</v>
      </c>
      <c r="J1605" s="1">
        <v>4</v>
      </c>
    </row>
    <row r="1606" spans="1:10" x14ac:dyDescent="0.2">
      <c r="A1606" s="1">
        <v>2470</v>
      </c>
      <c r="B1606" s="1">
        <v>0</v>
      </c>
      <c r="C1606" s="1">
        <v>11</v>
      </c>
      <c r="D1606" s="1">
        <v>5</v>
      </c>
      <c r="E1606" s="1">
        <v>3</v>
      </c>
      <c r="F1606" s="1">
        <v>10</v>
      </c>
      <c r="G1606" s="1">
        <v>5</v>
      </c>
      <c r="H1606" s="1">
        <v>1</v>
      </c>
      <c r="I1606" s="1">
        <v>3</v>
      </c>
      <c r="J1606" s="1">
        <v>4</v>
      </c>
    </row>
    <row r="1607" spans="1:10" x14ac:dyDescent="0.2">
      <c r="A1607" s="1">
        <v>762</v>
      </c>
      <c r="B1607" s="1">
        <v>0</v>
      </c>
      <c r="C1607" s="1">
        <v>17</v>
      </c>
      <c r="D1607" s="1">
        <v>4</v>
      </c>
      <c r="E1607" s="1">
        <v>3</v>
      </c>
      <c r="F1607" s="1">
        <v>10</v>
      </c>
      <c r="G1607" s="1">
        <v>5</v>
      </c>
      <c r="H1607" s="1">
        <v>0</v>
      </c>
      <c r="I1607" s="1">
        <v>3</v>
      </c>
      <c r="J1607" s="1">
        <v>4</v>
      </c>
    </row>
    <row r="1608" spans="1:10" x14ac:dyDescent="0.2">
      <c r="A1608" s="1">
        <v>2238</v>
      </c>
      <c r="B1608" s="1">
        <v>0</v>
      </c>
      <c r="C1608" s="1">
        <v>5</v>
      </c>
      <c r="D1608" s="1">
        <v>4</v>
      </c>
      <c r="E1608" s="1">
        <v>1</v>
      </c>
      <c r="F1608" s="1">
        <v>1</v>
      </c>
      <c r="G1608" s="1">
        <v>6</v>
      </c>
      <c r="H1608" s="1">
        <v>0</v>
      </c>
      <c r="I1608" s="1">
        <v>0</v>
      </c>
      <c r="J1608" s="1">
        <v>4</v>
      </c>
    </row>
    <row r="1609" spans="1:10" x14ac:dyDescent="0.2">
      <c r="A1609" s="1">
        <v>370</v>
      </c>
      <c r="B1609" s="1">
        <v>0</v>
      </c>
      <c r="C1609" s="1">
        <v>12</v>
      </c>
      <c r="D1609" s="1">
        <v>2</v>
      </c>
      <c r="E1609" s="1">
        <v>1</v>
      </c>
      <c r="F1609" s="1">
        <v>1</v>
      </c>
      <c r="G1609" s="1">
        <v>6</v>
      </c>
      <c r="H1609" s="1">
        <v>1</v>
      </c>
      <c r="I1609" s="1">
        <v>0</v>
      </c>
      <c r="J1609" s="1">
        <v>4</v>
      </c>
    </row>
    <row r="1610" spans="1:10" x14ac:dyDescent="0.2">
      <c r="A1610" s="1">
        <v>1190</v>
      </c>
      <c r="B1610" s="1">
        <v>0</v>
      </c>
      <c r="C1610" s="1">
        <v>16</v>
      </c>
      <c r="D1610" s="1">
        <v>3</v>
      </c>
      <c r="E1610" s="1">
        <v>1</v>
      </c>
      <c r="F1610" s="1">
        <v>1</v>
      </c>
      <c r="G1610" s="1">
        <v>6</v>
      </c>
      <c r="H1610" s="1">
        <v>0</v>
      </c>
      <c r="I1610" s="1">
        <v>1</v>
      </c>
      <c r="J1610" s="1">
        <v>4</v>
      </c>
    </row>
    <row r="1611" spans="1:10" x14ac:dyDescent="0.2">
      <c r="A1611" s="1">
        <v>1205</v>
      </c>
      <c r="B1611" s="1">
        <v>0</v>
      </c>
      <c r="C1611" s="1">
        <v>19</v>
      </c>
      <c r="D1611" s="1">
        <v>1</v>
      </c>
      <c r="E1611" s="1">
        <v>1</v>
      </c>
      <c r="F1611" s="1">
        <v>1</v>
      </c>
      <c r="G1611" s="1">
        <v>6</v>
      </c>
      <c r="H1611" s="1">
        <v>0</v>
      </c>
      <c r="I1611" s="1">
        <v>3</v>
      </c>
      <c r="J1611" s="1">
        <v>4</v>
      </c>
    </row>
    <row r="1612" spans="1:10" x14ac:dyDescent="0.2">
      <c r="A1612" s="1">
        <v>1246</v>
      </c>
      <c r="B1612" s="1">
        <v>0</v>
      </c>
      <c r="C1612" s="1">
        <v>12</v>
      </c>
      <c r="D1612" s="1">
        <v>4</v>
      </c>
      <c r="E1612" s="1">
        <v>2</v>
      </c>
      <c r="F1612" s="1">
        <v>1</v>
      </c>
      <c r="G1612" s="1">
        <v>6</v>
      </c>
      <c r="H1612" s="1">
        <v>0</v>
      </c>
      <c r="I1612" s="1">
        <v>3</v>
      </c>
      <c r="J1612" s="1">
        <v>4</v>
      </c>
    </row>
    <row r="1613" spans="1:10" x14ac:dyDescent="0.2">
      <c r="A1613" s="1">
        <v>402</v>
      </c>
      <c r="B1613" s="1">
        <v>0</v>
      </c>
      <c r="C1613" s="1">
        <v>16</v>
      </c>
      <c r="D1613" s="1">
        <v>3</v>
      </c>
      <c r="E1613" s="1">
        <v>2</v>
      </c>
      <c r="F1613" s="1">
        <v>1</v>
      </c>
      <c r="G1613" s="1">
        <v>6</v>
      </c>
      <c r="H1613" s="1">
        <v>0</v>
      </c>
      <c r="I1613" s="1">
        <v>0</v>
      </c>
      <c r="J1613" s="1">
        <v>4</v>
      </c>
    </row>
    <row r="1614" spans="1:10" x14ac:dyDescent="0.2">
      <c r="A1614" s="1">
        <v>1924</v>
      </c>
      <c r="B1614" s="1">
        <v>0</v>
      </c>
      <c r="C1614" s="1">
        <v>18</v>
      </c>
      <c r="D1614" s="1">
        <v>5</v>
      </c>
      <c r="E1614" s="1">
        <v>2</v>
      </c>
      <c r="F1614" s="1">
        <v>1</v>
      </c>
      <c r="G1614" s="1">
        <v>6</v>
      </c>
      <c r="H1614" s="1">
        <v>1</v>
      </c>
      <c r="I1614" s="1">
        <v>2</v>
      </c>
      <c r="J1614" s="1">
        <v>4</v>
      </c>
    </row>
    <row r="1615" spans="1:10" x14ac:dyDescent="0.2">
      <c r="A1615" s="1">
        <v>346</v>
      </c>
      <c r="B1615" s="1">
        <v>0</v>
      </c>
      <c r="C1615" s="1">
        <v>5</v>
      </c>
      <c r="D1615" s="1">
        <v>1</v>
      </c>
      <c r="E1615" s="1">
        <v>3</v>
      </c>
      <c r="F1615" s="1">
        <v>1</v>
      </c>
      <c r="G1615" s="1">
        <v>6</v>
      </c>
      <c r="H1615" s="1">
        <v>0</v>
      </c>
      <c r="I1615" s="1">
        <v>1</v>
      </c>
      <c r="J1615" s="1">
        <v>4</v>
      </c>
    </row>
    <row r="1616" spans="1:10" x14ac:dyDescent="0.2">
      <c r="A1616" s="1">
        <v>1713</v>
      </c>
      <c r="B1616" s="1">
        <v>0</v>
      </c>
      <c r="C1616" s="1">
        <v>19</v>
      </c>
      <c r="D1616" s="1">
        <v>5</v>
      </c>
      <c r="E1616" s="1">
        <v>3</v>
      </c>
      <c r="F1616" s="1">
        <v>1</v>
      </c>
      <c r="G1616" s="1">
        <v>6</v>
      </c>
      <c r="H1616" s="1">
        <v>1</v>
      </c>
      <c r="I1616" s="1">
        <v>0</v>
      </c>
      <c r="J1616" s="1">
        <v>4</v>
      </c>
    </row>
    <row r="1617" spans="1:10" x14ac:dyDescent="0.2">
      <c r="A1617" s="1">
        <v>2348</v>
      </c>
      <c r="B1617" s="1">
        <v>0</v>
      </c>
      <c r="C1617" s="1">
        <v>17</v>
      </c>
      <c r="D1617" s="1">
        <v>2</v>
      </c>
      <c r="E1617" s="1">
        <v>1</v>
      </c>
      <c r="F1617" s="1">
        <v>2</v>
      </c>
      <c r="G1617" s="1">
        <v>6</v>
      </c>
      <c r="H1617" s="1">
        <v>1</v>
      </c>
      <c r="I1617" s="1">
        <v>2</v>
      </c>
      <c r="J1617" s="1">
        <v>4</v>
      </c>
    </row>
    <row r="1618" spans="1:10" x14ac:dyDescent="0.2">
      <c r="A1618" s="1">
        <v>1797</v>
      </c>
      <c r="B1618" s="1">
        <v>0</v>
      </c>
      <c r="C1618" s="1">
        <v>20</v>
      </c>
      <c r="D1618" s="1">
        <v>2</v>
      </c>
      <c r="E1618" s="1">
        <v>1</v>
      </c>
      <c r="F1618" s="1">
        <v>2</v>
      </c>
      <c r="G1618" s="1">
        <v>6</v>
      </c>
      <c r="H1618" s="1">
        <v>1</v>
      </c>
      <c r="I1618" s="1">
        <v>2</v>
      </c>
      <c r="J1618" s="1">
        <v>4</v>
      </c>
    </row>
    <row r="1619" spans="1:10" x14ac:dyDescent="0.2">
      <c r="A1619" s="1">
        <v>1975</v>
      </c>
      <c r="B1619" s="1">
        <v>0</v>
      </c>
      <c r="C1619" s="1">
        <v>5</v>
      </c>
      <c r="D1619" s="1">
        <v>3</v>
      </c>
      <c r="E1619" s="1">
        <v>2</v>
      </c>
      <c r="F1619" s="1">
        <v>2</v>
      </c>
      <c r="G1619" s="1">
        <v>6</v>
      </c>
      <c r="H1619" s="1">
        <v>1</v>
      </c>
      <c r="I1619" s="1">
        <v>2</v>
      </c>
      <c r="J1619" s="1">
        <v>4</v>
      </c>
    </row>
    <row r="1620" spans="1:10" x14ac:dyDescent="0.2">
      <c r="A1620" s="1">
        <v>72</v>
      </c>
      <c r="B1620" s="1">
        <v>0</v>
      </c>
      <c r="C1620" s="1">
        <v>10</v>
      </c>
      <c r="D1620" s="1">
        <v>5</v>
      </c>
      <c r="E1620" s="1">
        <v>3</v>
      </c>
      <c r="F1620" s="1">
        <v>2</v>
      </c>
      <c r="G1620" s="1">
        <v>6</v>
      </c>
      <c r="H1620" s="1">
        <v>0</v>
      </c>
      <c r="I1620" s="1">
        <v>1</v>
      </c>
      <c r="J1620" s="1">
        <v>4</v>
      </c>
    </row>
    <row r="1621" spans="1:10" x14ac:dyDescent="0.2">
      <c r="A1621" s="1">
        <v>638</v>
      </c>
      <c r="B1621" s="1">
        <v>0</v>
      </c>
      <c r="C1621" s="1">
        <v>11</v>
      </c>
      <c r="D1621" s="1">
        <v>1</v>
      </c>
      <c r="E1621" s="1">
        <v>3</v>
      </c>
      <c r="F1621" s="1">
        <v>2</v>
      </c>
      <c r="G1621" s="1">
        <v>6</v>
      </c>
      <c r="H1621" s="1">
        <v>0</v>
      </c>
      <c r="I1621" s="1">
        <v>0</v>
      </c>
      <c r="J1621" s="1">
        <v>4</v>
      </c>
    </row>
    <row r="1622" spans="1:10" x14ac:dyDescent="0.2">
      <c r="A1622" s="1">
        <v>1469</v>
      </c>
      <c r="B1622" s="1">
        <v>0</v>
      </c>
      <c r="C1622" s="1">
        <v>14</v>
      </c>
      <c r="D1622" s="1">
        <v>5</v>
      </c>
      <c r="E1622" s="1">
        <v>3</v>
      </c>
      <c r="F1622" s="1">
        <v>2</v>
      </c>
      <c r="G1622" s="1">
        <v>6</v>
      </c>
      <c r="H1622" s="1">
        <v>1</v>
      </c>
      <c r="I1622" s="1">
        <v>0</v>
      </c>
      <c r="J1622" s="1">
        <v>4</v>
      </c>
    </row>
    <row r="1623" spans="1:10" x14ac:dyDescent="0.2">
      <c r="A1623" s="1">
        <v>2044</v>
      </c>
      <c r="B1623" s="1">
        <v>0</v>
      </c>
      <c r="C1623" s="1">
        <v>14</v>
      </c>
      <c r="D1623" s="1">
        <v>2</v>
      </c>
      <c r="E1623" s="1">
        <v>3</v>
      </c>
      <c r="F1623" s="1">
        <v>2</v>
      </c>
      <c r="G1623" s="1">
        <v>6</v>
      </c>
      <c r="H1623" s="1">
        <v>1</v>
      </c>
      <c r="I1623" s="1">
        <v>1</v>
      </c>
      <c r="J1623" s="1">
        <v>4</v>
      </c>
    </row>
    <row r="1624" spans="1:10" x14ac:dyDescent="0.2">
      <c r="A1624" s="1">
        <v>301</v>
      </c>
      <c r="B1624" s="1">
        <v>0</v>
      </c>
      <c r="C1624" s="1">
        <v>11</v>
      </c>
      <c r="D1624" s="1">
        <v>5</v>
      </c>
      <c r="E1624" s="1">
        <v>2</v>
      </c>
      <c r="F1624" s="1">
        <v>3</v>
      </c>
      <c r="G1624" s="1">
        <v>6</v>
      </c>
      <c r="H1624" s="1">
        <v>0</v>
      </c>
      <c r="I1624" s="1">
        <v>2</v>
      </c>
      <c r="J1624" s="1">
        <v>4</v>
      </c>
    </row>
    <row r="1625" spans="1:10" x14ac:dyDescent="0.2">
      <c r="A1625" s="1">
        <v>863</v>
      </c>
      <c r="B1625" s="1">
        <v>0</v>
      </c>
      <c r="C1625" s="1">
        <v>18</v>
      </c>
      <c r="D1625" s="1">
        <v>3</v>
      </c>
      <c r="E1625" s="1">
        <v>2</v>
      </c>
      <c r="F1625" s="1">
        <v>3</v>
      </c>
      <c r="G1625" s="1">
        <v>6</v>
      </c>
      <c r="H1625" s="1">
        <v>0</v>
      </c>
      <c r="I1625" s="1">
        <v>3</v>
      </c>
      <c r="J1625" s="1">
        <v>4</v>
      </c>
    </row>
    <row r="1626" spans="1:10" x14ac:dyDescent="0.2">
      <c r="A1626" s="1">
        <v>259</v>
      </c>
      <c r="B1626" s="1">
        <v>0</v>
      </c>
      <c r="C1626" s="1">
        <v>20</v>
      </c>
      <c r="D1626" s="1">
        <v>2</v>
      </c>
      <c r="E1626" s="1">
        <v>2</v>
      </c>
      <c r="F1626" s="1">
        <v>3</v>
      </c>
      <c r="G1626" s="1">
        <v>6</v>
      </c>
      <c r="H1626" s="1">
        <v>1</v>
      </c>
      <c r="I1626" s="1">
        <v>3</v>
      </c>
      <c r="J1626" s="1">
        <v>4</v>
      </c>
    </row>
    <row r="1627" spans="1:10" x14ac:dyDescent="0.2">
      <c r="A1627" s="1">
        <v>510</v>
      </c>
      <c r="B1627" s="1">
        <v>0</v>
      </c>
      <c r="C1627" s="1">
        <v>10</v>
      </c>
      <c r="D1627" s="1">
        <v>3</v>
      </c>
      <c r="E1627" s="1">
        <v>3</v>
      </c>
      <c r="F1627" s="1">
        <v>3</v>
      </c>
      <c r="G1627" s="1">
        <v>6</v>
      </c>
      <c r="H1627" s="1">
        <v>1</v>
      </c>
      <c r="I1627" s="1">
        <v>3</v>
      </c>
      <c r="J1627" s="1">
        <v>4</v>
      </c>
    </row>
    <row r="1628" spans="1:10" x14ac:dyDescent="0.2">
      <c r="A1628" s="1">
        <v>133</v>
      </c>
      <c r="B1628" s="1">
        <v>0</v>
      </c>
      <c r="C1628" s="1">
        <v>13</v>
      </c>
      <c r="D1628" s="1">
        <v>3</v>
      </c>
      <c r="E1628" s="1">
        <v>3</v>
      </c>
      <c r="F1628" s="1">
        <v>3</v>
      </c>
      <c r="G1628" s="1">
        <v>6</v>
      </c>
      <c r="H1628" s="1">
        <v>1</v>
      </c>
      <c r="I1628" s="1">
        <v>0</v>
      </c>
      <c r="J1628" s="1">
        <v>4</v>
      </c>
    </row>
    <row r="1629" spans="1:10" x14ac:dyDescent="0.2">
      <c r="A1629" s="1">
        <v>1561</v>
      </c>
      <c r="B1629" s="1">
        <v>0</v>
      </c>
      <c r="C1629" s="1">
        <v>19</v>
      </c>
      <c r="D1629" s="1">
        <v>1</v>
      </c>
      <c r="E1629" s="1">
        <v>3</v>
      </c>
      <c r="F1629" s="1">
        <v>3</v>
      </c>
      <c r="G1629" s="1">
        <v>6</v>
      </c>
      <c r="H1629" s="1">
        <v>0</v>
      </c>
      <c r="I1629" s="1">
        <v>1</v>
      </c>
      <c r="J1629" s="1">
        <v>4</v>
      </c>
    </row>
    <row r="1630" spans="1:10" x14ac:dyDescent="0.2">
      <c r="A1630" s="1">
        <v>383</v>
      </c>
      <c r="B1630" s="1">
        <v>0</v>
      </c>
      <c r="C1630" s="1">
        <v>7</v>
      </c>
      <c r="D1630" s="1">
        <v>2</v>
      </c>
      <c r="E1630" s="1">
        <v>1</v>
      </c>
      <c r="F1630" s="1">
        <v>4</v>
      </c>
      <c r="G1630" s="1">
        <v>6</v>
      </c>
      <c r="H1630" s="1">
        <v>0</v>
      </c>
      <c r="I1630" s="1">
        <v>2</v>
      </c>
      <c r="J1630" s="1">
        <v>4</v>
      </c>
    </row>
    <row r="1631" spans="1:10" x14ac:dyDescent="0.2">
      <c r="A1631" s="1">
        <v>285</v>
      </c>
      <c r="B1631" s="1">
        <v>0</v>
      </c>
      <c r="C1631" s="1">
        <v>12</v>
      </c>
      <c r="D1631" s="1">
        <v>1</v>
      </c>
      <c r="E1631" s="1">
        <v>1</v>
      </c>
      <c r="F1631" s="1">
        <v>4</v>
      </c>
      <c r="G1631" s="1">
        <v>6</v>
      </c>
      <c r="H1631" s="1">
        <v>0</v>
      </c>
      <c r="I1631" s="1">
        <v>3</v>
      </c>
      <c r="J1631" s="1">
        <v>4</v>
      </c>
    </row>
    <row r="1632" spans="1:10" x14ac:dyDescent="0.2">
      <c r="A1632" s="1">
        <v>1472</v>
      </c>
      <c r="B1632" s="1">
        <v>0</v>
      </c>
      <c r="C1632" s="1">
        <v>12</v>
      </c>
      <c r="D1632" s="1">
        <v>3</v>
      </c>
      <c r="E1632" s="1">
        <v>1</v>
      </c>
      <c r="F1632" s="1">
        <v>4</v>
      </c>
      <c r="G1632" s="1">
        <v>6</v>
      </c>
      <c r="H1632" s="1">
        <v>0</v>
      </c>
      <c r="I1632" s="1">
        <v>3</v>
      </c>
      <c r="J1632" s="1">
        <v>4</v>
      </c>
    </row>
    <row r="1633" spans="1:10" x14ac:dyDescent="0.2">
      <c r="A1633" s="1">
        <v>165</v>
      </c>
      <c r="B1633" s="1">
        <v>0</v>
      </c>
      <c r="C1633" s="1">
        <v>16</v>
      </c>
      <c r="D1633" s="1">
        <v>3</v>
      </c>
      <c r="E1633" s="1">
        <v>1</v>
      </c>
      <c r="F1633" s="1">
        <v>4</v>
      </c>
      <c r="G1633" s="1">
        <v>6</v>
      </c>
      <c r="H1633" s="1">
        <v>1</v>
      </c>
      <c r="I1633" s="1">
        <v>1</v>
      </c>
      <c r="J1633" s="1">
        <v>4</v>
      </c>
    </row>
    <row r="1634" spans="1:10" x14ac:dyDescent="0.2">
      <c r="A1634" s="1">
        <v>948</v>
      </c>
      <c r="B1634" s="1">
        <v>0</v>
      </c>
      <c r="C1634" s="1">
        <v>16</v>
      </c>
      <c r="D1634" s="1">
        <v>2</v>
      </c>
      <c r="E1634" s="1">
        <v>1</v>
      </c>
      <c r="F1634" s="1">
        <v>4</v>
      </c>
      <c r="G1634" s="1">
        <v>6</v>
      </c>
      <c r="H1634" s="1">
        <v>1</v>
      </c>
      <c r="I1634" s="1">
        <v>2</v>
      </c>
      <c r="J1634" s="1">
        <v>4</v>
      </c>
    </row>
    <row r="1635" spans="1:10" x14ac:dyDescent="0.2">
      <c r="A1635" s="1">
        <v>533</v>
      </c>
      <c r="B1635" s="1">
        <v>0</v>
      </c>
      <c r="C1635" s="1">
        <v>12</v>
      </c>
      <c r="D1635" s="1">
        <v>4</v>
      </c>
      <c r="E1635" s="1">
        <v>2</v>
      </c>
      <c r="F1635" s="1">
        <v>4</v>
      </c>
      <c r="G1635" s="1">
        <v>6</v>
      </c>
      <c r="H1635" s="1">
        <v>0</v>
      </c>
      <c r="I1635" s="1">
        <v>0</v>
      </c>
      <c r="J1635" s="1">
        <v>4</v>
      </c>
    </row>
    <row r="1636" spans="1:10" x14ac:dyDescent="0.2">
      <c r="A1636" s="1">
        <v>840</v>
      </c>
      <c r="B1636" s="1">
        <v>0</v>
      </c>
      <c r="C1636" s="1">
        <v>13</v>
      </c>
      <c r="D1636" s="1">
        <v>3</v>
      </c>
      <c r="E1636" s="1">
        <v>2</v>
      </c>
      <c r="F1636" s="1">
        <v>4</v>
      </c>
      <c r="G1636" s="1">
        <v>6</v>
      </c>
      <c r="H1636" s="1">
        <v>1</v>
      </c>
      <c r="I1636" s="1">
        <v>3</v>
      </c>
      <c r="J1636" s="1">
        <v>4</v>
      </c>
    </row>
    <row r="1637" spans="1:10" x14ac:dyDescent="0.2">
      <c r="A1637" s="1">
        <v>1679</v>
      </c>
      <c r="B1637" s="1">
        <v>0</v>
      </c>
      <c r="C1637" s="1">
        <v>19</v>
      </c>
      <c r="D1637" s="1">
        <v>2</v>
      </c>
      <c r="E1637" s="1">
        <v>3</v>
      </c>
      <c r="F1637" s="1">
        <v>4</v>
      </c>
      <c r="G1637" s="1">
        <v>6</v>
      </c>
      <c r="H1637" s="1">
        <v>0</v>
      </c>
      <c r="I1637" s="1">
        <v>1</v>
      </c>
      <c r="J1637" s="1">
        <v>4</v>
      </c>
    </row>
    <row r="1638" spans="1:10" x14ac:dyDescent="0.2">
      <c r="A1638" s="1">
        <v>2207</v>
      </c>
      <c r="B1638" s="1">
        <v>0</v>
      </c>
      <c r="C1638" s="1">
        <v>16</v>
      </c>
      <c r="D1638" s="1">
        <v>1</v>
      </c>
      <c r="E1638" s="1">
        <v>2</v>
      </c>
      <c r="F1638" s="1">
        <v>5</v>
      </c>
      <c r="G1638" s="1">
        <v>6</v>
      </c>
      <c r="H1638" s="1">
        <v>1</v>
      </c>
      <c r="I1638" s="1">
        <v>2</v>
      </c>
      <c r="J1638" s="1">
        <v>4</v>
      </c>
    </row>
    <row r="1639" spans="1:10" x14ac:dyDescent="0.2">
      <c r="A1639" s="1">
        <v>1135</v>
      </c>
      <c r="B1639" s="1">
        <v>0</v>
      </c>
      <c r="C1639" s="1">
        <v>16</v>
      </c>
      <c r="D1639" s="1">
        <v>3</v>
      </c>
      <c r="E1639" s="1">
        <v>3</v>
      </c>
      <c r="F1639" s="1">
        <v>5</v>
      </c>
      <c r="G1639" s="1">
        <v>6</v>
      </c>
      <c r="H1639" s="1">
        <v>1</v>
      </c>
      <c r="I1639" s="1">
        <v>1</v>
      </c>
      <c r="J1639" s="1">
        <v>4</v>
      </c>
    </row>
    <row r="1640" spans="1:10" x14ac:dyDescent="0.2">
      <c r="A1640" s="1">
        <v>430</v>
      </c>
      <c r="B1640" s="1">
        <v>0</v>
      </c>
      <c r="C1640" s="1">
        <v>17</v>
      </c>
      <c r="D1640" s="1">
        <v>3</v>
      </c>
      <c r="E1640" s="1">
        <v>3</v>
      </c>
      <c r="F1640" s="1">
        <v>5</v>
      </c>
      <c r="G1640" s="1">
        <v>6</v>
      </c>
      <c r="H1640" s="1">
        <v>0</v>
      </c>
      <c r="I1640" s="1">
        <v>0</v>
      </c>
      <c r="J1640" s="1">
        <v>4</v>
      </c>
    </row>
    <row r="1641" spans="1:10" x14ac:dyDescent="0.2">
      <c r="A1641" s="1">
        <v>1065</v>
      </c>
      <c r="B1641" s="1">
        <v>0</v>
      </c>
      <c r="C1641" s="1">
        <v>20</v>
      </c>
      <c r="D1641" s="1">
        <v>2</v>
      </c>
      <c r="E1641" s="1">
        <v>3</v>
      </c>
      <c r="F1641" s="1">
        <v>5</v>
      </c>
      <c r="G1641" s="1">
        <v>6</v>
      </c>
      <c r="H1641" s="1">
        <v>1</v>
      </c>
      <c r="I1641" s="1">
        <v>1</v>
      </c>
      <c r="J1641" s="1">
        <v>4</v>
      </c>
    </row>
    <row r="1642" spans="1:10" x14ac:dyDescent="0.2">
      <c r="A1642" s="1">
        <v>1075</v>
      </c>
      <c r="B1642" s="1">
        <v>0</v>
      </c>
      <c r="C1642" s="1">
        <v>20</v>
      </c>
      <c r="D1642" s="1">
        <v>4</v>
      </c>
      <c r="E1642" s="1">
        <v>3</v>
      </c>
      <c r="F1642" s="1">
        <v>5</v>
      </c>
      <c r="G1642" s="1">
        <v>6</v>
      </c>
      <c r="H1642" s="1">
        <v>0</v>
      </c>
      <c r="I1642" s="1">
        <v>3</v>
      </c>
      <c r="J1642" s="1">
        <v>4</v>
      </c>
    </row>
    <row r="1643" spans="1:10" x14ac:dyDescent="0.2">
      <c r="A1643" s="1">
        <v>376</v>
      </c>
      <c r="B1643" s="1">
        <v>0</v>
      </c>
      <c r="C1643" s="1">
        <v>18</v>
      </c>
      <c r="D1643" s="1">
        <v>3</v>
      </c>
      <c r="E1643" s="1">
        <v>2</v>
      </c>
      <c r="F1643" s="1">
        <v>6</v>
      </c>
      <c r="G1643" s="1">
        <v>6</v>
      </c>
      <c r="H1643" s="1">
        <v>1</v>
      </c>
      <c r="I1643" s="1">
        <v>2</v>
      </c>
      <c r="J1643" s="1">
        <v>4</v>
      </c>
    </row>
    <row r="1644" spans="1:10" x14ac:dyDescent="0.2">
      <c r="A1644" s="1">
        <v>2338</v>
      </c>
      <c r="B1644" s="1">
        <v>0</v>
      </c>
      <c r="C1644" s="1">
        <v>8</v>
      </c>
      <c r="D1644" s="1">
        <v>1</v>
      </c>
      <c r="E1644" s="1">
        <v>3</v>
      </c>
      <c r="F1644" s="1">
        <v>6</v>
      </c>
      <c r="G1644" s="1">
        <v>6</v>
      </c>
      <c r="H1644" s="1">
        <v>0</v>
      </c>
      <c r="I1644" s="1">
        <v>0</v>
      </c>
      <c r="J1644" s="1">
        <v>4</v>
      </c>
    </row>
    <row r="1645" spans="1:10" x14ac:dyDescent="0.2">
      <c r="A1645" s="1">
        <v>1881</v>
      </c>
      <c r="B1645" s="1">
        <v>0</v>
      </c>
      <c r="C1645" s="1">
        <v>7</v>
      </c>
      <c r="D1645" s="1">
        <v>1</v>
      </c>
      <c r="E1645" s="1">
        <v>2</v>
      </c>
      <c r="F1645" s="1">
        <v>7</v>
      </c>
      <c r="G1645" s="1">
        <v>6</v>
      </c>
      <c r="H1645" s="1">
        <v>1</v>
      </c>
      <c r="I1645" s="1">
        <v>0</v>
      </c>
      <c r="J1645" s="1">
        <v>4</v>
      </c>
    </row>
    <row r="1646" spans="1:10" x14ac:dyDescent="0.2">
      <c r="A1646" s="1">
        <v>2239</v>
      </c>
      <c r="B1646" s="1">
        <v>0</v>
      </c>
      <c r="C1646" s="1">
        <v>18</v>
      </c>
      <c r="D1646" s="1">
        <v>5</v>
      </c>
      <c r="E1646" s="1">
        <v>2</v>
      </c>
      <c r="F1646" s="1">
        <v>7</v>
      </c>
      <c r="G1646" s="1">
        <v>6</v>
      </c>
      <c r="H1646" s="1">
        <v>1</v>
      </c>
      <c r="I1646" s="1">
        <v>3</v>
      </c>
      <c r="J1646" s="1">
        <v>4</v>
      </c>
    </row>
    <row r="1647" spans="1:10" x14ac:dyDescent="0.2">
      <c r="A1647" s="1">
        <v>536</v>
      </c>
      <c r="B1647" s="1">
        <v>0</v>
      </c>
      <c r="C1647" s="1">
        <v>14</v>
      </c>
      <c r="D1647" s="1">
        <v>4</v>
      </c>
      <c r="E1647" s="1">
        <v>3</v>
      </c>
      <c r="F1647" s="1">
        <v>7</v>
      </c>
      <c r="G1647" s="1">
        <v>6</v>
      </c>
      <c r="H1647" s="1">
        <v>0</v>
      </c>
      <c r="I1647" s="1">
        <v>1</v>
      </c>
      <c r="J1647" s="1">
        <v>4</v>
      </c>
    </row>
    <row r="1648" spans="1:10" x14ac:dyDescent="0.2">
      <c r="A1648" s="1">
        <v>1070</v>
      </c>
      <c r="B1648" s="1">
        <v>0</v>
      </c>
      <c r="C1648" s="1">
        <v>14</v>
      </c>
      <c r="D1648" s="1">
        <v>5</v>
      </c>
      <c r="E1648" s="1">
        <v>3</v>
      </c>
      <c r="F1648" s="1">
        <v>7</v>
      </c>
      <c r="G1648" s="1">
        <v>6</v>
      </c>
      <c r="H1648" s="1">
        <v>0</v>
      </c>
      <c r="I1648" s="1">
        <v>1</v>
      </c>
      <c r="J1648" s="1">
        <v>4</v>
      </c>
    </row>
    <row r="1649" spans="1:10" x14ac:dyDescent="0.2">
      <c r="A1649" s="1">
        <v>1765</v>
      </c>
      <c r="B1649" s="1">
        <v>0</v>
      </c>
      <c r="C1649" s="1">
        <v>8</v>
      </c>
      <c r="D1649" s="1">
        <v>4</v>
      </c>
      <c r="E1649" s="1">
        <v>3</v>
      </c>
      <c r="F1649" s="1">
        <v>8</v>
      </c>
      <c r="G1649" s="1">
        <v>6</v>
      </c>
      <c r="H1649" s="1">
        <v>1</v>
      </c>
      <c r="I1649" s="1">
        <v>1</v>
      </c>
      <c r="J1649" s="1">
        <v>4</v>
      </c>
    </row>
    <row r="1650" spans="1:10" x14ac:dyDescent="0.2">
      <c r="A1650" s="1">
        <v>1606</v>
      </c>
      <c r="B1650" s="1">
        <v>0</v>
      </c>
      <c r="C1650" s="1">
        <v>10</v>
      </c>
      <c r="D1650" s="1">
        <v>5</v>
      </c>
      <c r="E1650" s="1">
        <v>3</v>
      </c>
      <c r="F1650" s="1">
        <v>8</v>
      </c>
      <c r="G1650" s="1">
        <v>6</v>
      </c>
      <c r="H1650" s="1">
        <v>0</v>
      </c>
      <c r="I1650" s="1">
        <v>1</v>
      </c>
      <c r="J1650" s="1">
        <v>4</v>
      </c>
    </row>
    <row r="1651" spans="1:10" x14ac:dyDescent="0.2">
      <c r="A1651" s="1">
        <v>1592</v>
      </c>
      <c r="B1651" s="1">
        <v>0</v>
      </c>
      <c r="C1651" s="1">
        <v>5</v>
      </c>
      <c r="D1651" s="1">
        <v>1</v>
      </c>
      <c r="E1651" s="1">
        <v>2</v>
      </c>
      <c r="F1651" s="1">
        <v>9</v>
      </c>
      <c r="G1651" s="1">
        <v>6</v>
      </c>
      <c r="H1651" s="1">
        <v>1</v>
      </c>
      <c r="I1651" s="1">
        <v>0</v>
      </c>
      <c r="J1651" s="1">
        <v>4</v>
      </c>
    </row>
    <row r="1652" spans="1:10" x14ac:dyDescent="0.2">
      <c r="A1652" s="1">
        <v>4</v>
      </c>
      <c r="B1652" s="1">
        <v>0</v>
      </c>
      <c r="C1652" s="1">
        <v>7</v>
      </c>
      <c r="D1652" s="1">
        <v>2</v>
      </c>
      <c r="E1652" s="1">
        <v>2</v>
      </c>
      <c r="F1652" s="1">
        <v>9</v>
      </c>
      <c r="G1652" s="1">
        <v>6</v>
      </c>
      <c r="H1652" s="1">
        <v>0</v>
      </c>
      <c r="I1652" s="1">
        <v>3</v>
      </c>
      <c r="J1652" s="1">
        <v>4</v>
      </c>
    </row>
    <row r="1653" spans="1:10" x14ac:dyDescent="0.2">
      <c r="A1653" s="1">
        <v>2385</v>
      </c>
      <c r="B1653" s="1">
        <v>0</v>
      </c>
      <c r="C1653" s="1">
        <v>15</v>
      </c>
      <c r="D1653" s="1">
        <v>4</v>
      </c>
      <c r="E1653" s="1">
        <v>2</v>
      </c>
      <c r="F1653" s="1">
        <v>9</v>
      </c>
      <c r="G1653" s="1">
        <v>6</v>
      </c>
      <c r="H1653" s="1">
        <v>1</v>
      </c>
      <c r="I1653" s="1">
        <v>3</v>
      </c>
      <c r="J1653" s="1">
        <v>4</v>
      </c>
    </row>
    <row r="1654" spans="1:10" x14ac:dyDescent="0.2">
      <c r="A1654" s="1">
        <v>305</v>
      </c>
      <c r="B1654" s="1">
        <v>0</v>
      </c>
      <c r="C1654" s="1">
        <v>16</v>
      </c>
      <c r="D1654" s="1">
        <v>3</v>
      </c>
      <c r="E1654" s="1">
        <v>2</v>
      </c>
      <c r="F1654" s="1">
        <v>9</v>
      </c>
      <c r="G1654" s="1">
        <v>6</v>
      </c>
      <c r="H1654" s="1">
        <v>0</v>
      </c>
      <c r="I1654" s="1">
        <v>1</v>
      </c>
      <c r="J1654" s="1">
        <v>4</v>
      </c>
    </row>
    <row r="1655" spans="1:10" x14ac:dyDescent="0.2">
      <c r="A1655" s="1">
        <v>1747</v>
      </c>
      <c r="B1655" s="1">
        <v>0</v>
      </c>
      <c r="C1655" s="1">
        <v>10</v>
      </c>
      <c r="D1655" s="1">
        <v>3</v>
      </c>
      <c r="E1655" s="1">
        <v>3</v>
      </c>
      <c r="F1655" s="1">
        <v>9</v>
      </c>
      <c r="G1655" s="1">
        <v>6</v>
      </c>
      <c r="H1655" s="1">
        <v>0</v>
      </c>
      <c r="I1655" s="1">
        <v>3</v>
      </c>
      <c r="J1655" s="1">
        <v>4</v>
      </c>
    </row>
    <row r="1656" spans="1:10" x14ac:dyDescent="0.2">
      <c r="A1656" s="1">
        <v>1992</v>
      </c>
      <c r="B1656" s="1">
        <v>0</v>
      </c>
      <c r="C1656" s="1">
        <v>15</v>
      </c>
      <c r="D1656" s="1">
        <v>1</v>
      </c>
      <c r="E1656" s="1">
        <v>3</v>
      </c>
      <c r="F1656" s="1">
        <v>9</v>
      </c>
      <c r="G1656" s="1">
        <v>6</v>
      </c>
      <c r="H1656" s="1">
        <v>1</v>
      </c>
      <c r="I1656" s="1">
        <v>0</v>
      </c>
      <c r="J1656" s="1">
        <v>4</v>
      </c>
    </row>
    <row r="1657" spans="1:10" x14ac:dyDescent="0.2">
      <c r="A1657" s="1">
        <v>703</v>
      </c>
      <c r="B1657" s="1">
        <v>0</v>
      </c>
      <c r="C1657" s="1">
        <v>20</v>
      </c>
      <c r="D1657" s="1">
        <v>5</v>
      </c>
      <c r="E1657" s="1">
        <v>3</v>
      </c>
      <c r="F1657" s="1">
        <v>9</v>
      </c>
      <c r="G1657" s="1">
        <v>6</v>
      </c>
      <c r="H1657" s="1">
        <v>0</v>
      </c>
      <c r="I1657" s="1">
        <v>2</v>
      </c>
      <c r="J1657" s="1">
        <v>4</v>
      </c>
    </row>
    <row r="1658" spans="1:10" x14ac:dyDescent="0.2">
      <c r="A1658" s="1">
        <v>1005</v>
      </c>
      <c r="B1658" s="1">
        <v>0</v>
      </c>
      <c r="C1658" s="1">
        <v>15</v>
      </c>
      <c r="D1658" s="1">
        <v>5</v>
      </c>
      <c r="E1658" s="1">
        <v>3</v>
      </c>
      <c r="F1658" s="1">
        <v>10</v>
      </c>
      <c r="G1658" s="1">
        <v>6</v>
      </c>
      <c r="H1658" s="1">
        <v>1</v>
      </c>
      <c r="I1658" s="1">
        <v>3</v>
      </c>
      <c r="J1658" s="1">
        <v>4</v>
      </c>
    </row>
    <row r="1659" spans="1:10" x14ac:dyDescent="0.2">
      <c r="A1659" s="1">
        <v>589</v>
      </c>
      <c r="B1659" s="1">
        <v>0</v>
      </c>
      <c r="C1659" s="1">
        <v>8</v>
      </c>
      <c r="D1659" s="1">
        <v>4</v>
      </c>
      <c r="E1659" s="1">
        <v>2</v>
      </c>
      <c r="F1659" s="1">
        <v>1</v>
      </c>
      <c r="G1659" s="1">
        <v>7</v>
      </c>
      <c r="H1659" s="1">
        <v>0</v>
      </c>
      <c r="I1659" s="1">
        <v>3</v>
      </c>
      <c r="J1659" s="1">
        <v>4</v>
      </c>
    </row>
    <row r="1660" spans="1:10" x14ac:dyDescent="0.2">
      <c r="A1660" s="1">
        <v>2429</v>
      </c>
      <c r="B1660" s="1">
        <v>0</v>
      </c>
      <c r="C1660" s="1">
        <v>10</v>
      </c>
      <c r="D1660" s="1">
        <v>1</v>
      </c>
      <c r="E1660" s="1">
        <v>2</v>
      </c>
      <c r="F1660" s="1">
        <v>1</v>
      </c>
      <c r="G1660" s="1">
        <v>7</v>
      </c>
      <c r="H1660" s="1">
        <v>1</v>
      </c>
      <c r="I1660" s="1">
        <v>3</v>
      </c>
      <c r="J1660" s="1">
        <v>4</v>
      </c>
    </row>
    <row r="1661" spans="1:10" x14ac:dyDescent="0.2">
      <c r="A1661" s="1">
        <v>369</v>
      </c>
      <c r="B1661" s="1">
        <v>0</v>
      </c>
      <c r="C1661" s="1">
        <v>17</v>
      </c>
      <c r="D1661" s="1">
        <v>3</v>
      </c>
      <c r="E1661" s="1">
        <v>2</v>
      </c>
      <c r="F1661" s="1">
        <v>1</v>
      </c>
      <c r="G1661" s="1">
        <v>7</v>
      </c>
      <c r="H1661" s="1">
        <v>0</v>
      </c>
      <c r="I1661" s="1">
        <v>0</v>
      </c>
      <c r="J1661" s="1">
        <v>4</v>
      </c>
    </row>
    <row r="1662" spans="1:10" x14ac:dyDescent="0.2">
      <c r="A1662" s="1">
        <v>1339</v>
      </c>
      <c r="B1662" s="1">
        <v>0</v>
      </c>
      <c r="C1662" s="1">
        <v>18</v>
      </c>
      <c r="D1662" s="1">
        <v>4</v>
      </c>
      <c r="E1662" s="1">
        <v>3</v>
      </c>
      <c r="F1662" s="1">
        <v>1</v>
      </c>
      <c r="G1662" s="1">
        <v>7</v>
      </c>
      <c r="H1662" s="1">
        <v>0</v>
      </c>
      <c r="I1662" s="1">
        <v>1</v>
      </c>
      <c r="J1662" s="1">
        <v>4</v>
      </c>
    </row>
    <row r="1663" spans="1:10" x14ac:dyDescent="0.2">
      <c r="A1663" s="1">
        <v>943</v>
      </c>
      <c r="B1663" s="1">
        <v>0</v>
      </c>
      <c r="C1663" s="1">
        <v>6</v>
      </c>
      <c r="D1663" s="1">
        <v>4</v>
      </c>
      <c r="E1663" s="1">
        <v>1</v>
      </c>
      <c r="F1663" s="1">
        <v>2</v>
      </c>
      <c r="G1663" s="1">
        <v>7</v>
      </c>
      <c r="H1663" s="1">
        <v>0</v>
      </c>
      <c r="I1663" s="1">
        <v>0</v>
      </c>
      <c r="J1663" s="1">
        <v>4</v>
      </c>
    </row>
    <row r="1664" spans="1:10" x14ac:dyDescent="0.2">
      <c r="A1664" s="1">
        <v>551</v>
      </c>
      <c r="B1664" s="1">
        <v>0</v>
      </c>
      <c r="C1664" s="1">
        <v>13</v>
      </c>
      <c r="D1664" s="1">
        <v>1</v>
      </c>
      <c r="E1664" s="1">
        <v>1</v>
      </c>
      <c r="F1664" s="1">
        <v>2</v>
      </c>
      <c r="G1664" s="1">
        <v>7</v>
      </c>
      <c r="H1664" s="1">
        <v>0</v>
      </c>
      <c r="I1664" s="1">
        <v>0</v>
      </c>
      <c r="J1664" s="1">
        <v>4</v>
      </c>
    </row>
    <row r="1665" spans="1:10" x14ac:dyDescent="0.2">
      <c r="A1665" s="1">
        <v>522</v>
      </c>
      <c r="B1665" s="1">
        <v>0</v>
      </c>
      <c r="C1665" s="1">
        <v>9</v>
      </c>
      <c r="D1665" s="1">
        <v>1</v>
      </c>
      <c r="E1665" s="1">
        <v>2</v>
      </c>
      <c r="F1665" s="1">
        <v>2</v>
      </c>
      <c r="G1665" s="1">
        <v>7</v>
      </c>
      <c r="H1665" s="1">
        <v>0</v>
      </c>
      <c r="I1665" s="1">
        <v>1</v>
      </c>
      <c r="J1665" s="1">
        <v>4</v>
      </c>
    </row>
    <row r="1666" spans="1:10" x14ac:dyDescent="0.2">
      <c r="A1666" s="1">
        <v>1905</v>
      </c>
      <c r="B1666" s="1">
        <v>0</v>
      </c>
      <c r="C1666" s="1">
        <v>17</v>
      </c>
      <c r="D1666" s="1">
        <v>1</v>
      </c>
      <c r="E1666" s="1">
        <v>2</v>
      </c>
      <c r="F1666" s="1">
        <v>2</v>
      </c>
      <c r="G1666" s="1">
        <v>7</v>
      </c>
      <c r="H1666" s="1">
        <v>0</v>
      </c>
      <c r="I1666" s="1">
        <v>0</v>
      </c>
      <c r="J1666" s="1">
        <v>4</v>
      </c>
    </row>
    <row r="1667" spans="1:10" x14ac:dyDescent="0.2">
      <c r="A1667" s="1">
        <v>1568</v>
      </c>
      <c r="B1667" s="1">
        <v>0</v>
      </c>
      <c r="C1667" s="1">
        <v>10</v>
      </c>
      <c r="D1667" s="1">
        <v>2</v>
      </c>
      <c r="E1667" s="1">
        <v>3</v>
      </c>
      <c r="F1667" s="1">
        <v>2</v>
      </c>
      <c r="G1667" s="1">
        <v>7</v>
      </c>
      <c r="H1667" s="1">
        <v>1</v>
      </c>
      <c r="I1667" s="1">
        <v>0</v>
      </c>
      <c r="J1667" s="1">
        <v>4</v>
      </c>
    </row>
    <row r="1668" spans="1:10" x14ac:dyDescent="0.2">
      <c r="A1668" s="1">
        <v>2082</v>
      </c>
      <c r="B1668" s="1">
        <v>0</v>
      </c>
      <c r="C1668" s="1">
        <v>13</v>
      </c>
      <c r="D1668" s="1">
        <v>1</v>
      </c>
      <c r="E1668" s="1">
        <v>3</v>
      </c>
      <c r="F1668" s="1">
        <v>2</v>
      </c>
      <c r="G1668" s="1">
        <v>7</v>
      </c>
      <c r="H1668" s="1">
        <v>1</v>
      </c>
      <c r="I1668" s="1">
        <v>2</v>
      </c>
      <c r="J1668" s="1">
        <v>4</v>
      </c>
    </row>
    <row r="1669" spans="1:10" x14ac:dyDescent="0.2">
      <c r="A1669" s="1">
        <v>632</v>
      </c>
      <c r="B1669" s="1">
        <v>0</v>
      </c>
      <c r="C1669" s="1">
        <v>14</v>
      </c>
      <c r="D1669" s="1">
        <v>1</v>
      </c>
      <c r="E1669" s="1">
        <v>3</v>
      </c>
      <c r="F1669" s="1">
        <v>2</v>
      </c>
      <c r="G1669" s="1">
        <v>7</v>
      </c>
      <c r="H1669" s="1">
        <v>0</v>
      </c>
      <c r="I1669" s="1">
        <v>2</v>
      </c>
      <c r="J1669" s="1">
        <v>4</v>
      </c>
    </row>
    <row r="1670" spans="1:10" x14ac:dyDescent="0.2">
      <c r="A1670" s="1">
        <v>1380</v>
      </c>
      <c r="B1670" s="1">
        <v>0</v>
      </c>
      <c r="C1670" s="1">
        <v>16</v>
      </c>
      <c r="D1670" s="1">
        <v>2</v>
      </c>
      <c r="E1670" s="1">
        <v>3</v>
      </c>
      <c r="F1670" s="1">
        <v>2</v>
      </c>
      <c r="G1670" s="1">
        <v>7</v>
      </c>
      <c r="H1670" s="1">
        <v>1</v>
      </c>
      <c r="I1670" s="1">
        <v>2</v>
      </c>
      <c r="J1670" s="1">
        <v>4</v>
      </c>
    </row>
    <row r="1671" spans="1:10" x14ac:dyDescent="0.2">
      <c r="A1671" s="1">
        <v>2287</v>
      </c>
      <c r="B1671" s="1">
        <v>0</v>
      </c>
      <c r="C1671" s="1">
        <v>20</v>
      </c>
      <c r="D1671" s="1">
        <v>5</v>
      </c>
      <c r="E1671" s="1">
        <v>3</v>
      </c>
      <c r="F1671" s="1">
        <v>2</v>
      </c>
      <c r="G1671" s="1">
        <v>7</v>
      </c>
      <c r="H1671" s="1">
        <v>1</v>
      </c>
      <c r="I1671" s="1">
        <v>0</v>
      </c>
      <c r="J1671" s="1">
        <v>4</v>
      </c>
    </row>
    <row r="1672" spans="1:10" x14ac:dyDescent="0.2">
      <c r="A1672" s="1">
        <v>189</v>
      </c>
      <c r="B1672" s="1">
        <v>0</v>
      </c>
      <c r="C1672" s="1">
        <v>5</v>
      </c>
      <c r="D1672" s="1">
        <v>1</v>
      </c>
      <c r="E1672" s="1">
        <v>2</v>
      </c>
      <c r="F1672" s="1">
        <v>3</v>
      </c>
      <c r="G1672" s="1">
        <v>7</v>
      </c>
      <c r="H1672" s="1">
        <v>1</v>
      </c>
      <c r="I1672" s="1">
        <v>3</v>
      </c>
      <c r="J1672" s="1">
        <v>4</v>
      </c>
    </row>
    <row r="1673" spans="1:10" x14ac:dyDescent="0.2">
      <c r="A1673" s="1">
        <v>1521</v>
      </c>
      <c r="B1673" s="1">
        <v>0</v>
      </c>
      <c r="C1673" s="1">
        <v>19</v>
      </c>
      <c r="D1673" s="1">
        <v>1</v>
      </c>
      <c r="E1673" s="1">
        <v>3</v>
      </c>
      <c r="F1673" s="1">
        <v>3</v>
      </c>
      <c r="G1673" s="1">
        <v>7</v>
      </c>
      <c r="H1673" s="1">
        <v>1</v>
      </c>
      <c r="I1673" s="1">
        <v>1</v>
      </c>
      <c r="J1673" s="1">
        <v>4</v>
      </c>
    </row>
    <row r="1674" spans="1:10" x14ac:dyDescent="0.2">
      <c r="A1674" s="1">
        <v>314</v>
      </c>
      <c r="B1674" s="1">
        <v>0</v>
      </c>
      <c r="C1674" s="1">
        <v>10</v>
      </c>
      <c r="D1674" s="1">
        <v>5</v>
      </c>
      <c r="E1674" s="1">
        <v>2</v>
      </c>
      <c r="F1674" s="1">
        <v>4</v>
      </c>
      <c r="G1674" s="1">
        <v>7</v>
      </c>
      <c r="H1674" s="1">
        <v>0</v>
      </c>
      <c r="I1674" s="1">
        <v>3</v>
      </c>
      <c r="J1674" s="1">
        <v>4</v>
      </c>
    </row>
    <row r="1675" spans="1:10" x14ac:dyDescent="0.2">
      <c r="A1675" s="1">
        <v>1799</v>
      </c>
      <c r="B1675" s="1">
        <v>0</v>
      </c>
      <c r="C1675" s="1">
        <v>8</v>
      </c>
      <c r="D1675" s="1">
        <v>3</v>
      </c>
      <c r="E1675" s="1">
        <v>3</v>
      </c>
      <c r="F1675" s="1">
        <v>4</v>
      </c>
      <c r="G1675" s="1">
        <v>7</v>
      </c>
      <c r="H1675" s="1">
        <v>1</v>
      </c>
      <c r="I1675" s="1">
        <v>0</v>
      </c>
      <c r="J1675" s="1">
        <v>4</v>
      </c>
    </row>
    <row r="1676" spans="1:10" x14ac:dyDescent="0.2">
      <c r="A1676" s="1">
        <v>1217</v>
      </c>
      <c r="B1676" s="1">
        <v>0</v>
      </c>
      <c r="C1676" s="1">
        <v>16</v>
      </c>
      <c r="D1676" s="1">
        <v>3</v>
      </c>
      <c r="E1676" s="1">
        <v>3</v>
      </c>
      <c r="F1676" s="1">
        <v>4</v>
      </c>
      <c r="G1676" s="1">
        <v>7</v>
      </c>
      <c r="H1676" s="1">
        <v>0</v>
      </c>
      <c r="I1676" s="1">
        <v>0</v>
      </c>
      <c r="J1676" s="1">
        <v>4</v>
      </c>
    </row>
    <row r="1677" spans="1:10" x14ac:dyDescent="0.2">
      <c r="A1677" s="1">
        <v>1305</v>
      </c>
      <c r="B1677" s="1">
        <v>0</v>
      </c>
      <c r="C1677" s="1">
        <v>13</v>
      </c>
      <c r="D1677" s="1">
        <v>1</v>
      </c>
      <c r="E1677" s="1">
        <v>2</v>
      </c>
      <c r="F1677" s="1">
        <v>5</v>
      </c>
      <c r="G1677" s="1">
        <v>7</v>
      </c>
      <c r="H1677" s="1">
        <v>1</v>
      </c>
      <c r="I1677" s="1">
        <v>3</v>
      </c>
      <c r="J1677" s="1">
        <v>4</v>
      </c>
    </row>
    <row r="1678" spans="1:10" x14ac:dyDescent="0.2">
      <c r="A1678" s="1">
        <v>1025</v>
      </c>
      <c r="B1678" s="1">
        <v>0</v>
      </c>
      <c r="C1678" s="1">
        <v>15</v>
      </c>
      <c r="D1678" s="1">
        <v>3</v>
      </c>
      <c r="E1678" s="1">
        <v>2</v>
      </c>
      <c r="F1678" s="1">
        <v>5</v>
      </c>
      <c r="G1678" s="1">
        <v>7</v>
      </c>
      <c r="H1678" s="1">
        <v>0</v>
      </c>
      <c r="I1678" s="1">
        <v>0</v>
      </c>
      <c r="J1678" s="1">
        <v>4</v>
      </c>
    </row>
    <row r="1679" spans="1:10" x14ac:dyDescent="0.2">
      <c r="A1679" s="1">
        <v>87</v>
      </c>
      <c r="B1679" s="1">
        <v>0</v>
      </c>
      <c r="C1679" s="1">
        <v>7</v>
      </c>
      <c r="D1679" s="1">
        <v>1</v>
      </c>
      <c r="E1679" s="1">
        <v>3</v>
      </c>
      <c r="F1679" s="1">
        <v>5</v>
      </c>
      <c r="G1679" s="1">
        <v>7</v>
      </c>
      <c r="H1679" s="1">
        <v>1</v>
      </c>
      <c r="I1679" s="1">
        <v>2</v>
      </c>
      <c r="J1679" s="1">
        <v>4</v>
      </c>
    </row>
    <row r="1680" spans="1:10" x14ac:dyDescent="0.2">
      <c r="A1680" s="1">
        <v>410</v>
      </c>
      <c r="B1680" s="1">
        <v>0</v>
      </c>
      <c r="C1680" s="1">
        <v>13</v>
      </c>
      <c r="D1680" s="1">
        <v>5</v>
      </c>
      <c r="E1680" s="1">
        <v>3</v>
      </c>
      <c r="F1680" s="1">
        <v>5</v>
      </c>
      <c r="G1680" s="1">
        <v>7</v>
      </c>
      <c r="H1680" s="1">
        <v>1</v>
      </c>
      <c r="I1680" s="1">
        <v>2</v>
      </c>
      <c r="J1680" s="1">
        <v>4</v>
      </c>
    </row>
    <row r="1681" spans="1:10" x14ac:dyDescent="0.2">
      <c r="A1681" s="1">
        <v>2246</v>
      </c>
      <c r="B1681" s="1">
        <v>0</v>
      </c>
      <c r="C1681" s="1">
        <v>11</v>
      </c>
      <c r="D1681" s="1">
        <v>1</v>
      </c>
      <c r="E1681" s="1">
        <v>2</v>
      </c>
      <c r="F1681" s="1">
        <v>6</v>
      </c>
      <c r="G1681" s="1">
        <v>7</v>
      </c>
      <c r="H1681" s="1">
        <v>0</v>
      </c>
      <c r="I1681" s="1">
        <v>3</v>
      </c>
      <c r="J1681" s="1">
        <v>4</v>
      </c>
    </row>
    <row r="1682" spans="1:10" x14ac:dyDescent="0.2">
      <c r="A1682" s="1">
        <v>458</v>
      </c>
      <c r="B1682" s="1">
        <v>0</v>
      </c>
      <c r="C1682" s="1">
        <v>13</v>
      </c>
      <c r="D1682" s="1">
        <v>2</v>
      </c>
      <c r="E1682" s="1">
        <v>2</v>
      </c>
      <c r="F1682" s="1">
        <v>6</v>
      </c>
      <c r="G1682" s="1">
        <v>7</v>
      </c>
      <c r="H1682" s="1">
        <v>1</v>
      </c>
      <c r="I1682" s="1">
        <v>2</v>
      </c>
      <c r="J1682" s="1">
        <v>4</v>
      </c>
    </row>
    <row r="1683" spans="1:10" x14ac:dyDescent="0.2">
      <c r="A1683" s="1">
        <v>1995</v>
      </c>
      <c r="B1683" s="1">
        <v>0</v>
      </c>
      <c r="C1683" s="1">
        <v>6</v>
      </c>
      <c r="D1683" s="1">
        <v>5</v>
      </c>
      <c r="E1683" s="1">
        <v>3</v>
      </c>
      <c r="F1683" s="1">
        <v>6</v>
      </c>
      <c r="G1683" s="1">
        <v>7</v>
      </c>
      <c r="H1683" s="1">
        <v>1</v>
      </c>
      <c r="I1683" s="1">
        <v>3</v>
      </c>
      <c r="J1683" s="1">
        <v>4</v>
      </c>
    </row>
    <row r="1684" spans="1:10" x14ac:dyDescent="0.2">
      <c r="A1684" s="1">
        <v>1414</v>
      </c>
      <c r="B1684" s="1">
        <v>0</v>
      </c>
      <c r="C1684" s="1">
        <v>7</v>
      </c>
      <c r="D1684" s="1">
        <v>2</v>
      </c>
      <c r="E1684" s="1">
        <v>3</v>
      </c>
      <c r="F1684" s="1">
        <v>6</v>
      </c>
      <c r="G1684" s="1">
        <v>7</v>
      </c>
      <c r="H1684" s="1">
        <v>0</v>
      </c>
      <c r="I1684" s="1">
        <v>1</v>
      </c>
      <c r="J1684" s="1">
        <v>4</v>
      </c>
    </row>
    <row r="1685" spans="1:10" x14ac:dyDescent="0.2">
      <c r="A1685" s="1">
        <v>36</v>
      </c>
      <c r="B1685" s="1">
        <v>0</v>
      </c>
      <c r="C1685" s="1">
        <v>11</v>
      </c>
      <c r="D1685" s="1">
        <v>4</v>
      </c>
      <c r="E1685" s="1">
        <v>3</v>
      </c>
      <c r="F1685" s="1">
        <v>6</v>
      </c>
      <c r="G1685" s="1">
        <v>7</v>
      </c>
      <c r="H1685" s="1">
        <v>1</v>
      </c>
      <c r="I1685" s="1">
        <v>2</v>
      </c>
      <c r="J1685" s="1">
        <v>4</v>
      </c>
    </row>
    <row r="1686" spans="1:10" x14ac:dyDescent="0.2">
      <c r="A1686" s="1">
        <v>39</v>
      </c>
      <c r="B1686" s="1">
        <v>0</v>
      </c>
      <c r="C1686" s="1">
        <v>11</v>
      </c>
      <c r="D1686" s="1">
        <v>2</v>
      </c>
      <c r="E1686" s="1">
        <v>2</v>
      </c>
      <c r="F1686" s="1">
        <v>7</v>
      </c>
      <c r="G1686" s="1">
        <v>7</v>
      </c>
      <c r="H1686" s="1">
        <v>0</v>
      </c>
      <c r="I1686" s="1">
        <v>3</v>
      </c>
      <c r="J1686" s="1">
        <v>4</v>
      </c>
    </row>
    <row r="1687" spans="1:10" x14ac:dyDescent="0.2">
      <c r="A1687" s="1">
        <v>1822</v>
      </c>
      <c r="B1687" s="1">
        <v>0</v>
      </c>
      <c r="C1687" s="1">
        <v>20</v>
      </c>
      <c r="D1687" s="1">
        <v>5</v>
      </c>
      <c r="E1687" s="1">
        <v>2</v>
      </c>
      <c r="F1687" s="1">
        <v>7</v>
      </c>
      <c r="G1687" s="1">
        <v>7</v>
      </c>
      <c r="H1687" s="1">
        <v>1</v>
      </c>
      <c r="I1687" s="1">
        <v>1</v>
      </c>
      <c r="J1687" s="1">
        <v>4</v>
      </c>
    </row>
    <row r="1688" spans="1:10" x14ac:dyDescent="0.2">
      <c r="A1688" s="1">
        <v>1927</v>
      </c>
      <c r="B1688" s="1">
        <v>0</v>
      </c>
      <c r="C1688" s="1">
        <v>20</v>
      </c>
      <c r="D1688" s="1">
        <v>1</v>
      </c>
      <c r="E1688" s="1">
        <v>2</v>
      </c>
      <c r="F1688" s="1">
        <v>7</v>
      </c>
      <c r="G1688" s="1">
        <v>7</v>
      </c>
      <c r="H1688" s="1">
        <v>1</v>
      </c>
      <c r="I1688" s="1">
        <v>0</v>
      </c>
      <c r="J1688" s="1">
        <v>4</v>
      </c>
    </row>
    <row r="1689" spans="1:10" x14ac:dyDescent="0.2">
      <c r="A1689" s="1">
        <v>78</v>
      </c>
      <c r="B1689" s="1">
        <v>0</v>
      </c>
      <c r="C1689" s="1">
        <v>7</v>
      </c>
      <c r="D1689" s="1">
        <v>3</v>
      </c>
      <c r="E1689" s="1">
        <v>3</v>
      </c>
      <c r="F1689" s="1">
        <v>7</v>
      </c>
      <c r="G1689" s="1">
        <v>7</v>
      </c>
      <c r="H1689" s="1">
        <v>0</v>
      </c>
      <c r="I1689" s="1">
        <v>2</v>
      </c>
      <c r="J1689" s="1">
        <v>4</v>
      </c>
    </row>
    <row r="1690" spans="1:10" x14ac:dyDescent="0.2">
      <c r="A1690" s="1">
        <v>867</v>
      </c>
      <c r="B1690" s="1">
        <v>0</v>
      </c>
      <c r="C1690" s="1">
        <v>17</v>
      </c>
      <c r="D1690" s="1">
        <v>2</v>
      </c>
      <c r="E1690" s="1">
        <v>3</v>
      </c>
      <c r="F1690" s="1">
        <v>8</v>
      </c>
      <c r="G1690" s="1">
        <v>7</v>
      </c>
      <c r="H1690" s="1">
        <v>0</v>
      </c>
      <c r="I1690" s="1">
        <v>1</v>
      </c>
      <c r="J1690" s="1">
        <v>4</v>
      </c>
    </row>
    <row r="1691" spans="1:10" x14ac:dyDescent="0.2">
      <c r="A1691" s="1">
        <v>1969</v>
      </c>
      <c r="B1691" s="1">
        <v>0</v>
      </c>
      <c r="C1691" s="1">
        <v>17</v>
      </c>
      <c r="D1691" s="1">
        <v>2</v>
      </c>
      <c r="E1691" s="1">
        <v>3</v>
      </c>
      <c r="F1691" s="1">
        <v>8</v>
      </c>
      <c r="G1691" s="1">
        <v>7</v>
      </c>
      <c r="H1691" s="1">
        <v>1</v>
      </c>
      <c r="I1691" s="1">
        <v>0</v>
      </c>
      <c r="J1691" s="1">
        <v>4</v>
      </c>
    </row>
    <row r="1692" spans="1:10" x14ac:dyDescent="0.2">
      <c r="A1692" s="1">
        <v>1226</v>
      </c>
      <c r="B1692" s="1">
        <v>0</v>
      </c>
      <c r="C1692" s="1">
        <v>14</v>
      </c>
      <c r="D1692" s="1">
        <v>5</v>
      </c>
      <c r="E1692" s="1">
        <v>3</v>
      </c>
      <c r="F1692" s="1">
        <v>9</v>
      </c>
      <c r="G1692" s="1">
        <v>7</v>
      </c>
      <c r="H1692" s="1">
        <v>0</v>
      </c>
      <c r="I1692" s="1">
        <v>1</v>
      </c>
      <c r="J1692" s="1">
        <v>4</v>
      </c>
    </row>
    <row r="1693" spans="1:10" x14ac:dyDescent="0.2">
      <c r="A1693" s="1">
        <v>869</v>
      </c>
      <c r="B1693" s="1">
        <v>0</v>
      </c>
      <c r="C1693" s="1">
        <v>15</v>
      </c>
      <c r="D1693" s="1">
        <v>2</v>
      </c>
      <c r="E1693" s="1">
        <v>3</v>
      </c>
      <c r="F1693" s="1">
        <v>10</v>
      </c>
      <c r="G1693" s="1">
        <v>7</v>
      </c>
      <c r="H1693" s="1">
        <v>0</v>
      </c>
      <c r="I1693" s="1">
        <v>0</v>
      </c>
      <c r="J1693" s="1">
        <v>4</v>
      </c>
    </row>
    <row r="1694" spans="1:10" x14ac:dyDescent="0.2">
      <c r="A1694" s="1">
        <v>1120</v>
      </c>
      <c r="B1694" s="1">
        <v>0</v>
      </c>
      <c r="C1694" s="1">
        <v>10</v>
      </c>
      <c r="D1694" s="1">
        <v>5</v>
      </c>
      <c r="E1694" s="1">
        <v>1</v>
      </c>
      <c r="F1694" s="1">
        <v>1</v>
      </c>
      <c r="G1694" s="1">
        <v>8</v>
      </c>
      <c r="H1694" s="1">
        <v>1</v>
      </c>
      <c r="I1694" s="1">
        <v>2</v>
      </c>
      <c r="J1694" s="1">
        <v>4</v>
      </c>
    </row>
    <row r="1695" spans="1:10" x14ac:dyDescent="0.2">
      <c r="A1695" s="1">
        <v>1964</v>
      </c>
      <c r="B1695" s="1">
        <v>0</v>
      </c>
      <c r="C1695" s="1">
        <v>17</v>
      </c>
      <c r="D1695" s="1">
        <v>3</v>
      </c>
      <c r="E1695" s="1">
        <v>1</v>
      </c>
      <c r="F1695" s="1">
        <v>1</v>
      </c>
      <c r="G1695" s="1">
        <v>8</v>
      </c>
      <c r="H1695" s="1">
        <v>0</v>
      </c>
      <c r="I1695" s="1">
        <v>3</v>
      </c>
      <c r="J1695" s="1">
        <v>4</v>
      </c>
    </row>
    <row r="1696" spans="1:10" x14ac:dyDescent="0.2">
      <c r="A1696" s="1">
        <v>171</v>
      </c>
      <c r="B1696" s="1">
        <v>0</v>
      </c>
      <c r="C1696" s="1">
        <v>19</v>
      </c>
      <c r="D1696" s="1">
        <v>5</v>
      </c>
      <c r="E1696" s="1">
        <v>1</v>
      </c>
      <c r="F1696" s="1">
        <v>1</v>
      </c>
      <c r="G1696" s="1">
        <v>8</v>
      </c>
      <c r="H1696" s="1">
        <v>1</v>
      </c>
      <c r="I1696" s="1">
        <v>2</v>
      </c>
      <c r="J1696" s="1">
        <v>4</v>
      </c>
    </row>
    <row r="1697" spans="1:10" x14ac:dyDescent="0.2">
      <c r="A1697" s="1">
        <v>438</v>
      </c>
      <c r="B1697" s="1">
        <v>0</v>
      </c>
      <c r="C1697" s="1">
        <v>17</v>
      </c>
      <c r="D1697" s="1">
        <v>2</v>
      </c>
      <c r="E1697" s="1">
        <v>2</v>
      </c>
      <c r="F1697" s="1">
        <v>1</v>
      </c>
      <c r="G1697" s="1">
        <v>8</v>
      </c>
      <c r="H1697" s="1">
        <v>1</v>
      </c>
      <c r="I1697" s="1">
        <v>0</v>
      </c>
      <c r="J1697" s="1">
        <v>4</v>
      </c>
    </row>
    <row r="1698" spans="1:10" x14ac:dyDescent="0.2">
      <c r="A1698" s="1">
        <v>836</v>
      </c>
      <c r="B1698" s="1">
        <v>0</v>
      </c>
      <c r="C1698" s="1">
        <v>14</v>
      </c>
      <c r="D1698" s="1">
        <v>1</v>
      </c>
      <c r="E1698" s="1">
        <v>3</v>
      </c>
      <c r="F1698" s="1">
        <v>1</v>
      </c>
      <c r="G1698" s="1">
        <v>8</v>
      </c>
      <c r="H1698" s="1">
        <v>1</v>
      </c>
      <c r="I1698" s="1">
        <v>0</v>
      </c>
      <c r="J1698" s="1">
        <v>4</v>
      </c>
    </row>
    <row r="1699" spans="1:10" x14ac:dyDescent="0.2">
      <c r="A1699" s="1">
        <v>1909</v>
      </c>
      <c r="B1699" s="1">
        <v>0</v>
      </c>
      <c r="C1699" s="1">
        <v>5</v>
      </c>
      <c r="D1699" s="1">
        <v>1</v>
      </c>
      <c r="E1699" s="1">
        <v>1</v>
      </c>
      <c r="F1699" s="1">
        <v>2</v>
      </c>
      <c r="G1699" s="1">
        <v>8</v>
      </c>
      <c r="H1699" s="1">
        <v>1</v>
      </c>
      <c r="I1699" s="1">
        <v>0</v>
      </c>
      <c r="J1699" s="1">
        <v>4</v>
      </c>
    </row>
    <row r="1700" spans="1:10" x14ac:dyDescent="0.2">
      <c r="A1700" s="1">
        <v>1918</v>
      </c>
      <c r="B1700" s="1">
        <v>0</v>
      </c>
      <c r="C1700" s="1">
        <v>6</v>
      </c>
      <c r="D1700" s="1">
        <v>2</v>
      </c>
      <c r="E1700" s="1">
        <v>1</v>
      </c>
      <c r="F1700" s="1">
        <v>2</v>
      </c>
      <c r="G1700" s="1">
        <v>8</v>
      </c>
      <c r="H1700" s="1">
        <v>1</v>
      </c>
      <c r="I1700" s="1">
        <v>0</v>
      </c>
      <c r="J1700" s="1">
        <v>4</v>
      </c>
    </row>
    <row r="1701" spans="1:10" x14ac:dyDescent="0.2">
      <c r="A1701" s="1">
        <v>998</v>
      </c>
      <c r="B1701" s="1">
        <v>0</v>
      </c>
      <c r="C1701" s="1">
        <v>19</v>
      </c>
      <c r="D1701" s="1">
        <v>5</v>
      </c>
      <c r="E1701" s="1">
        <v>1</v>
      </c>
      <c r="F1701" s="1">
        <v>2</v>
      </c>
      <c r="G1701" s="1">
        <v>8</v>
      </c>
      <c r="H1701" s="1">
        <v>1</v>
      </c>
      <c r="I1701" s="1">
        <v>1</v>
      </c>
      <c r="J1701" s="1">
        <v>4</v>
      </c>
    </row>
    <row r="1702" spans="1:10" x14ac:dyDescent="0.2">
      <c r="A1702" s="1">
        <v>2176</v>
      </c>
      <c r="B1702" s="1">
        <v>0</v>
      </c>
      <c r="C1702" s="1">
        <v>6</v>
      </c>
      <c r="D1702" s="1">
        <v>5</v>
      </c>
      <c r="E1702" s="1">
        <v>2</v>
      </c>
      <c r="F1702" s="1">
        <v>2</v>
      </c>
      <c r="G1702" s="1">
        <v>8</v>
      </c>
      <c r="H1702" s="1">
        <v>1</v>
      </c>
      <c r="I1702" s="1">
        <v>1</v>
      </c>
      <c r="J1702" s="1">
        <v>4</v>
      </c>
    </row>
    <row r="1703" spans="1:10" x14ac:dyDescent="0.2">
      <c r="A1703" s="1">
        <v>2283</v>
      </c>
      <c r="B1703" s="1">
        <v>0</v>
      </c>
      <c r="C1703" s="1">
        <v>17</v>
      </c>
      <c r="D1703" s="1">
        <v>5</v>
      </c>
      <c r="E1703" s="1">
        <v>2</v>
      </c>
      <c r="F1703" s="1">
        <v>2</v>
      </c>
      <c r="G1703" s="1">
        <v>8</v>
      </c>
      <c r="H1703" s="1">
        <v>1</v>
      </c>
      <c r="I1703" s="1">
        <v>0</v>
      </c>
      <c r="J1703" s="1">
        <v>4</v>
      </c>
    </row>
    <row r="1704" spans="1:10" x14ac:dyDescent="0.2">
      <c r="A1704" s="1">
        <v>2497</v>
      </c>
      <c r="B1704" s="1">
        <v>0</v>
      </c>
      <c r="C1704" s="1">
        <v>17</v>
      </c>
      <c r="D1704" s="1">
        <v>3</v>
      </c>
      <c r="E1704" s="1">
        <v>2</v>
      </c>
      <c r="F1704" s="1">
        <v>2</v>
      </c>
      <c r="G1704" s="1">
        <v>8</v>
      </c>
      <c r="H1704" s="1">
        <v>1</v>
      </c>
      <c r="I1704" s="1">
        <v>0</v>
      </c>
      <c r="J1704" s="1">
        <v>4</v>
      </c>
    </row>
    <row r="1705" spans="1:10" x14ac:dyDescent="0.2">
      <c r="A1705" s="1">
        <v>242</v>
      </c>
      <c r="B1705" s="1">
        <v>0</v>
      </c>
      <c r="C1705" s="1">
        <v>15</v>
      </c>
      <c r="D1705" s="1">
        <v>1</v>
      </c>
      <c r="E1705" s="1">
        <v>2</v>
      </c>
      <c r="F1705" s="1">
        <v>3</v>
      </c>
      <c r="G1705" s="1">
        <v>8</v>
      </c>
      <c r="H1705" s="1">
        <v>0</v>
      </c>
      <c r="I1705" s="1">
        <v>3</v>
      </c>
      <c r="J1705" s="1">
        <v>4</v>
      </c>
    </row>
    <row r="1706" spans="1:10" x14ac:dyDescent="0.2">
      <c r="A1706" s="1">
        <v>1155</v>
      </c>
      <c r="B1706" s="1">
        <v>0</v>
      </c>
      <c r="C1706" s="1">
        <v>11</v>
      </c>
      <c r="D1706" s="1">
        <v>4</v>
      </c>
      <c r="E1706" s="1">
        <v>3</v>
      </c>
      <c r="F1706" s="1">
        <v>3</v>
      </c>
      <c r="G1706" s="1">
        <v>8</v>
      </c>
      <c r="H1706" s="1">
        <v>0</v>
      </c>
      <c r="I1706" s="1">
        <v>3</v>
      </c>
      <c r="J1706" s="1">
        <v>4</v>
      </c>
    </row>
    <row r="1707" spans="1:10" x14ac:dyDescent="0.2">
      <c r="A1707" s="1">
        <v>2167</v>
      </c>
      <c r="B1707" s="1">
        <v>0</v>
      </c>
      <c r="C1707" s="1">
        <v>11</v>
      </c>
      <c r="D1707" s="1">
        <v>4</v>
      </c>
      <c r="E1707" s="1">
        <v>3</v>
      </c>
      <c r="F1707" s="1">
        <v>3</v>
      </c>
      <c r="G1707" s="1">
        <v>8</v>
      </c>
      <c r="H1707" s="1">
        <v>0</v>
      </c>
      <c r="I1707" s="1">
        <v>1</v>
      </c>
      <c r="J1707" s="1">
        <v>4</v>
      </c>
    </row>
    <row r="1708" spans="1:10" x14ac:dyDescent="0.2">
      <c r="A1708" s="1">
        <v>977</v>
      </c>
      <c r="B1708" s="1">
        <v>0</v>
      </c>
      <c r="C1708" s="1">
        <v>12</v>
      </c>
      <c r="D1708" s="1">
        <v>3</v>
      </c>
      <c r="E1708" s="1">
        <v>2</v>
      </c>
      <c r="F1708" s="1">
        <v>4</v>
      </c>
      <c r="G1708" s="1">
        <v>8</v>
      </c>
      <c r="H1708" s="1">
        <v>0</v>
      </c>
      <c r="I1708" s="1">
        <v>0</v>
      </c>
      <c r="J1708" s="1">
        <v>4</v>
      </c>
    </row>
    <row r="1709" spans="1:10" x14ac:dyDescent="0.2">
      <c r="A1709" s="1">
        <v>26</v>
      </c>
      <c r="B1709" s="1">
        <v>0</v>
      </c>
      <c r="C1709" s="1">
        <v>13</v>
      </c>
      <c r="D1709" s="1">
        <v>3</v>
      </c>
      <c r="E1709" s="1">
        <v>3</v>
      </c>
      <c r="F1709" s="1">
        <v>4</v>
      </c>
      <c r="G1709" s="1">
        <v>8</v>
      </c>
      <c r="H1709" s="1">
        <v>0</v>
      </c>
      <c r="I1709" s="1">
        <v>3</v>
      </c>
      <c r="J1709" s="1">
        <v>4</v>
      </c>
    </row>
    <row r="1710" spans="1:10" x14ac:dyDescent="0.2">
      <c r="A1710" s="1">
        <v>182</v>
      </c>
      <c r="B1710" s="1">
        <v>0</v>
      </c>
      <c r="C1710" s="1">
        <v>20</v>
      </c>
      <c r="D1710" s="1">
        <v>2</v>
      </c>
      <c r="E1710" s="1">
        <v>3</v>
      </c>
      <c r="F1710" s="1">
        <v>4</v>
      </c>
      <c r="G1710" s="1">
        <v>8</v>
      </c>
      <c r="H1710" s="1">
        <v>1</v>
      </c>
      <c r="I1710" s="1">
        <v>3</v>
      </c>
      <c r="J1710" s="1">
        <v>4</v>
      </c>
    </row>
    <row r="1711" spans="1:10" x14ac:dyDescent="0.2">
      <c r="A1711" s="1">
        <v>481</v>
      </c>
      <c r="B1711" s="1">
        <v>0</v>
      </c>
      <c r="C1711" s="1">
        <v>9</v>
      </c>
      <c r="D1711" s="1">
        <v>3</v>
      </c>
      <c r="E1711" s="1">
        <v>3</v>
      </c>
      <c r="F1711" s="1">
        <v>7</v>
      </c>
      <c r="G1711" s="1">
        <v>8</v>
      </c>
      <c r="H1711" s="1">
        <v>0</v>
      </c>
      <c r="I1711" s="1">
        <v>3</v>
      </c>
      <c r="J1711" s="1">
        <v>4</v>
      </c>
    </row>
    <row r="1712" spans="1:10" x14ac:dyDescent="0.2">
      <c r="A1712" s="1">
        <v>1811</v>
      </c>
      <c r="B1712" s="1">
        <v>0</v>
      </c>
      <c r="C1712" s="1">
        <v>20</v>
      </c>
      <c r="D1712" s="1">
        <v>2</v>
      </c>
      <c r="E1712" s="1">
        <v>3</v>
      </c>
      <c r="F1712" s="1">
        <v>7</v>
      </c>
      <c r="G1712" s="1">
        <v>8</v>
      </c>
      <c r="H1712" s="1">
        <v>1</v>
      </c>
      <c r="I1712" s="1">
        <v>2</v>
      </c>
      <c r="J1712" s="1">
        <v>4</v>
      </c>
    </row>
    <row r="1713" spans="1:10" x14ac:dyDescent="0.2">
      <c r="A1713" s="1">
        <v>411</v>
      </c>
      <c r="B1713" s="1">
        <v>0</v>
      </c>
      <c r="C1713" s="1">
        <v>5</v>
      </c>
      <c r="D1713" s="1">
        <v>2</v>
      </c>
      <c r="E1713" s="1">
        <v>3</v>
      </c>
      <c r="F1713" s="1">
        <v>8</v>
      </c>
      <c r="G1713" s="1">
        <v>8</v>
      </c>
      <c r="H1713" s="1">
        <v>0</v>
      </c>
      <c r="I1713" s="1">
        <v>2</v>
      </c>
      <c r="J1713" s="1">
        <v>4</v>
      </c>
    </row>
    <row r="1714" spans="1:10" x14ac:dyDescent="0.2">
      <c r="A1714" s="1">
        <v>2358</v>
      </c>
      <c r="B1714" s="1">
        <v>0</v>
      </c>
      <c r="C1714" s="1">
        <v>5</v>
      </c>
      <c r="D1714" s="1">
        <v>5</v>
      </c>
      <c r="E1714" s="1">
        <v>3</v>
      </c>
      <c r="F1714" s="1">
        <v>9</v>
      </c>
      <c r="G1714" s="1">
        <v>8</v>
      </c>
      <c r="H1714" s="1">
        <v>1</v>
      </c>
      <c r="I1714" s="1">
        <v>0</v>
      </c>
      <c r="J1714" s="1">
        <v>4</v>
      </c>
    </row>
    <row r="1715" spans="1:10" x14ac:dyDescent="0.2">
      <c r="A1715" s="1">
        <v>610</v>
      </c>
      <c r="B1715" s="1">
        <v>0</v>
      </c>
      <c r="C1715" s="1">
        <v>8</v>
      </c>
      <c r="D1715" s="1">
        <v>1</v>
      </c>
      <c r="E1715" s="1">
        <v>3</v>
      </c>
      <c r="F1715" s="1">
        <v>10</v>
      </c>
      <c r="G1715" s="1">
        <v>8</v>
      </c>
      <c r="H1715" s="1">
        <v>0</v>
      </c>
      <c r="I1715" s="1">
        <v>0</v>
      </c>
      <c r="J1715" s="1">
        <v>4</v>
      </c>
    </row>
    <row r="1716" spans="1:10" x14ac:dyDescent="0.2">
      <c r="A1716" s="1">
        <v>1199</v>
      </c>
      <c r="B1716" s="1">
        <v>0</v>
      </c>
      <c r="C1716" s="1">
        <v>5</v>
      </c>
      <c r="D1716" s="1">
        <v>5</v>
      </c>
      <c r="E1716" s="1">
        <v>1</v>
      </c>
      <c r="F1716" s="1">
        <v>1</v>
      </c>
      <c r="G1716" s="1">
        <v>9</v>
      </c>
      <c r="H1716" s="1">
        <v>0</v>
      </c>
      <c r="I1716" s="1">
        <v>1</v>
      </c>
      <c r="J1716" s="1">
        <v>4</v>
      </c>
    </row>
    <row r="1717" spans="1:10" x14ac:dyDescent="0.2">
      <c r="A1717" s="1">
        <v>187</v>
      </c>
      <c r="B1717" s="1">
        <v>0</v>
      </c>
      <c r="C1717" s="1">
        <v>11</v>
      </c>
      <c r="D1717" s="1">
        <v>5</v>
      </c>
      <c r="E1717" s="1">
        <v>1</v>
      </c>
      <c r="F1717" s="1">
        <v>1</v>
      </c>
      <c r="G1717" s="1">
        <v>9</v>
      </c>
      <c r="H1717" s="1">
        <v>0</v>
      </c>
      <c r="I1717" s="1">
        <v>0</v>
      </c>
      <c r="J1717" s="1">
        <v>4</v>
      </c>
    </row>
    <row r="1718" spans="1:10" x14ac:dyDescent="0.2">
      <c r="A1718" s="1">
        <v>96</v>
      </c>
      <c r="B1718" s="1">
        <v>0</v>
      </c>
      <c r="C1718" s="1">
        <v>13</v>
      </c>
      <c r="D1718" s="1">
        <v>1</v>
      </c>
      <c r="E1718" s="1">
        <v>1</v>
      </c>
      <c r="F1718" s="1">
        <v>1</v>
      </c>
      <c r="G1718" s="1">
        <v>9</v>
      </c>
      <c r="H1718" s="1">
        <v>1</v>
      </c>
      <c r="I1718" s="1">
        <v>3</v>
      </c>
      <c r="J1718" s="1">
        <v>4</v>
      </c>
    </row>
    <row r="1719" spans="1:10" x14ac:dyDescent="0.2">
      <c r="A1719" s="1">
        <v>1067</v>
      </c>
      <c r="B1719" s="1">
        <v>0</v>
      </c>
      <c r="C1719" s="1">
        <v>8</v>
      </c>
      <c r="D1719" s="1">
        <v>3</v>
      </c>
      <c r="E1719" s="1">
        <v>2</v>
      </c>
      <c r="F1719" s="1">
        <v>1</v>
      </c>
      <c r="G1719" s="1">
        <v>9</v>
      </c>
      <c r="H1719" s="1">
        <v>0</v>
      </c>
      <c r="I1719" s="1">
        <v>1</v>
      </c>
      <c r="J1719" s="1">
        <v>4</v>
      </c>
    </row>
    <row r="1720" spans="1:10" x14ac:dyDescent="0.2">
      <c r="A1720" s="1">
        <v>718</v>
      </c>
      <c r="B1720" s="1">
        <v>0</v>
      </c>
      <c r="C1720" s="1">
        <v>6</v>
      </c>
      <c r="D1720" s="1">
        <v>2</v>
      </c>
      <c r="E1720" s="1">
        <v>3</v>
      </c>
      <c r="F1720" s="1">
        <v>1</v>
      </c>
      <c r="G1720" s="1">
        <v>9</v>
      </c>
      <c r="H1720" s="1">
        <v>1</v>
      </c>
      <c r="I1720" s="1">
        <v>2</v>
      </c>
      <c r="J1720" s="1">
        <v>4</v>
      </c>
    </row>
    <row r="1721" spans="1:10" x14ac:dyDescent="0.2">
      <c r="A1721" s="1">
        <v>496</v>
      </c>
      <c r="B1721" s="1">
        <v>0</v>
      </c>
      <c r="C1721" s="1">
        <v>12</v>
      </c>
      <c r="D1721" s="1">
        <v>5</v>
      </c>
      <c r="E1721" s="1">
        <v>3</v>
      </c>
      <c r="F1721" s="1">
        <v>1</v>
      </c>
      <c r="G1721" s="1">
        <v>9</v>
      </c>
      <c r="H1721" s="1">
        <v>1</v>
      </c>
      <c r="I1721" s="1">
        <v>1</v>
      </c>
      <c r="J1721" s="1">
        <v>4</v>
      </c>
    </row>
    <row r="1722" spans="1:10" x14ac:dyDescent="0.2">
      <c r="A1722" s="1">
        <v>528</v>
      </c>
      <c r="B1722" s="1">
        <v>0</v>
      </c>
      <c r="C1722" s="1">
        <v>13</v>
      </c>
      <c r="D1722" s="1">
        <v>3</v>
      </c>
      <c r="E1722" s="1">
        <v>3</v>
      </c>
      <c r="F1722" s="1">
        <v>1</v>
      </c>
      <c r="G1722" s="1">
        <v>9</v>
      </c>
      <c r="H1722" s="1">
        <v>1</v>
      </c>
      <c r="I1722" s="1">
        <v>2</v>
      </c>
      <c r="J1722" s="1">
        <v>4</v>
      </c>
    </row>
    <row r="1723" spans="1:10" x14ac:dyDescent="0.2">
      <c r="A1723" s="1">
        <v>2465</v>
      </c>
      <c r="B1723" s="1">
        <v>0</v>
      </c>
      <c r="C1723" s="1">
        <v>11</v>
      </c>
      <c r="D1723" s="1">
        <v>5</v>
      </c>
      <c r="E1723" s="1">
        <v>2</v>
      </c>
      <c r="F1723" s="1">
        <v>2</v>
      </c>
      <c r="G1723" s="1">
        <v>9</v>
      </c>
      <c r="H1723" s="1">
        <v>0</v>
      </c>
      <c r="I1723" s="1">
        <v>3</v>
      </c>
      <c r="J1723" s="1">
        <v>4</v>
      </c>
    </row>
    <row r="1724" spans="1:10" x14ac:dyDescent="0.2">
      <c r="A1724" s="1">
        <v>486</v>
      </c>
      <c r="B1724" s="1">
        <v>0</v>
      </c>
      <c r="C1724" s="1">
        <v>14</v>
      </c>
      <c r="D1724" s="1">
        <v>4</v>
      </c>
      <c r="E1724" s="1">
        <v>2</v>
      </c>
      <c r="F1724" s="1">
        <v>2</v>
      </c>
      <c r="G1724" s="1">
        <v>9</v>
      </c>
      <c r="H1724" s="1">
        <v>1</v>
      </c>
      <c r="I1724" s="1">
        <v>2</v>
      </c>
      <c r="J1724" s="1">
        <v>4</v>
      </c>
    </row>
    <row r="1725" spans="1:10" x14ac:dyDescent="0.2">
      <c r="A1725" s="1">
        <v>417</v>
      </c>
      <c r="B1725" s="1">
        <v>0</v>
      </c>
      <c r="C1725" s="1">
        <v>15</v>
      </c>
      <c r="D1725" s="1">
        <v>5</v>
      </c>
      <c r="E1725" s="1">
        <v>2</v>
      </c>
      <c r="F1725" s="1">
        <v>2</v>
      </c>
      <c r="G1725" s="1">
        <v>9</v>
      </c>
      <c r="H1725" s="1">
        <v>1</v>
      </c>
      <c r="I1725" s="1">
        <v>2</v>
      </c>
      <c r="J1725" s="1">
        <v>4</v>
      </c>
    </row>
    <row r="1726" spans="1:10" x14ac:dyDescent="0.2">
      <c r="A1726" s="1">
        <v>2126</v>
      </c>
      <c r="B1726" s="1">
        <v>0</v>
      </c>
      <c r="C1726" s="1">
        <v>7</v>
      </c>
      <c r="D1726" s="1">
        <v>2</v>
      </c>
      <c r="E1726" s="1">
        <v>3</v>
      </c>
      <c r="F1726" s="1">
        <v>2</v>
      </c>
      <c r="G1726" s="1">
        <v>9</v>
      </c>
      <c r="H1726" s="1">
        <v>1</v>
      </c>
      <c r="I1726" s="1">
        <v>2</v>
      </c>
      <c r="J1726" s="1">
        <v>4</v>
      </c>
    </row>
    <row r="1727" spans="1:10" x14ac:dyDescent="0.2">
      <c r="A1727" s="1">
        <v>1899</v>
      </c>
      <c r="B1727" s="1">
        <v>0</v>
      </c>
      <c r="C1727" s="1">
        <v>14</v>
      </c>
      <c r="D1727" s="1">
        <v>3</v>
      </c>
      <c r="E1727" s="1">
        <v>3</v>
      </c>
      <c r="F1727" s="1">
        <v>3</v>
      </c>
      <c r="G1727" s="1">
        <v>9</v>
      </c>
      <c r="H1727" s="1">
        <v>0</v>
      </c>
      <c r="I1727" s="1">
        <v>3</v>
      </c>
      <c r="J1727" s="1">
        <v>4</v>
      </c>
    </row>
    <row r="1728" spans="1:10" x14ac:dyDescent="0.2">
      <c r="A1728" s="1">
        <v>698</v>
      </c>
      <c r="B1728" s="1">
        <v>0</v>
      </c>
      <c r="C1728" s="1">
        <v>7</v>
      </c>
      <c r="D1728" s="1">
        <v>4</v>
      </c>
      <c r="E1728" s="1">
        <v>3</v>
      </c>
      <c r="F1728" s="1">
        <v>4</v>
      </c>
      <c r="G1728" s="1">
        <v>9</v>
      </c>
      <c r="H1728" s="1">
        <v>0</v>
      </c>
      <c r="I1728" s="1">
        <v>1</v>
      </c>
      <c r="J1728" s="1">
        <v>4</v>
      </c>
    </row>
    <row r="1729" spans="1:10" x14ac:dyDescent="0.2">
      <c r="A1729" s="1">
        <v>1370</v>
      </c>
      <c r="B1729" s="1">
        <v>0</v>
      </c>
      <c r="C1729" s="1">
        <v>13</v>
      </c>
      <c r="D1729" s="1">
        <v>4</v>
      </c>
      <c r="E1729" s="1">
        <v>3</v>
      </c>
      <c r="F1729" s="1">
        <v>4</v>
      </c>
      <c r="G1729" s="1">
        <v>9</v>
      </c>
      <c r="H1729" s="1">
        <v>1</v>
      </c>
      <c r="I1729" s="1">
        <v>1</v>
      </c>
      <c r="J1729" s="1">
        <v>4</v>
      </c>
    </row>
    <row r="1730" spans="1:10" x14ac:dyDescent="0.2">
      <c r="A1730" s="1">
        <v>640</v>
      </c>
      <c r="B1730" s="1">
        <v>0</v>
      </c>
      <c r="C1730" s="1">
        <v>19</v>
      </c>
      <c r="D1730" s="1">
        <v>4</v>
      </c>
      <c r="E1730" s="1">
        <v>3</v>
      </c>
      <c r="F1730" s="1">
        <v>4</v>
      </c>
      <c r="G1730" s="1">
        <v>9</v>
      </c>
      <c r="H1730" s="1">
        <v>1</v>
      </c>
      <c r="I1730" s="1">
        <v>3</v>
      </c>
      <c r="J1730" s="1">
        <v>4</v>
      </c>
    </row>
    <row r="1731" spans="1:10" x14ac:dyDescent="0.2">
      <c r="A1731" s="1">
        <v>2460</v>
      </c>
      <c r="B1731" s="1">
        <v>0</v>
      </c>
      <c r="C1731" s="1">
        <v>5</v>
      </c>
      <c r="D1731" s="1">
        <v>3</v>
      </c>
      <c r="E1731" s="1">
        <v>3</v>
      </c>
      <c r="F1731" s="1">
        <v>5</v>
      </c>
      <c r="G1731" s="1">
        <v>9</v>
      </c>
      <c r="H1731" s="1">
        <v>1</v>
      </c>
      <c r="I1731" s="1">
        <v>3</v>
      </c>
      <c r="J1731" s="1">
        <v>4</v>
      </c>
    </row>
    <row r="1732" spans="1:10" x14ac:dyDescent="0.2">
      <c r="A1732" s="1">
        <v>1034</v>
      </c>
      <c r="B1732" s="1">
        <v>0</v>
      </c>
      <c r="C1732" s="1">
        <v>9</v>
      </c>
      <c r="D1732" s="1">
        <v>5</v>
      </c>
      <c r="E1732" s="1">
        <v>3</v>
      </c>
      <c r="F1732" s="1">
        <v>5</v>
      </c>
      <c r="G1732" s="1">
        <v>9</v>
      </c>
      <c r="H1732" s="1">
        <v>0</v>
      </c>
      <c r="I1732" s="1">
        <v>0</v>
      </c>
      <c r="J1732" s="1">
        <v>4</v>
      </c>
    </row>
    <row r="1733" spans="1:10" x14ac:dyDescent="0.2">
      <c r="A1733" s="1">
        <v>539</v>
      </c>
      <c r="B1733" s="1">
        <v>0</v>
      </c>
      <c r="C1733" s="1">
        <v>19</v>
      </c>
      <c r="D1733" s="1">
        <v>1</v>
      </c>
      <c r="E1733" s="1">
        <v>3</v>
      </c>
      <c r="F1733" s="1">
        <v>5</v>
      </c>
      <c r="G1733" s="1">
        <v>9</v>
      </c>
      <c r="H1733" s="1">
        <v>0</v>
      </c>
      <c r="I1733" s="1">
        <v>3</v>
      </c>
      <c r="J1733" s="1">
        <v>4</v>
      </c>
    </row>
    <row r="1734" spans="1:10" x14ac:dyDescent="0.2">
      <c r="A1734" s="1">
        <v>299</v>
      </c>
      <c r="B1734" s="1">
        <v>0</v>
      </c>
      <c r="C1734" s="1">
        <v>8</v>
      </c>
      <c r="D1734" s="1">
        <v>4</v>
      </c>
      <c r="E1734" s="1">
        <v>3</v>
      </c>
      <c r="F1734" s="1">
        <v>6</v>
      </c>
      <c r="G1734" s="1">
        <v>9</v>
      </c>
      <c r="H1734" s="1">
        <v>1</v>
      </c>
      <c r="I1734" s="1">
        <v>1</v>
      </c>
      <c r="J1734" s="1">
        <v>4</v>
      </c>
    </row>
    <row r="1735" spans="1:10" x14ac:dyDescent="0.2">
      <c r="A1735" s="1">
        <v>1133</v>
      </c>
      <c r="B1735" s="1">
        <v>0</v>
      </c>
      <c r="C1735" s="1">
        <v>6</v>
      </c>
      <c r="D1735" s="1">
        <v>3</v>
      </c>
      <c r="E1735" s="1">
        <v>3</v>
      </c>
      <c r="F1735" s="1">
        <v>7</v>
      </c>
      <c r="G1735" s="1">
        <v>9</v>
      </c>
      <c r="H1735" s="1">
        <v>0</v>
      </c>
      <c r="I1735" s="1">
        <v>1</v>
      </c>
      <c r="J1735" s="1">
        <v>4</v>
      </c>
    </row>
    <row r="1736" spans="1:10" x14ac:dyDescent="0.2">
      <c r="A1736" s="1">
        <v>1338</v>
      </c>
      <c r="B1736" s="1">
        <v>0</v>
      </c>
      <c r="C1736" s="1">
        <v>8</v>
      </c>
      <c r="D1736" s="1">
        <v>4</v>
      </c>
      <c r="E1736" s="1">
        <v>3</v>
      </c>
      <c r="F1736" s="1">
        <v>7</v>
      </c>
      <c r="G1736" s="1">
        <v>9</v>
      </c>
      <c r="H1736" s="1">
        <v>1</v>
      </c>
      <c r="I1736" s="1">
        <v>2</v>
      </c>
      <c r="J1736" s="1">
        <v>4</v>
      </c>
    </row>
    <row r="1737" spans="1:10" x14ac:dyDescent="0.2">
      <c r="A1737" s="1">
        <v>30</v>
      </c>
      <c r="B1737" s="1">
        <v>0</v>
      </c>
      <c r="C1737" s="1">
        <v>14</v>
      </c>
      <c r="D1737" s="1">
        <v>3</v>
      </c>
      <c r="E1737" s="1">
        <v>3</v>
      </c>
      <c r="F1737" s="1">
        <v>7</v>
      </c>
      <c r="G1737" s="1">
        <v>9</v>
      </c>
      <c r="H1737" s="1">
        <v>0</v>
      </c>
      <c r="I1737" s="1">
        <v>0</v>
      </c>
      <c r="J1737" s="1">
        <v>4</v>
      </c>
    </row>
    <row r="1738" spans="1:10" x14ac:dyDescent="0.2">
      <c r="A1738" s="1">
        <v>434</v>
      </c>
      <c r="B1738" s="1">
        <v>0</v>
      </c>
      <c r="C1738" s="1">
        <v>11</v>
      </c>
      <c r="D1738" s="1">
        <v>2</v>
      </c>
      <c r="E1738" s="1">
        <v>3</v>
      </c>
      <c r="F1738" s="1">
        <v>8</v>
      </c>
      <c r="G1738" s="1">
        <v>9</v>
      </c>
      <c r="H1738" s="1">
        <v>1</v>
      </c>
      <c r="I1738" s="1">
        <v>3</v>
      </c>
      <c r="J1738" s="1">
        <v>4</v>
      </c>
    </row>
    <row r="1739" spans="1:10" x14ac:dyDescent="0.2">
      <c r="A1739" s="1">
        <v>932</v>
      </c>
      <c r="B1739" s="1">
        <v>0</v>
      </c>
      <c r="C1739" s="1">
        <v>12</v>
      </c>
      <c r="D1739" s="1">
        <v>1</v>
      </c>
      <c r="E1739" s="1">
        <v>3</v>
      </c>
      <c r="F1739" s="1">
        <v>8</v>
      </c>
      <c r="G1739" s="1">
        <v>9</v>
      </c>
      <c r="H1739" s="1">
        <v>1</v>
      </c>
      <c r="I1739" s="1">
        <v>1</v>
      </c>
      <c r="J1739" s="1">
        <v>4</v>
      </c>
    </row>
    <row r="1740" spans="1:10" x14ac:dyDescent="0.2">
      <c r="A1740" s="1">
        <v>1996</v>
      </c>
      <c r="B1740" s="1">
        <v>0</v>
      </c>
      <c r="C1740" s="1">
        <v>5</v>
      </c>
      <c r="D1740" s="1">
        <v>5</v>
      </c>
      <c r="E1740" s="1">
        <v>3</v>
      </c>
      <c r="F1740" s="1">
        <v>9</v>
      </c>
      <c r="G1740" s="1">
        <v>9</v>
      </c>
      <c r="H1740" s="1">
        <v>1</v>
      </c>
      <c r="I1740" s="1">
        <v>3</v>
      </c>
      <c r="J1740" s="1">
        <v>4</v>
      </c>
    </row>
    <row r="1741" spans="1:10" x14ac:dyDescent="0.2">
      <c r="A1741" s="1">
        <v>2131</v>
      </c>
      <c r="B1741" s="1">
        <v>0</v>
      </c>
      <c r="C1741" s="1">
        <v>17</v>
      </c>
      <c r="D1741" s="1">
        <v>4</v>
      </c>
      <c r="E1741" s="1">
        <v>3</v>
      </c>
      <c r="F1741" s="1">
        <v>9</v>
      </c>
      <c r="G1741" s="1">
        <v>9</v>
      </c>
      <c r="H1741" s="1">
        <v>1</v>
      </c>
      <c r="I1741" s="1">
        <v>0</v>
      </c>
      <c r="J1741" s="1">
        <v>4</v>
      </c>
    </row>
    <row r="1742" spans="1:10" x14ac:dyDescent="0.2">
      <c r="A1742" s="1">
        <v>2402</v>
      </c>
      <c r="B1742" s="1">
        <v>0</v>
      </c>
      <c r="C1742" s="1">
        <v>11</v>
      </c>
      <c r="D1742" s="1">
        <v>5</v>
      </c>
      <c r="E1742" s="1">
        <v>3</v>
      </c>
      <c r="F1742" s="1">
        <v>10</v>
      </c>
      <c r="G1742" s="1">
        <v>9</v>
      </c>
      <c r="H1742" s="1">
        <v>1</v>
      </c>
      <c r="I1742" s="1">
        <v>0</v>
      </c>
      <c r="J1742" s="1">
        <v>4</v>
      </c>
    </row>
    <row r="1743" spans="1:10" x14ac:dyDescent="0.2">
      <c r="A1743" s="1">
        <v>2100</v>
      </c>
      <c r="B1743" s="1">
        <v>0</v>
      </c>
      <c r="C1743" s="1">
        <v>12</v>
      </c>
      <c r="D1743" s="1">
        <v>3</v>
      </c>
      <c r="E1743" s="1">
        <v>3</v>
      </c>
      <c r="F1743" s="1">
        <v>1</v>
      </c>
      <c r="G1743" s="1">
        <v>10</v>
      </c>
      <c r="H1743" s="1">
        <v>0</v>
      </c>
      <c r="I1743" s="1">
        <v>3</v>
      </c>
      <c r="J1743" s="1">
        <v>4</v>
      </c>
    </row>
    <row r="1744" spans="1:10" x14ac:dyDescent="0.2">
      <c r="A1744" s="1">
        <v>1708</v>
      </c>
      <c r="B1744" s="1">
        <v>0</v>
      </c>
      <c r="C1744" s="1">
        <v>14</v>
      </c>
      <c r="D1744" s="1">
        <v>3</v>
      </c>
      <c r="E1744" s="1">
        <v>3</v>
      </c>
      <c r="F1744" s="1">
        <v>1</v>
      </c>
      <c r="G1744" s="1">
        <v>10</v>
      </c>
      <c r="H1744" s="1">
        <v>0</v>
      </c>
      <c r="I1744" s="1">
        <v>3</v>
      </c>
      <c r="J1744" s="1">
        <v>4</v>
      </c>
    </row>
    <row r="1745" spans="1:10" x14ac:dyDescent="0.2">
      <c r="A1745" s="1">
        <v>270</v>
      </c>
      <c r="B1745" s="1">
        <v>0</v>
      </c>
      <c r="C1745" s="1">
        <v>8</v>
      </c>
      <c r="D1745" s="1">
        <v>2</v>
      </c>
      <c r="E1745" s="1">
        <v>3</v>
      </c>
      <c r="F1745" s="1">
        <v>2</v>
      </c>
      <c r="G1745" s="1">
        <v>10</v>
      </c>
      <c r="H1745" s="1">
        <v>0</v>
      </c>
      <c r="I1745" s="1">
        <v>0</v>
      </c>
      <c r="J1745" s="1">
        <v>4</v>
      </c>
    </row>
    <row r="1746" spans="1:10" x14ac:dyDescent="0.2">
      <c r="A1746" s="1">
        <v>13</v>
      </c>
      <c r="B1746" s="1">
        <v>0</v>
      </c>
      <c r="C1746" s="1">
        <v>20</v>
      </c>
      <c r="D1746" s="1">
        <v>1</v>
      </c>
      <c r="E1746" s="1">
        <v>3</v>
      </c>
      <c r="F1746" s="1">
        <v>2</v>
      </c>
      <c r="G1746" s="1">
        <v>10</v>
      </c>
      <c r="H1746" s="1">
        <v>1</v>
      </c>
      <c r="I1746" s="1">
        <v>1</v>
      </c>
      <c r="J1746" s="1">
        <v>4</v>
      </c>
    </row>
    <row r="1747" spans="1:10" x14ac:dyDescent="0.2">
      <c r="A1747" s="1">
        <v>257</v>
      </c>
      <c r="B1747" s="1">
        <v>0</v>
      </c>
      <c r="C1747" s="1">
        <v>7</v>
      </c>
      <c r="D1747" s="1">
        <v>4</v>
      </c>
      <c r="E1747" s="1">
        <v>3</v>
      </c>
      <c r="F1747" s="1">
        <v>5</v>
      </c>
      <c r="G1747" s="1">
        <v>10</v>
      </c>
      <c r="H1747" s="1">
        <v>1</v>
      </c>
      <c r="I1747" s="1">
        <v>1</v>
      </c>
      <c r="J1747" s="1">
        <v>4</v>
      </c>
    </row>
    <row r="1748" spans="1:10" x14ac:dyDescent="0.2">
      <c r="A1748" s="1">
        <v>2054</v>
      </c>
      <c r="B1748" s="1">
        <v>0</v>
      </c>
      <c r="C1748" s="1">
        <v>12</v>
      </c>
      <c r="D1748" s="1">
        <v>4</v>
      </c>
      <c r="E1748" s="1">
        <v>3</v>
      </c>
      <c r="F1748" s="1">
        <v>5</v>
      </c>
      <c r="G1748" s="1">
        <v>10</v>
      </c>
      <c r="H1748" s="1">
        <v>0</v>
      </c>
      <c r="I1748" s="1">
        <v>2</v>
      </c>
      <c r="J1748" s="1">
        <v>4</v>
      </c>
    </row>
    <row r="1749" spans="1:10" x14ac:dyDescent="0.2">
      <c r="A1749" s="1">
        <v>709</v>
      </c>
      <c r="B1749" s="1">
        <v>0</v>
      </c>
      <c r="C1749" s="1">
        <v>11</v>
      </c>
      <c r="D1749" s="1">
        <v>2</v>
      </c>
      <c r="E1749" s="1">
        <v>3</v>
      </c>
      <c r="F1749" s="1">
        <v>6</v>
      </c>
      <c r="G1749" s="1">
        <v>10</v>
      </c>
      <c r="H1749" s="1">
        <v>1</v>
      </c>
      <c r="I1749" s="1">
        <v>3</v>
      </c>
      <c r="J1749" s="1">
        <v>4</v>
      </c>
    </row>
    <row r="1750" spans="1:10" x14ac:dyDescent="0.2">
      <c r="A1750" s="1">
        <v>1051</v>
      </c>
      <c r="B1750" s="1">
        <v>0</v>
      </c>
      <c r="C1750" s="1">
        <v>12</v>
      </c>
      <c r="D1750" s="1">
        <v>5</v>
      </c>
      <c r="E1750" s="1">
        <v>3</v>
      </c>
      <c r="F1750" s="1">
        <v>6</v>
      </c>
      <c r="G1750" s="1">
        <v>10</v>
      </c>
      <c r="H1750" s="1">
        <v>0</v>
      </c>
      <c r="I1750" s="1">
        <v>3</v>
      </c>
      <c r="J1750" s="1">
        <v>4</v>
      </c>
    </row>
    <row r="1751" spans="1:10" x14ac:dyDescent="0.2">
      <c r="A1751" s="1">
        <v>971</v>
      </c>
      <c r="B1751" s="1">
        <v>0</v>
      </c>
      <c r="C1751" s="1">
        <v>5</v>
      </c>
      <c r="D1751" s="1">
        <v>3</v>
      </c>
      <c r="E1751" s="1">
        <v>3</v>
      </c>
      <c r="F1751" s="1">
        <v>7</v>
      </c>
      <c r="G1751" s="1">
        <v>10</v>
      </c>
      <c r="H1751" s="1">
        <v>1</v>
      </c>
      <c r="I1751" s="1">
        <v>0</v>
      </c>
      <c r="J1751" s="1">
        <v>4</v>
      </c>
    </row>
    <row r="1752" spans="1:10" x14ac:dyDescent="0.2">
      <c r="A1752" s="1">
        <v>2341</v>
      </c>
      <c r="B1752" s="1">
        <v>0</v>
      </c>
      <c r="C1752" s="1">
        <v>5</v>
      </c>
      <c r="D1752" s="1">
        <v>1</v>
      </c>
      <c r="E1752" s="1">
        <v>3</v>
      </c>
      <c r="F1752" s="1">
        <v>7</v>
      </c>
      <c r="G1752" s="1">
        <v>10</v>
      </c>
      <c r="H1752" s="1">
        <v>1</v>
      </c>
      <c r="I1752" s="1">
        <v>2</v>
      </c>
      <c r="J1752" s="1">
        <v>4</v>
      </c>
    </row>
    <row r="1753" spans="1:10" x14ac:dyDescent="0.2">
      <c r="A1753" s="1">
        <v>532</v>
      </c>
      <c r="B1753" s="1">
        <v>0</v>
      </c>
      <c r="C1753" s="1">
        <v>12</v>
      </c>
      <c r="D1753" s="1">
        <v>4</v>
      </c>
      <c r="E1753" s="1">
        <v>3</v>
      </c>
      <c r="F1753" s="1">
        <v>7</v>
      </c>
      <c r="G1753" s="1">
        <v>10</v>
      </c>
      <c r="H1753" s="1">
        <v>1</v>
      </c>
      <c r="I1753" s="1">
        <v>1</v>
      </c>
      <c r="J1753" s="1">
        <v>4</v>
      </c>
    </row>
    <row r="1754" spans="1:10" x14ac:dyDescent="0.2">
      <c r="A1754" s="1">
        <v>1350</v>
      </c>
      <c r="B1754" s="1">
        <v>0</v>
      </c>
      <c r="C1754" s="1">
        <v>7</v>
      </c>
      <c r="D1754" s="1">
        <v>3</v>
      </c>
      <c r="E1754" s="1">
        <v>3</v>
      </c>
      <c r="F1754" s="1">
        <v>8</v>
      </c>
      <c r="G1754" s="1">
        <v>10</v>
      </c>
      <c r="H1754" s="1">
        <v>1</v>
      </c>
      <c r="I1754" s="1">
        <v>1</v>
      </c>
      <c r="J1754" s="1">
        <v>4</v>
      </c>
    </row>
    <row r="1755" spans="1:10" x14ac:dyDescent="0.2">
      <c r="A1755" s="1">
        <v>347</v>
      </c>
      <c r="B1755" s="1">
        <v>0</v>
      </c>
      <c r="C1755" s="1">
        <v>12</v>
      </c>
      <c r="D1755" s="1">
        <v>4</v>
      </c>
      <c r="E1755" s="1">
        <v>3</v>
      </c>
      <c r="F1755" s="1">
        <v>9</v>
      </c>
      <c r="G1755" s="1">
        <v>10</v>
      </c>
      <c r="H1755" s="1">
        <v>0</v>
      </c>
      <c r="I1755" s="1">
        <v>3</v>
      </c>
      <c r="J1755" s="1">
        <v>4</v>
      </c>
    </row>
    <row r="1756" spans="1:10" x14ac:dyDescent="0.2">
      <c r="A1756" s="1">
        <v>1635</v>
      </c>
      <c r="B1756" s="1">
        <v>0</v>
      </c>
      <c r="C1756" s="1">
        <v>19</v>
      </c>
      <c r="D1756" s="1">
        <v>1</v>
      </c>
      <c r="E1756" s="1">
        <v>3</v>
      </c>
      <c r="F1756" s="1">
        <v>10</v>
      </c>
      <c r="G1756" s="1">
        <v>10</v>
      </c>
      <c r="H1756" s="1">
        <v>0</v>
      </c>
      <c r="I1756" s="1">
        <v>2</v>
      </c>
      <c r="J1756" s="1">
        <v>4</v>
      </c>
    </row>
    <row r="1757" spans="1:10" x14ac:dyDescent="0.2">
      <c r="A1757" s="1">
        <v>1812</v>
      </c>
      <c r="B1757" s="1">
        <v>0</v>
      </c>
      <c r="C1757" s="1">
        <v>18</v>
      </c>
      <c r="D1757" s="1">
        <v>2</v>
      </c>
      <c r="E1757" s="1">
        <v>2</v>
      </c>
      <c r="F1757" s="1">
        <v>1</v>
      </c>
      <c r="G1757" s="1">
        <v>1</v>
      </c>
      <c r="H1757" s="1">
        <v>0</v>
      </c>
      <c r="I1757" s="1">
        <v>3</v>
      </c>
      <c r="J1757" s="1">
        <v>5</v>
      </c>
    </row>
    <row r="1758" spans="1:10" x14ac:dyDescent="0.2">
      <c r="A1758" s="1">
        <v>2374</v>
      </c>
      <c r="B1758" s="1">
        <v>0</v>
      </c>
      <c r="C1758" s="1">
        <v>13</v>
      </c>
      <c r="D1758" s="1">
        <v>3</v>
      </c>
      <c r="E1758" s="1">
        <v>3</v>
      </c>
      <c r="F1758" s="1">
        <v>1</v>
      </c>
      <c r="G1758" s="1">
        <v>1</v>
      </c>
      <c r="H1758" s="1">
        <v>0</v>
      </c>
      <c r="I1758" s="1">
        <v>0</v>
      </c>
      <c r="J1758" s="1">
        <v>5</v>
      </c>
    </row>
    <row r="1759" spans="1:10" x14ac:dyDescent="0.2">
      <c r="A1759" s="1">
        <v>295</v>
      </c>
      <c r="B1759" s="1">
        <v>0</v>
      </c>
      <c r="C1759" s="1">
        <v>15</v>
      </c>
      <c r="D1759" s="1">
        <v>5</v>
      </c>
      <c r="E1759" s="1">
        <v>3</v>
      </c>
      <c r="F1759" s="1">
        <v>1</v>
      </c>
      <c r="G1759" s="1">
        <v>1</v>
      </c>
      <c r="H1759" s="1">
        <v>0</v>
      </c>
      <c r="I1759" s="1">
        <v>3</v>
      </c>
      <c r="J1759" s="1">
        <v>5</v>
      </c>
    </row>
    <row r="1760" spans="1:10" x14ac:dyDescent="0.2">
      <c r="A1760" s="1">
        <v>734</v>
      </c>
      <c r="B1760" s="1">
        <v>0</v>
      </c>
      <c r="C1760" s="1">
        <v>17</v>
      </c>
      <c r="D1760" s="1">
        <v>5</v>
      </c>
      <c r="E1760" s="1">
        <v>3</v>
      </c>
      <c r="F1760" s="1">
        <v>1</v>
      </c>
      <c r="G1760" s="1">
        <v>1</v>
      </c>
      <c r="H1760" s="1">
        <v>1</v>
      </c>
      <c r="I1760" s="1">
        <v>1</v>
      </c>
      <c r="J1760" s="1">
        <v>5</v>
      </c>
    </row>
    <row r="1761" spans="1:10" x14ac:dyDescent="0.2">
      <c r="A1761" s="1">
        <v>656</v>
      </c>
      <c r="B1761" s="1">
        <v>0</v>
      </c>
      <c r="C1761" s="1">
        <v>18</v>
      </c>
      <c r="D1761" s="1">
        <v>1</v>
      </c>
      <c r="E1761" s="1">
        <v>1</v>
      </c>
      <c r="F1761" s="1">
        <v>2</v>
      </c>
      <c r="G1761" s="1">
        <v>1</v>
      </c>
      <c r="H1761" s="1">
        <v>1</v>
      </c>
      <c r="I1761" s="1">
        <v>1</v>
      </c>
      <c r="J1761" s="1">
        <v>5</v>
      </c>
    </row>
    <row r="1762" spans="1:10" x14ac:dyDescent="0.2">
      <c r="A1762" s="1">
        <v>1506</v>
      </c>
      <c r="B1762" s="1">
        <v>0</v>
      </c>
      <c r="C1762" s="1">
        <v>6</v>
      </c>
      <c r="D1762" s="1">
        <v>5</v>
      </c>
      <c r="E1762" s="1">
        <v>2</v>
      </c>
      <c r="F1762" s="1">
        <v>2</v>
      </c>
      <c r="G1762" s="1">
        <v>1</v>
      </c>
      <c r="H1762" s="1">
        <v>0</v>
      </c>
      <c r="I1762" s="1">
        <v>1</v>
      </c>
      <c r="J1762" s="1">
        <v>5</v>
      </c>
    </row>
    <row r="1763" spans="1:10" x14ac:dyDescent="0.2">
      <c r="A1763" s="1">
        <v>2142</v>
      </c>
      <c r="B1763" s="1">
        <v>0</v>
      </c>
      <c r="C1763" s="1">
        <v>15</v>
      </c>
      <c r="D1763" s="1">
        <v>5</v>
      </c>
      <c r="E1763" s="1">
        <v>2</v>
      </c>
      <c r="F1763" s="1">
        <v>2</v>
      </c>
      <c r="G1763" s="1">
        <v>1</v>
      </c>
      <c r="H1763" s="1">
        <v>1</v>
      </c>
      <c r="I1763" s="1">
        <v>2</v>
      </c>
      <c r="J1763" s="1">
        <v>5</v>
      </c>
    </row>
    <row r="1764" spans="1:10" x14ac:dyDescent="0.2">
      <c r="A1764" s="1">
        <v>9</v>
      </c>
      <c r="B1764" s="1">
        <v>0</v>
      </c>
      <c r="C1764" s="1">
        <v>8</v>
      </c>
      <c r="D1764" s="1">
        <v>3</v>
      </c>
      <c r="E1764" s="1">
        <v>3</v>
      </c>
      <c r="F1764" s="1">
        <v>2</v>
      </c>
      <c r="G1764" s="1">
        <v>1</v>
      </c>
      <c r="H1764" s="1">
        <v>0</v>
      </c>
      <c r="I1764" s="1">
        <v>2</v>
      </c>
      <c r="J1764" s="1">
        <v>5</v>
      </c>
    </row>
    <row r="1765" spans="1:10" x14ac:dyDescent="0.2">
      <c r="A1765" s="1">
        <v>1817</v>
      </c>
      <c r="B1765" s="1">
        <v>0</v>
      </c>
      <c r="C1765" s="1">
        <v>8</v>
      </c>
      <c r="D1765" s="1">
        <v>2</v>
      </c>
      <c r="E1765" s="1">
        <v>1</v>
      </c>
      <c r="F1765" s="1">
        <v>3</v>
      </c>
      <c r="G1765" s="1">
        <v>1</v>
      </c>
      <c r="H1765" s="1">
        <v>0</v>
      </c>
      <c r="I1765" s="1">
        <v>3</v>
      </c>
      <c r="J1765" s="1">
        <v>5</v>
      </c>
    </row>
    <row r="1766" spans="1:10" x14ac:dyDescent="0.2">
      <c r="A1766" s="1">
        <v>2435</v>
      </c>
      <c r="B1766" s="1">
        <v>0</v>
      </c>
      <c r="C1766" s="1">
        <v>11</v>
      </c>
      <c r="D1766" s="1">
        <v>4</v>
      </c>
      <c r="E1766" s="1">
        <v>1</v>
      </c>
      <c r="F1766" s="1">
        <v>3</v>
      </c>
      <c r="G1766" s="1">
        <v>1</v>
      </c>
      <c r="H1766" s="1">
        <v>1</v>
      </c>
      <c r="I1766" s="1">
        <v>2</v>
      </c>
      <c r="J1766" s="1">
        <v>5</v>
      </c>
    </row>
    <row r="1767" spans="1:10" x14ac:dyDescent="0.2">
      <c r="A1767" s="1">
        <v>1940</v>
      </c>
      <c r="B1767" s="1">
        <v>0</v>
      </c>
      <c r="C1767" s="1">
        <v>11</v>
      </c>
      <c r="D1767" s="1">
        <v>3</v>
      </c>
      <c r="E1767" s="1">
        <v>2</v>
      </c>
      <c r="F1767" s="1">
        <v>3</v>
      </c>
      <c r="G1767" s="1">
        <v>1</v>
      </c>
      <c r="H1767" s="1">
        <v>1</v>
      </c>
      <c r="I1767" s="1">
        <v>1</v>
      </c>
      <c r="J1767" s="1">
        <v>5</v>
      </c>
    </row>
    <row r="1768" spans="1:10" x14ac:dyDescent="0.2">
      <c r="A1768" s="1">
        <v>2101</v>
      </c>
      <c r="B1768" s="1">
        <v>0</v>
      </c>
      <c r="C1768" s="1">
        <v>11</v>
      </c>
      <c r="D1768" s="1">
        <v>3</v>
      </c>
      <c r="E1768" s="1">
        <v>2</v>
      </c>
      <c r="F1768" s="1">
        <v>3</v>
      </c>
      <c r="G1768" s="1">
        <v>1</v>
      </c>
      <c r="H1768" s="1">
        <v>0</v>
      </c>
      <c r="I1768" s="1">
        <v>3</v>
      </c>
      <c r="J1768" s="1">
        <v>5</v>
      </c>
    </row>
    <row r="1769" spans="1:10" x14ac:dyDescent="0.2">
      <c r="A1769" s="1">
        <v>986</v>
      </c>
      <c r="B1769" s="1">
        <v>0</v>
      </c>
      <c r="C1769" s="1">
        <v>12</v>
      </c>
      <c r="D1769" s="1">
        <v>4</v>
      </c>
      <c r="E1769" s="1">
        <v>2</v>
      </c>
      <c r="F1769" s="1">
        <v>3</v>
      </c>
      <c r="G1769" s="1">
        <v>1</v>
      </c>
      <c r="H1769" s="1">
        <v>1</v>
      </c>
      <c r="I1769" s="1">
        <v>3</v>
      </c>
      <c r="J1769" s="1">
        <v>5</v>
      </c>
    </row>
    <row r="1770" spans="1:10" x14ac:dyDescent="0.2">
      <c r="A1770" s="1">
        <v>1406</v>
      </c>
      <c r="B1770" s="1">
        <v>0</v>
      </c>
      <c r="C1770" s="1">
        <v>17</v>
      </c>
      <c r="D1770" s="1">
        <v>4</v>
      </c>
      <c r="E1770" s="1">
        <v>3</v>
      </c>
      <c r="F1770" s="1">
        <v>3</v>
      </c>
      <c r="G1770" s="1">
        <v>1</v>
      </c>
      <c r="H1770" s="1">
        <v>1</v>
      </c>
      <c r="I1770" s="1">
        <v>0</v>
      </c>
      <c r="J1770" s="1">
        <v>5</v>
      </c>
    </row>
    <row r="1771" spans="1:10" x14ac:dyDescent="0.2">
      <c r="A1771" s="1">
        <v>1319</v>
      </c>
      <c r="B1771" s="1">
        <v>0</v>
      </c>
      <c r="C1771" s="1">
        <v>19</v>
      </c>
      <c r="D1771" s="1">
        <v>2</v>
      </c>
      <c r="E1771" s="1">
        <v>3</v>
      </c>
      <c r="F1771" s="1">
        <v>3</v>
      </c>
      <c r="G1771" s="1">
        <v>1</v>
      </c>
      <c r="H1771" s="1">
        <v>0</v>
      </c>
      <c r="I1771" s="1">
        <v>3</v>
      </c>
      <c r="J1771" s="1">
        <v>5</v>
      </c>
    </row>
    <row r="1772" spans="1:10" x14ac:dyDescent="0.2">
      <c r="A1772" s="1">
        <v>876</v>
      </c>
      <c r="B1772" s="1">
        <v>0</v>
      </c>
      <c r="C1772" s="1">
        <v>12</v>
      </c>
      <c r="D1772" s="1">
        <v>5</v>
      </c>
      <c r="E1772" s="1">
        <v>1</v>
      </c>
      <c r="F1772" s="1">
        <v>4</v>
      </c>
      <c r="G1772" s="1">
        <v>1</v>
      </c>
      <c r="H1772" s="1">
        <v>0</v>
      </c>
      <c r="I1772" s="1">
        <v>1</v>
      </c>
      <c r="J1772" s="1">
        <v>5</v>
      </c>
    </row>
    <row r="1773" spans="1:10" x14ac:dyDescent="0.2">
      <c r="A1773" s="1">
        <v>773</v>
      </c>
      <c r="B1773" s="1">
        <v>0</v>
      </c>
      <c r="C1773" s="1">
        <v>15</v>
      </c>
      <c r="D1773" s="1">
        <v>1</v>
      </c>
      <c r="E1773" s="1">
        <v>1</v>
      </c>
      <c r="F1773" s="1">
        <v>4</v>
      </c>
      <c r="G1773" s="1">
        <v>1</v>
      </c>
      <c r="H1773" s="1">
        <v>1</v>
      </c>
      <c r="I1773" s="1">
        <v>0</v>
      </c>
      <c r="J1773" s="1">
        <v>5</v>
      </c>
    </row>
    <row r="1774" spans="1:10" x14ac:dyDescent="0.2">
      <c r="A1774" s="1">
        <v>478</v>
      </c>
      <c r="B1774" s="1">
        <v>0</v>
      </c>
      <c r="C1774" s="1">
        <v>13</v>
      </c>
      <c r="D1774" s="1">
        <v>4</v>
      </c>
      <c r="E1774" s="1">
        <v>3</v>
      </c>
      <c r="F1774" s="1">
        <v>4</v>
      </c>
      <c r="G1774" s="1">
        <v>1</v>
      </c>
      <c r="H1774" s="1">
        <v>0</v>
      </c>
      <c r="I1774" s="1">
        <v>2</v>
      </c>
      <c r="J1774" s="1">
        <v>5</v>
      </c>
    </row>
    <row r="1775" spans="1:10" x14ac:dyDescent="0.2">
      <c r="A1775" s="1">
        <v>1896</v>
      </c>
      <c r="B1775" s="1">
        <v>0</v>
      </c>
      <c r="C1775" s="1">
        <v>13</v>
      </c>
      <c r="D1775" s="1">
        <v>5</v>
      </c>
      <c r="E1775" s="1">
        <v>3</v>
      </c>
      <c r="F1775" s="1">
        <v>4</v>
      </c>
      <c r="G1775" s="1">
        <v>1</v>
      </c>
      <c r="H1775" s="1">
        <v>0</v>
      </c>
      <c r="I1775" s="1">
        <v>2</v>
      </c>
      <c r="J1775" s="1">
        <v>5</v>
      </c>
    </row>
    <row r="1776" spans="1:10" x14ac:dyDescent="0.2">
      <c r="A1776" s="1">
        <v>114</v>
      </c>
      <c r="B1776" s="1">
        <v>0</v>
      </c>
      <c r="C1776" s="1">
        <v>16</v>
      </c>
      <c r="D1776" s="1">
        <v>4</v>
      </c>
      <c r="E1776" s="1">
        <v>3</v>
      </c>
      <c r="F1776" s="1">
        <v>4</v>
      </c>
      <c r="G1776" s="1">
        <v>1</v>
      </c>
      <c r="H1776" s="1">
        <v>0</v>
      </c>
      <c r="I1776" s="1">
        <v>3</v>
      </c>
      <c r="J1776" s="1">
        <v>5</v>
      </c>
    </row>
    <row r="1777" spans="1:10" x14ac:dyDescent="0.2">
      <c r="A1777" s="1">
        <v>1063</v>
      </c>
      <c r="B1777" s="1">
        <v>0</v>
      </c>
      <c r="C1777" s="1">
        <v>16</v>
      </c>
      <c r="D1777" s="1">
        <v>2</v>
      </c>
      <c r="E1777" s="1">
        <v>3</v>
      </c>
      <c r="F1777" s="1">
        <v>4</v>
      </c>
      <c r="G1777" s="1">
        <v>1</v>
      </c>
      <c r="H1777" s="1">
        <v>1</v>
      </c>
      <c r="I1777" s="1">
        <v>2</v>
      </c>
      <c r="J1777" s="1">
        <v>5</v>
      </c>
    </row>
    <row r="1778" spans="1:10" x14ac:dyDescent="0.2">
      <c r="A1778" s="1">
        <v>1081</v>
      </c>
      <c r="B1778" s="1">
        <v>0</v>
      </c>
      <c r="C1778" s="1">
        <v>6</v>
      </c>
      <c r="D1778" s="1">
        <v>3</v>
      </c>
      <c r="E1778" s="1">
        <v>1</v>
      </c>
      <c r="F1778" s="1">
        <v>5</v>
      </c>
      <c r="G1778" s="1">
        <v>1</v>
      </c>
      <c r="H1778" s="1">
        <v>1</v>
      </c>
      <c r="I1778" s="1">
        <v>0</v>
      </c>
      <c r="J1778" s="1">
        <v>5</v>
      </c>
    </row>
    <row r="1779" spans="1:10" x14ac:dyDescent="0.2">
      <c r="A1779" s="1">
        <v>298</v>
      </c>
      <c r="B1779" s="1">
        <v>0</v>
      </c>
      <c r="C1779" s="1">
        <v>8</v>
      </c>
      <c r="D1779" s="1">
        <v>1</v>
      </c>
      <c r="E1779" s="1">
        <v>1</v>
      </c>
      <c r="F1779" s="1">
        <v>5</v>
      </c>
      <c r="G1779" s="1">
        <v>1</v>
      </c>
      <c r="H1779" s="1">
        <v>1</v>
      </c>
      <c r="I1779" s="1">
        <v>1</v>
      </c>
      <c r="J1779" s="1">
        <v>5</v>
      </c>
    </row>
    <row r="1780" spans="1:10" x14ac:dyDescent="0.2">
      <c r="A1780" s="1">
        <v>1806</v>
      </c>
      <c r="B1780" s="1">
        <v>0</v>
      </c>
      <c r="C1780" s="1">
        <v>5</v>
      </c>
      <c r="D1780" s="1">
        <v>4</v>
      </c>
      <c r="E1780" s="1">
        <v>2</v>
      </c>
      <c r="F1780" s="1">
        <v>5</v>
      </c>
      <c r="G1780" s="1">
        <v>1</v>
      </c>
      <c r="H1780" s="1">
        <v>0</v>
      </c>
      <c r="I1780" s="1">
        <v>3</v>
      </c>
      <c r="J1780" s="1">
        <v>5</v>
      </c>
    </row>
    <row r="1781" spans="1:10" x14ac:dyDescent="0.2">
      <c r="A1781" s="1">
        <v>669</v>
      </c>
      <c r="B1781" s="1">
        <v>0</v>
      </c>
      <c r="C1781" s="1">
        <v>20</v>
      </c>
      <c r="D1781" s="1">
        <v>5</v>
      </c>
      <c r="E1781" s="1">
        <v>2</v>
      </c>
      <c r="F1781" s="1">
        <v>5</v>
      </c>
      <c r="G1781" s="1">
        <v>1</v>
      </c>
      <c r="H1781" s="1">
        <v>1</v>
      </c>
      <c r="I1781" s="1">
        <v>2</v>
      </c>
      <c r="J1781" s="1">
        <v>5</v>
      </c>
    </row>
    <row r="1782" spans="1:10" x14ac:dyDescent="0.2">
      <c r="A1782" s="1">
        <v>590</v>
      </c>
      <c r="B1782" s="1">
        <v>0</v>
      </c>
      <c r="C1782" s="1">
        <v>8</v>
      </c>
      <c r="D1782" s="1">
        <v>2</v>
      </c>
      <c r="E1782" s="1">
        <v>3</v>
      </c>
      <c r="F1782" s="1">
        <v>5</v>
      </c>
      <c r="G1782" s="1">
        <v>1</v>
      </c>
      <c r="H1782" s="1">
        <v>1</v>
      </c>
      <c r="I1782" s="1">
        <v>2</v>
      </c>
      <c r="J1782" s="1">
        <v>5</v>
      </c>
    </row>
    <row r="1783" spans="1:10" x14ac:dyDescent="0.2">
      <c r="A1783" s="1">
        <v>834</v>
      </c>
      <c r="B1783" s="1">
        <v>0</v>
      </c>
      <c r="C1783" s="1">
        <v>9</v>
      </c>
      <c r="D1783" s="1">
        <v>1</v>
      </c>
      <c r="E1783" s="1">
        <v>3</v>
      </c>
      <c r="F1783" s="1">
        <v>5</v>
      </c>
      <c r="G1783" s="1">
        <v>1</v>
      </c>
      <c r="H1783" s="1">
        <v>1</v>
      </c>
      <c r="I1783" s="1">
        <v>2</v>
      </c>
      <c r="J1783" s="1">
        <v>5</v>
      </c>
    </row>
    <row r="1784" spans="1:10" x14ac:dyDescent="0.2">
      <c r="A1784" s="1">
        <v>1427</v>
      </c>
      <c r="B1784" s="1">
        <v>0</v>
      </c>
      <c r="C1784" s="1">
        <v>5</v>
      </c>
      <c r="D1784" s="1">
        <v>3</v>
      </c>
      <c r="E1784" s="1">
        <v>1</v>
      </c>
      <c r="F1784" s="1">
        <v>6</v>
      </c>
      <c r="G1784" s="1">
        <v>1</v>
      </c>
      <c r="H1784" s="1">
        <v>1</v>
      </c>
      <c r="I1784" s="1">
        <v>3</v>
      </c>
      <c r="J1784" s="1">
        <v>5</v>
      </c>
    </row>
    <row r="1785" spans="1:10" x14ac:dyDescent="0.2">
      <c r="A1785" s="1">
        <v>495</v>
      </c>
      <c r="B1785" s="1">
        <v>0</v>
      </c>
      <c r="C1785" s="1">
        <v>15</v>
      </c>
      <c r="D1785" s="1">
        <v>1</v>
      </c>
      <c r="E1785" s="1">
        <v>1</v>
      </c>
      <c r="F1785" s="1">
        <v>6</v>
      </c>
      <c r="G1785" s="1">
        <v>1</v>
      </c>
      <c r="H1785" s="1">
        <v>1</v>
      </c>
      <c r="I1785" s="1">
        <v>1</v>
      </c>
      <c r="J1785" s="1">
        <v>5</v>
      </c>
    </row>
    <row r="1786" spans="1:10" x14ac:dyDescent="0.2">
      <c r="A1786" s="1">
        <v>1213</v>
      </c>
      <c r="B1786" s="1">
        <v>0</v>
      </c>
      <c r="C1786" s="1">
        <v>15</v>
      </c>
      <c r="D1786" s="1">
        <v>2</v>
      </c>
      <c r="E1786" s="1">
        <v>2</v>
      </c>
      <c r="F1786" s="1">
        <v>6</v>
      </c>
      <c r="G1786" s="1">
        <v>1</v>
      </c>
      <c r="H1786" s="1">
        <v>0</v>
      </c>
      <c r="I1786" s="1">
        <v>1</v>
      </c>
      <c r="J1786" s="1">
        <v>5</v>
      </c>
    </row>
    <row r="1787" spans="1:10" x14ac:dyDescent="0.2">
      <c r="A1787" s="1">
        <v>2444</v>
      </c>
      <c r="B1787" s="1">
        <v>0</v>
      </c>
      <c r="C1787" s="1">
        <v>17</v>
      </c>
      <c r="D1787" s="1">
        <v>5</v>
      </c>
      <c r="E1787" s="1">
        <v>2</v>
      </c>
      <c r="F1787" s="1">
        <v>6</v>
      </c>
      <c r="G1787" s="1">
        <v>1</v>
      </c>
      <c r="H1787" s="1">
        <v>0</v>
      </c>
      <c r="I1787" s="1">
        <v>0</v>
      </c>
      <c r="J1787" s="1">
        <v>5</v>
      </c>
    </row>
    <row r="1788" spans="1:10" x14ac:dyDescent="0.2">
      <c r="A1788" s="1">
        <v>2160</v>
      </c>
      <c r="B1788" s="1">
        <v>0</v>
      </c>
      <c r="C1788" s="1">
        <v>5</v>
      </c>
      <c r="D1788" s="1">
        <v>1</v>
      </c>
      <c r="E1788" s="1">
        <v>3</v>
      </c>
      <c r="F1788" s="1">
        <v>6</v>
      </c>
      <c r="G1788" s="1">
        <v>1</v>
      </c>
      <c r="H1788" s="1">
        <v>0</v>
      </c>
      <c r="I1788" s="1">
        <v>1</v>
      </c>
      <c r="J1788" s="1">
        <v>5</v>
      </c>
    </row>
    <row r="1789" spans="1:10" x14ac:dyDescent="0.2">
      <c r="A1789" s="1">
        <v>1701</v>
      </c>
      <c r="B1789" s="1">
        <v>0</v>
      </c>
      <c r="C1789" s="1">
        <v>17</v>
      </c>
      <c r="D1789" s="1">
        <v>3</v>
      </c>
      <c r="E1789" s="1">
        <v>3</v>
      </c>
      <c r="F1789" s="1">
        <v>6</v>
      </c>
      <c r="G1789" s="1">
        <v>1</v>
      </c>
      <c r="H1789" s="1">
        <v>1</v>
      </c>
      <c r="I1789" s="1">
        <v>2</v>
      </c>
      <c r="J1789" s="1">
        <v>5</v>
      </c>
    </row>
    <row r="1790" spans="1:10" x14ac:dyDescent="0.2">
      <c r="A1790" s="1">
        <v>2096</v>
      </c>
      <c r="B1790" s="1">
        <v>0</v>
      </c>
      <c r="C1790" s="1">
        <v>9</v>
      </c>
      <c r="D1790" s="1">
        <v>3</v>
      </c>
      <c r="E1790" s="1">
        <v>2</v>
      </c>
      <c r="F1790" s="1">
        <v>7</v>
      </c>
      <c r="G1790" s="1">
        <v>1</v>
      </c>
      <c r="H1790" s="1">
        <v>0</v>
      </c>
      <c r="I1790" s="1">
        <v>2</v>
      </c>
      <c r="J1790" s="1">
        <v>5</v>
      </c>
    </row>
    <row r="1791" spans="1:10" x14ac:dyDescent="0.2">
      <c r="A1791" s="1">
        <v>1208</v>
      </c>
      <c r="B1791" s="1">
        <v>0</v>
      </c>
      <c r="C1791" s="1">
        <v>13</v>
      </c>
      <c r="D1791" s="1">
        <v>3</v>
      </c>
      <c r="E1791" s="1">
        <v>2</v>
      </c>
      <c r="F1791" s="1">
        <v>7</v>
      </c>
      <c r="G1791" s="1">
        <v>1</v>
      </c>
      <c r="H1791" s="1">
        <v>0</v>
      </c>
      <c r="I1791" s="1">
        <v>2</v>
      </c>
      <c r="J1791" s="1">
        <v>5</v>
      </c>
    </row>
    <row r="1792" spans="1:10" x14ac:dyDescent="0.2">
      <c r="A1792" s="1">
        <v>706</v>
      </c>
      <c r="B1792" s="1">
        <v>0</v>
      </c>
      <c r="C1792" s="1">
        <v>15</v>
      </c>
      <c r="D1792" s="1">
        <v>1</v>
      </c>
      <c r="E1792" s="1">
        <v>2</v>
      </c>
      <c r="F1792" s="1">
        <v>7</v>
      </c>
      <c r="G1792" s="1">
        <v>1</v>
      </c>
      <c r="H1792" s="1">
        <v>0</v>
      </c>
      <c r="I1792" s="1">
        <v>3</v>
      </c>
      <c r="J1792" s="1">
        <v>5</v>
      </c>
    </row>
    <row r="1793" spans="1:10" x14ac:dyDescent="0.2">
      <c r="A1793" s="1">
        <v>1032</v>
      </c>
      <c r="B1793" s="1">
        <v>0</v>
      </c>
      <c r="C1793" s="1">
        <v>17</v>
      </c>
      <c r="D1793" s="1">
        <v>2</v>
      </c>
      <c r="E1793" s="1">
        <v>2</v>
      </c>
      <c r="F1793" s="1">
        <v>7</v>
      </c>
      <c r="G1793" s="1">
        <v>1</v>
      </c>
      <c r="H1793" s="1">
        <v>1</v>
      </c>
      <c r="I1793" s="1">
        <v>3</v>
      </c>
      <c r="J1793" s="1">
        <v>5</v>
      </c>
    </row>
    <row r="1794" spans="1:10" x14ac:dyDescent="0.2">
      <c r="A1794" s="1">
        <v>1132</v>
      </c>
      <c r="B1794" s="1">
        <v>0</v>
      </c>
      <c r="C1794" s="1">
        <v>7</v>
      </c>
      <c r="D1794" s="1">
        <v>5</v>
      </c>
      <c r="E1794" s="1">
        <v>3</v>
      </c>
      <c r="F1794" s="1">
        <v>7</v>
      </c>
      <c r="G1794" s="1">
        <v>1</v>
      </c>
      <c r="H1794" s="1">
        <v>1</v>
      </c>
      <c r="I1794" s="1">
        <v>3</v>
      </c>
      <c r="J1794" s="1">
        <v>5</v>
      </c>
    </row>
    <row r="1795" spans="1:10" x14ac:dyDescent="0.2">
      <c r="A1795" s="1">
        <v>82</v>
      </c>
      <c r="B1795" s="1">
        <v>0</v>
      </c>
      <c r="C1795" s="1">
        <v>8</v>
      </c>
      <c r="D1795" s="1">
        <v>5</v>
      </c>
      <c r="E1795" s="1">
        <v>1</v>
      </c>
      <c r="F1795" s="1">
        <v>8</v>
      </c>
      <c r="G1795" s="1">
        <v>1</v>
      </c>
      <c r="H1795" s="1">
        <v>0</v>
      </c>
      <c r="I1795" s="1">
        <v>3</v>
      </c>
      <c r="J1795" s="1">
        <v>5</v>
      </c>
    </row>
    <row r="1796" spans="1:10" x14ac:dyDescent="0.2">
      <c r="A1796" s="1">
        <v>1418</v>
      </c>
      <c r="B1796" s="1">
        <v>0</v>
      </c>
      <c r="C1796" s="1">
        <v>8</v>
      </c>
      <c r="D1796" s="1">
        <v>1</v>
      </c>
      <c r="E1796" s="1">
        <v>1</v>
      </c>
      <c r="F1796" s="1">
        <v>8</v>
      </c>
      <c r="G1796" s="1">
        <v>1</v>
      </c>
      <c r="H1796" s="1">
        <v>0</v>
      </c>
      <c r="I1796" s="1">
        <v>1</v>
      </c>
      <c r="J1796" s="1">
        <v>5</v>
      </c>
    </row>
    <row r="1797" spans="1:10" x14ac:dyDescent="0.2">
      <c r="A1797" s="1">
        <v>1692</v>
      </c>
      <c r="B1797" s="1">
        <v>0</v>
      </c>
      <c r="C1797" s="1">
        <v>10</v>
      </c>
      <c r="D1797" s="1">
        <v>3</v>
      </c>
      <c r="E1797" s="1">
        <v>2</v>
      </c>
      <c r="F1797" s="1">
        <v>8</v>
      </c>
      <c r="G1797" s="1">
        <v>1</v>
      </c>
      <c r="H1797" s="1">
        <v>0</v>
      </c>
      <c r="I1797" s="1">
        <v>0</v>
      </c>
      <c r="J1797" s="1">
        <v>5</v>
      </c>
    </row>
    <row r="1798" spans="1:10" x14ac:dyDescent="0.2">
      <c r="A1798" s="1">
        <v>431</v>
      </c>
      <c r="B1798" s="1">
        <v>0</v>
      </c>
      <c r="C1798" s="1">
        <v>7</v>
      </c>
      <c r="D1798" s="1">
        <v>4</v>
      </c>
      <c r="E1798" s="1">
        <v>3</v>
      </c>
      <c r="F1798" s="1">
        <v>8</v>
      </c>
      <c r="G1798" s="1">
        <v>1</v>
      </c>
      <c r="H1798" s="1">
        <v>1</v>
      </c>
      <c r="I1798" s="1">
        <v>1</v>
      </c>
      <c r="J1798" s="1">
        <v>5</v>
      </c>
    </row>
    <row r="1799" spans="1:10" x14ac:dyDescent="0.2">
      <c r="A1799" s="1">
        <v>288</v>
      </c>
      <c r="B1799" s="1">
        <v>0</v>
      </c>
      <c r="C1799" s="1">
        <v>8</v>
      </c>
      <c r="D1799" s="1">
        <v>5</v>
      </c>
      <c r="E1799" s="1">
        <v>3</v>
      </c>
      <c r="F1799" s="1">
        <v>8</v>
      </c>
      <c r="G1799" s="1">
        <v>1</v>
      </c>
      <c r="H1799" s="1">
        <v>1</v>
      </c>
      <c r="I1799" s="1">
        <v>1</v>
      </c>
      <c r="J1799" s="1">
        <v>5</v>
      </c>
    </row>
    <row r="1800" spans="1:10" x14ac:dyDescent="0.2">
      <c r="A1800" s="1">
        <v>2050</v>
      </c>
      <c r="B1800" s="1">
        <v>0</v>
      </c>
      <c r="C1800" s="1">
        <v>10</v>
      </c>
      <c r="D1800" s="1">
        <v>4</v>
      </c>
      <c r="E1800" s="1">
        <v>3</v>
      </c>
      <c r="F1800" s="1">
        <v>8</v>
      </c>
      <c r="G1800" s="1">
        <v>1</v>
      </c>
      <c r="H1800" s="1">
        <v>0</v>
      </c>
      <c r="I1800" s="1">
        <v>0</v>
      </c>
      <c r="J1800" s="1">
        <v>5</v>
      </c>
    </row>
    <row r="1801" spans="1:10" x14ac:dyDescent="0.2">
      <c r="A1801" s="1">
        <v>1312</v>
      </c>
      <c r="B1801" s="1">
        <v>0</v>
      </c>
      <c r="C1801" s="1">
        <v>11</v>
      </c>
      <c r="D1801" s="1">
        <v>3</v>
      </c>
      <c r="E1801" s="1">
        <v>3</v>
      </c>
      <c r="F1801" s="1">
        <v>8</v>
      </c>
      <c r="G1801" s="1">
        <v>1</v>
      </c>
      <c r="H1801" s="1">
        <v>1</v>
      </c>
      <c r="I1801" s="1">
        <v>0</v>
      </c>
      <c r="J1801" s="1">
        <v>5</v>
      </c>
    </row>
    <row r="1802" spans="1:10" x14ac:dyDescent="0.2">
      <c r="A1802" s="1">
        <v>2243</v>
      </c>
      <c r="B1802" s="1">
        <v>0</v>
      </c>
      <c r="C1802" s="1">
        <v>6</v>
      </c>
      <c r="D1802" s="1">
        <v>3</v>
      </c>
      <c r="E1802" s="1">
        <v>1</v>
      </c>
      <c r="F1802" s="1">
        <v>9</v>
      </c>
      <c r="G1802" s="1">
        <v>1</v>
      </c>
      <c r="H1802" s="1">
        <v>0</v>
      </c>
      <c r="I1802" s="1">
        <v>2</v>
      </c>
      <c r="J1802" s="1">
        <v>5</v>
      </c>
    </row>
    <row r="1803" spans="1:10" x14ac:dyDescent="0.2">
      <c r="A1803" s="1">
        <v>619</v>
      </c>
      <c r="B1803" s="1">
        <v>0</v>
      </c>
      <c r="C1803" s="1">
        <v>17</v>
      </c>
      <c r="D1803" s="1">
        <v>1</v>
      </c>
      <c r="E1803" s="1">
        <v>1</v>
      </c>
      <c r="F1803" s="1">
        <v>9</v>
      </c>
      <c r="G1803" s="1">
        <v>1</v>
      </c>
      <c r="H1803" s="1">
        <v>1</v>
      </c>
      <c r="I1803" s="1">
        <v>2</v>
      </c>
      <c r="J1803" s="1">
        <v>5</v>
      </c>
    </row>
    <row r="1804" spans="1:10" x14ac:dyDescent="0.2">
      <c r="A1804" s="1">
        <v>657</v>
      </c>
      <c r="B1804" s="1">
        <v>0</v>
      </c>
      <c r="C1804" s="1">
        <v>14</v>
      </c>
      <c r="D1804" s="1">
        <v>5</v>
      </c>
      <c r="E1804" s="1">
        <v>2</v>
      </c>
      <c r="F1804" s="1">
        <v>9</v>
      </c>
      <c r="G1804" s="1">
        <v>1</v>
      </c>
      <c r="H1804" s="1">
        <v>1</v>
      </c>
      <c r="I1804" s="1">
        <v>2</v>
      </c>
      <c r="J1804" s="1">
        <v>5</v>
      </c>
    </row>
    <row r="1805" spans="1:10" x14ac:dyDescent="0.2">
      <c r="A1805" s="1">
        <v>1989</v>
      </c>
      <c r="B1805" s="1">
        <v>0</v>
      </c>
      <c r="C1805" s="1">
        <v>15</v>
      </c>
      <c r="D1805" s="1">
        <v>4</v>
      </c>
      <c r="E1805" s="1">
        <v>2</v>
      </c>
      <c r="F1805" s="1">
        <v>9</v>
      </c>
      <c r="G1805" s="1">
        <v>1</v>
      </c>
      <c r="H1805" s="1">
        <v>0</v>
      </c>
      <c r="I1805" s="1">
        <v>1</v>
      </c>
      <c r="J1805" s="1">
        <v>5</v>
      </c>
    </row>
    <row r="1806" spans="1:10" x14ac:dyDescent="0.2">
      <c r="A1806" s="1">
        <v>255</v>
      </c>
      <c r="B1806" s="1">
        <v>0</v>
      </c>
      <c r="C1806" s="1">
        <v>6</v>
      </c>
      <c r="D1806" s="1">
        <v>5</v>
      </c>
      <c r="E1806" s="1">
        <v>3</v>
      </c>
      <c r="F1806" s="1">
        <v>9</v>
      </c>
      <c r="G1806" s="1">
        <v>1</v>
      </c>
      <c r="H1806" s="1">
        <v>1</v>
      </c>
      <c r="I1806" s="1">
        <v>2</v>
      </c>
      <c r="J1806" s="1">
        <v>5</v>
      </c>
    </row>
    <row r="1807" spans="1:10" x14ac:dyDescent="0.2">
      <c r="A1807" s="1">
        <v>2321</v>
      </c>
      <c r="B1807" s="1">
        <v>0</v>
      </c>
      <c r="C1807" s="1">
        <v>8</v>
      </c>
      <c r="D1807" s="1">
        <v>1</v>
      </c>
      <c r="E1807" s="1">
        <v>2</v>
      </c>
      <c r="F1807" s="1">
        <v>10</v>
      </c>
      <c r="G1807" s="1">
        <v>1</v>
      </c>
      <c r="H1807" s="1">
        <v>1</v>
      </c>
      <c r="I1807" s="1">
        <v>1</v>
      </c>
      <c r="J1807" s="1">
        <v>5</v>
      </c>
    </row>
    <row r="1808" spans="1:10" x14ac:dyDescent="0.2">
      <c r="A1808" s="1">
        <v>1741</v>
      </c>
      <c r="B1808" s="1">
        <v>0</v>
      </c>
      <c r="C1808" s="1">
        <v>9</v>
      </c>
      <c r="D1808" s="1">
        <v>1</v>
      </c>
      <c r="E1808" s="1">
        <v>2</v>
      </c>
      <c r="F1808" s="1">
        <v>10</v>
      </c>
      <c r="G1808" s="1">
        <v>1</v>
      </c>
      <c r="H1808" s="1">
        <v>0</v>
      </c>
      <c r="I1808" s="1">
        <v>1</v>
      </c>
      <c r="J1808" s="1">
        <v>5</v>
      </c>
    </row>
    <row r="1809" spans="1:10" x14ac:dyDescent="0.2">
      <c r="A1809" s="1">
        <v>787</v>
      </c>
      <c r="B1809" s="1">
        <v>0</v>
      </c>
      <c r="C1809" s="1">
        <v>12</v>
      </c>
      <c r="D1809" s="1">
        <v>2</v>
      </c>
      <c r="E1809" s="1">
        <v>2</v>
      </c>
      <c r="F1809" s="1">
        <v>10</v>
      </c>
      <c r="G1809" s="1">
        <v>1</v>
      </c>
      <c r="H1809" s="1">
        <v>0</v>
      </c>
      <c r="I1809" s="1">
        <v>3</v>
      </c>
      <c r="J1809" s="1">
        <v>5</v>
      </c>
    </row>
    <row r="1810" spans="1:10" x14ac:dyDescent="0.2">
      <c r="A1810" s="1">
        <v>1457</v>
      </c>
      <c r="B1810" s="1">
        <v>0</v>
      </c>
      <c r="C1810" s="1">
        <v>5</v>
      </c>
      <c r="D1810" s="1">
        <v>4</v>
      </c>
      <c r="E1810" s="1">
        <v>3</v>
      </c>
      <c r="F1810" s="1">
        <v>10</v>
      </c>
      <c r="G1810" s="1">
        <v>1</v>
      </c>
      <c r="H1810" s="1">
        <v>1</v>
      </c>
      <c r="I1810" s="1">
        <v>1</v>
      </c>
      <c r="J1810" s="1">
        <v>5</v>
      </c>
    </row>
    <row r="1811" spans="1:10" x14ac:dyDescent="0.2">
      <c r="A1811" s="1">
        <v>1851</v>
      </c>
      <c r="B1811" s="1">
        <v>0</v>
      </c>
      <c r="C1811" s="1">
        <v>5</v>
      </c>
      <c r="D1811" s="1">
        <v>5</v>
      </c>
      <c r="E1811" s="1">
        <v>3</v>
      </c>
      <c r="F1811" s="1">
        <v>10</v>
      </c>
      <c r="G1811" s="1">
        <v>1</v>
      </c>
      <c r="H1811" s="1">
        <v>0</v>
      </c>
      <c r="I1811" s="1">
        <v>0</v>
      </c>
      <c r="J1811" s="1">
        <v>5</v>
      </c>
    </row>
    <row r="1812" spans="1:10" x14ac:dyDescent="0.2">
      <c r="A1812" s="1">
        <v>2226</v>
      </c>
      <c r="B1812" s="1">
        <v>0</v>
      </c>
      <c r="C1812" s="1">
        <v>5</v>
      </c>
      <c r="D1812" s="1">
        <v>3</v>
      </c>
      <c r="E1812" s="1">
        <v>3</v>
      </c>
      <c r="F1812" s="1">
        <v>10</v>
      </c>
      <c r="G1812" s="1">
        <v>1</v>
      </c>
      <c r="H1812" s="1">
        <v>1</v>
      </c>
      <c r="I1812" s="1">
        <v>1</v>
      </c>
      <c r="J1812" s="1">
        <v>5</v>
      </c>
    </row>
    <row r="1813" spans="1:10" x14ac:dyDescent="0.2">
      <c r="A1813" s="1">
        <v>2134</v>
      </c>
      <c r="B1813" s="1">
        <v>0</v>
      </c>
      <c r="C1813" s="1">
        <v>15</v>
      </c>
      <c r="D1813" s="1">
        <v>5</v>
      </c>
      <c r="E1813" s="1">
        <v>3</v>
      </c>
      <c r="F1813" s="1">
        <v>10</v>
      </c>
      <c r="G1813" s="1">
        <v>1</v>
      </c>
      <c r="H1813" s="1">
        <v>1</v>
      </c>
      <c r="I1813" s="1">
        <v>3</v>
      </c>
      <c r="J1813" s="1">
        <v>5</v>
      </c>
    </row>
    <row r="1814" spans="1:10" x14ac:dyDescent="0.2">
      <c r="A1814" s="1">
        <v>349</v>
      </c>
      <c r="B1814" s="1">
        <v>0</v>
      </c>
      <c r="C1814" s="1">
        <v>6</v>
      </c>
      <c r="D1814" s="1">
        <v>3</v>
      </c>
      <c r="E1814" s="1">
        <v>1</v>
      </c>
      <c r="F1814" s="1">
        <v>1</v>
      </c>
      <c r="G1814" s="1">
        <v>2</v>
      </c>
      <c r="H1814" s="1">
        <v>0</v>
      </c>
      <c r="I1814" s="1">
        <v>1</v>
      </c>
      <c r="J1814" s="1">
        <v>5</v>
      </c>
    </row>
    <row r="1815" spans="1:10" x14ac:dyDescent="0.2">
      <c r="A1815" s="1">
        <v>1642</v>
      </c>
      <c r="B1815" s="1">
        <v>0</v>
      </c>
      <c r="C1815" s="1">
        <v>6</v>
      </c>
      <c r="D1815" s="1">
        <v>4</v>
      </c>
      <c r="E1815" s="1">
        <v>1</v>
      </c>
      <c r="F1815" s="1">
        <v>1</v>
      </c>
      <c r="G1815" s="1">
        <v>2</v>
      </c>
      <c r="H1815" s="1">
        <v>1</v>
      </c>
      <c r="I1815" s="1">
        <v>1</v>
      </c>
      <c r="J1815" s="1">
        <v>5</v>
      </c>
    </row>
    <row r="1816" spans="1:10" x14ac:dyDescent="0.2">
      <c r="A1816" s="1">
        <v>636</v>
      </c>
      <c r="B1816" s="1">
        <v>0</v>
      </c>
      <c r="C1816" s="1">
        <v>11</v>
      </c>
      <c r="D1816" s="1">
        <v>1</v>
      </c>
      <c r="E1816" s="1">
        <v>1</v>
      </c>
      <c r="F1816" s="1">
        <v>1</v>
      </c>
      <c r="G1816" s="1">
        <v>2</v>
      </c>
      <c r="H1816" s="1">
        <v>1</v>
      </c>
      <c r="I1816" s="1">
        <v>2</v>
      </c>
      <c r="J1816" s="1">
        <v>5</v>
      </c>
    </row>
    <row r="1817" spans="1:10" x14ac:dyDescent="0.2">
      <c r="A1817" s="1">
        <v>1501</v>
      </c>
      <c r="B1817" s="1">
        <v>0</v>
      </c>
      <c r="C1817" s="1">
        <v>14</v>
      </c>
      <c r="D1817" s="1">
        <v>3</v>
      </c>
      <c r="E1817" s="1">
        <v>1</v>
      </c>
      <c r="F1817" s="1">
        <v>1</v>
      </c>
      <c r="G1817" s="1">
        <v>2</v>
      </c>
      <c r="H1817" s="1">
        <v>0</v>
      </c>
      <c r="I1817" s="1">
        <v>1</v>
      </c>
      <c r="J1817" s="1">
        <v>5</v>
      </c>
    </row>
    <row r="1818" spans="1:10" x14ac:dyDescent="0.2">
      <c r="A1818" s="1">
        <v>1588</v>
      </c>
      <c r="B1818" s="1">
        <v>0</v>
      </c>
      <c r="C1818" s="1">
        <v>15</v>
      </c>
      <c r="D1818" s="1">
        <v>5</v>
      </c>
      <c r="E1818" s="1">
        <v>1</v>
      </c>
      <c r="F1818" s="1">
        <v>1</v>
      </c>
      <c r="G1818" s="1">
        <v>2</v>
      </c>
      <c r="H1818" s="1">
        <v>0</v>
      </c>
      <c r="I1818" s="1">
        <v>3</v>
      </c>
      <c r="J1818" s="1">
        <v>5</v>
      </c>
    </row>
    <row r="1819" spans="1:10" x14ac:dyDescent="0.2">
      <c r="A1819" s="1">
        <v>1258</v>
      </c>
      <c r="B1819" s="1">
        <v>0</v>
      </c>
      <c r="C1819" s="1">
        <v>15</v>
      </c>
      <c r="D1819" s="1">
        <v>3</v>
      </c>
      <c r="E1819" s="1">
        <v>2</v>
      </c>
      <c r="F1819" s="1">
        <v>1</v>
      </c>
      <c r="G1819" s="1">
        <v>2</v>
      </c>
      <c r="H1819" s="1">
        <v>0</v>
      </c>
      <c r="I1819" s="1">
        <v>3</v>
      </c>
      <c r="J1819" s="1">
        <v>5</v>
      </c>
    </row>
    <row r="1820" spans="1:10" x14ac:dyDescent="0.2">
      <c r="A1820" s="1">
        <v>1433</v>
      </c>
      <c r="B1820" s="1">
        <v>0</v>
      </c>
      <c r="C1820" s="1">
        <v>15</v>
      </c>
      <c r="D1820" s="1">
        <v>1</v>
      </c>
      <c r="E1820" s="1">
        <v>2</v>
      </c>
      <c r="F1820" s="1">
        <v>1</v>
      </c>
      <c r="G1820" s="1">
        <v>2</v>
      </c>
      <c r="H1820" s="1">
        <v>0</v>
      </c>
      <c r="I1820" s="1">
        <v>2</v>
      </c>
      <c r="J1820" s="1">
        <v>5</v>
      </c>
    </row>
    <row r="1821" spans="1:10" x14ac:dyDescent="0.2">
      <c r="A1821" s="1">
        <v>1554</v>
      </c>
      <c r="B1821" s="1">
        <v>0</v>
      </c>
      <c r="C1821" s="1">
        <v>8</v>
      </c>
      <c r="D1821" s="1">
        <v>2</v>
      </c>
      <c r="E1821" s="1">
        <v>3</v>
      </c>
      <c r="F1821" s="1">
        <v>1</v>
      </c>
      <c r="G1821" s="1">
        <v>2</v>
      </c>
      <c r="H1821" s="1">
        <v>0</v>
      </c>
      <c r="I1821" s="1">
        <v>1</v>
      </c>
      <c r="J1821" s="1">
        <v>5</v>
      </c>
    </row>
    <row r="1822" spans="1:10" x14ac:dyDescent="0.2">
      <c r="A1822" s="1">
        <v>937</v>
      </c>
      <c r="B1822" s="1">
        <v>0</v>
      </c>
      <c r="C1822" s="1">
        <v>11</v>
      </c>
      <c r="D1822" s="1">
        <v>2</v>
      </c>
      <c r="E1822" s="1">
        <v>3</v>
      </c>
      <c r="F1822" s="1">
        <v>1</v>
      </c>
      <c r="G1822" s="1">
        <v>2</v>
      </c>
      <c r="H1822" s="1">
        <v>1</v>
      </c>
      <c r="I1822" s="1">
        <v>2</v>
      </c>
      <c r="J1822" s="1">
        <v>5</v>
      </c>
    </row>
    <row r="1823" spans="1:10" x14ac:dyDescent="0.2">
      <c r="A1823" s="1">
        <v>230</v>
      </c>
      <c r="B1823" s="1">
        <v>0</v>
      </c>
      <c r="C1823" s="1">
        <v>17</v>
      </c>
      <c r="D1823" s="1">
        <v>3</v>
      </c>
      <c r="E1823" s="1">
        <v>3</v>
      </c>
      <c r="F1823" s="1">
        <v>1</v>
      </c>
      <c r="G1823" s="1">
        <v>2</v>
      </c>
      <c r="H1823" s="1">
        <v>1</v>
      </c>
      <c r="I1823" s="1">
        <v>1</v>
      </c>
      <c r="J1823" s="1">
        <v>5</v>
      </c>
    </row>
    <row r="1824" spans="1:10" x14ac:dyDescent="0.2">
      <c r="A1824" s="1">
        <v>1315</v>
      </c>
      <c r="B1824" s="1">
        <v>0</v>
      </c>
      <c r="C1824" s="1">
        <v>5</v>
      </c>
      <c r="D1824" s="1">
        <v>3</v>
      </c>
      <c r="E1824" s="1">
        <v>1</v>
      </c>
      <c r="F1824" s="1">
        <v>2</v>
      </c>
      <c r="G1824" s="1">
        <v>2</v>
      </c>
      <c r="H1824" s="1">
        <v>1</v>
      </c>
      <c r="I1824" s="1">
        <v>3</v>
      </c>
      <c r="J1824" s="1">
        <v>5</v>
      </c>
    </row>
    <row r="1825" spans="1:10" x14ac:dyDescent="0.2">
      <c r="A1825" s="1">
        <v>181</v>
      </c>
      <c r="B1825" s="1">
        <v>0</v>
      </c>
      <c r="C1825" s="1">
        <v>17</v>
      </c>
      <c r="D1825" s="1">
        <v>3</v>
      </c>
      <c r="E1825" s="1">
        <v>2</v>
      </c>
      <c r="F1825" s="1">
        <v>2</v>
      </c>
      <c r="G1825" s="1">
        <v>2</v>
      </c>
      <c r="H1825" s="1">
        <v>0</v>
      </c>
      <c r="I1825" s="1">
        <v>2</v>
      </c>
      <c r="J1825" s="1">
        <v>5</v>
      </c>
    </row>
    <row r="1826" spans="1:10" x14ac:dyDescent="0.2">
      <c r="A1826" s="1">
        <v>1866</v>
      </c>
      <c r="B1826" s="1">
        <v>0</v>
      </c>
      <c r="C1826" s="1">
        <v>19</v>
      </c>
      <c r="D1826" s="1">
        <v>5</v>
      </c>
      <c r="E1826" s="1">
        <v>2</v>
      </c>
      <c r="F1826" s="1">
        <v>2</v>
      </c>
      <c r="G1826" s="1">
        <v>2</v>
      </c>
      <c r="H1826" s="1">
        <v>1</v>
      </c>
      <c r="I1826" s="1">
        <v>3</v>
      </c>
      <c r="J1826" s="1">
        <v>5</v>
      </c>
    </row>
    <row r="1827" spans="1:10" x14ac:dyDescent="0.2">
      <c r="A1827" s="1">
        <v>918</v>
      </c>
      <c r="B1827" s="1">
        <v>0</v>
      </c>
      <c r="C1827" s="1">
        <v>6</v>
      </c>
      <c r="D1827" s="1">
        <v>1</v>
      </c>
      <c r="E1827" s="1">
        <v>3</v>
      </c>
      <c r="F1827" s="1">
        <v>2</v>
      </c>
      <c r="G1827" s="1">
        <v>2</v>
      </c>
      <c r="H1827" s="1">
        <v>0</v>
      </c>
      <c r="I1827" s="1">
        <v>2</v>
      </c>
      <c r="J1827" s="1">
        <v>5</v>
      </c>
    </row>
    <row r="1828" spans="1:10" x14ac:dyDescent="0.2">
      <c r="A1828" s="1">
        <v>1944</v>
      </c>
      <c r="B1828" s="1">
        <v>0</v>
      </c>
      <c r="C1828" s="1">
        <v>14</v>
      </c>
      <c r="D1828" s="1">
        <v>3</v>
      </c>
      <c r="E1828" s="1">
        <v>3</v>
      </c>
      <c r="F1828" s="1">
        <v>2</v>
      </c>
      <c r="G1828" s="1">
        <v>2</v>
      </c>
      <c r="H1828" s="1">
        <v>1</v>
      </c>
      <c r="I1828" s="1">
        <v>1</v>
      </c>
      <c r="J1828" s="1">
        <v>5</v>
      </c>
    </row>
    <row r="1829" spans="1:10" x14ac:dyDescent="0.2">
      <c r="A1829" s="1">
        <v>1139</v>
      </c>
      <c r="B1829" s="1">
        <v>0</v>
      </c>
      <c r="C1829" s="1">
        <v>20</v>
      </c>
      <c r="D1829" s="1">
        <v>5</v>
      </c>
      <c r="E1829" s="1">
        <v>3</v>
      </c>
      <c r="F1829" s="1">
        <v>2</v>
      </c>
      <c r="G1829" s="1">
        <v>2</v>
      </c>
      <c r="H1829" s="1">
        <v>0</v>
      </c>
      <c r="I1829" s="1">
        <v>1</v>
      </c>
      <c r="J1829" s="1">
        <v>5</v>
      </c>
    </row>
    <row r="1830" spans="1:10" x14ac:dyDescent="0.2">
      <c r="A1830" s="1">
        <v>1413</v>
      </c>
      <c r="B1830" s="1">
        <v>0</v>
      </c>
      <c r="C1830" s="1">
        <v>20</v>
      </c>
      <c r="D1830" s="1">
        <v>5</v>
      </c>
      <c r="E1830" s="1">
        <v>3</v>
      </c>
      <c r="F1830" s="1">
        <v>2</v>
      </c>
      <c r="G1830" s="1">
        <v>2</v>
      </c>
      <c r="H1830" s="1">
        <v>1</v>
      </c>
      <c r="I1830" s="1">
        <v>0</v>
      </c>
      <c r="J1830" s="1">
        <v>5</v>
      </c>
    </row>
    <row r="1831" spans="1:10" x14ac:dyDescent="0.2">
      <c r="A1831" s="1">
        <v>1651</v>
      </c>
      <c r="B1831" s="1">
        <v>0</v>
      </c>
      <c r="C1831" s="1">
        <v>9</v>
      </c>
      <c r="D1831" s="1">
        <v>3</v>
      </c>
      <c r="E1831" s="1">
        <v>1</v>
      </c>
      <c r="F1831" s="1">
        <v>3</v>
      </c>
      <c r="G1831" s="1">
        <v>2</v>
      </c>
      <c r="H1831" s="1">
        <v>1</v>
      </c>
      <c r="I1831" s="1">
        <v>1</v>
      </c>
      <c r="J1831" s="1">
        <v>5</v>
      </c>
    </row>
    <row r="1832" spans="1:10" x14ac:dyDescent="0.2">
      <c r="A1832" s="1">
        <v>1082</v>
      </c>
      <c r="B1832" s="1">
        <v>0</v>
      </c>
      <c r="C1832" s="1">
        <v>11</v>
      </c>
      <c r="D1832" s="1">
        <v>2</v>
      </c>
      <c r="E1832" s="1">
        <v>2</v>
      </c>
      <c r="F1832" s="1">
        <v>3</v>
      </c>
      <c r="G1832" s="1">
        <v>2</v>
      </c>
      <c r="H1832" s="1">
        <v>1</v>
      </c>
      <c r="I1832" s="1">
        <v>0</v>
      </c>
      <c r="J1832" s="1">
        <v>5</v>
      </c>
    </row>
    <row r="1833" spans="1:10" x14ac:dyDescent="0.2">
      <c r="A1833" s="1">
        <v>819</v>
      </c>
      <c r="B1833" s="1">
        <v>0</v>
      </c>
      <c r="C1833" s="1">
        <v>13</v>
      </c>
      <c r="D1833" s="1">
        <v>3</v>
      </c>
      <c r="E1833" s="1">
        <v>2</v>
      </c>
      <c r="F1833" s="1">
        <v>3</v>
      </c>
      <c r="G1833" s="1">
        <v>2</v>
      </c>
      <c r="H1833" s="1">
        <v>0</v>
      </c>
      <c r="I1833" s="1">
        <v>2</v>
      </c>
      <c r="J1833" s="1">
        <v>5</v>
      </c>
    </row>
    <row r="1834" spans="1:10" x14ac:dyDescent="0.2">
      <c r="A1834" s="1">
        <v>1628</v>
      </c>
      <c r="B1834" s="1">
        <v>0</v>
      </c>
      <c r="C1834" s="1">
        <v>17</v>
      </c>
      <c r="D1834" s="1">
        <v>4</v>
      </c>
      <c r="E1834" s="1">
        <v>2</v>
      </c>
      <c r="F1834" s="1">
        <v>3</v>
      </c>
      <c r="G1834" s="1">
        <v>2</v>
      </c>
      <c r="H1834" s="1">
        <v>0</v>
      </c>
      <c r="I1834" s="1">
        <v>3</v>
      </c>
      <c r="J1834" s="1">
        <v>5</v>
      </c>
    </row>
    <row r="1835" spans="1:10" x14ac:dyDescent="0.2">
      <c r="A1835" s="1">
        <v>1836</v>
      </c>
      <c r="B1835" s="1">
        <v>0</v>
      </c>
      <c r="C1835" s="1">
        <v>7</v>
      </c>
      <c r="D1835" s="1">
        <v>1</v>
      </c>
      <c r="E1835" s="1">
        <v>3</v>
      </c>
      <c r="F1835" s="1">
        <v>3</v>
      </c>
      <c r="G1835" s="1">
        <v>2</v>
      </c>
      <c r="H1835" s="1">
        <v>1</v>
      </c>
      <c r="I1835" s="1">
        <v>2</v>
      </c>
      <c r="J1835" s="1">
        <v>5</v>
      </c>
    </row>
    <row r="1836" spans="1:10" x14ac:dyDescent="0.2">
      <c r="A1836" s="1">
        <v>907</v>
      </c>
      <c r="B1836" s="1">
        <v>0</v>
      </c>
      <c r="C1836" s="1">
        <v>14</v>
      </c>
      <c r="D1836" s="1">
        <v>3</v>
      </c>
      <c r="E1836" s="1">
        <v>1</v>
      </c>
      <c r="F1836" s="1">
        <v>4</v>
      </c>
      <c r="G1836" s="1">
        <v>2</v>
      </c>
      <c r="H1836" s="1">
        <v>0</v>
      </c>
      <c r="I1836" s="1">
        <v>1</v>
      </c>
      <c r="J1836" s="1">
        <v>5</v>
      </c>
    </row>
    <row r="1837" spans="1:10" x14ac:dyDescent="0.2">
      <c r="A1837" s="1">
        <v>406</v>
      </c>
      <c r="B1837" s="1">
        <v>0</v>
      </c>
      <c r="C1837" s="1">
        <v>6</v>
      </c>
      <c r="D1837" s="1">
        <v>5</v>
      </c>
      <c r="E1837" s="1">
        <v>2</v>
      </c>
      <c r="F1837" s="1">
        <v>4</v>
      </c>
      <c r="G1837" s="1">
        <v>2</v>
      </c>
      <c r="H1837" s="1">
        <v>0</v>
      </c>
      <c r="I1837" s="1">
        <v>1</v>
      </c>
      <c r="J1837" s="1">
        <v>5</v>
      </c>
    </row>
    <row r="1838" spans="1:10" x14ac:dyDescent="0.2">
      <c r="A1838" s="1">
        <v>2319</v>
      </c>
      <c r="B1838" s="1">
        <v>0</v>
      </c>
      <c r="C1838" s="1">
        <v>10</v>
      </c>
      <c r="D1838" s="1">
        <v>5</v>
      </c>
      <c r="E1838" s="1">
        <v>2</v>
      </c>
      <c r="F1838" s="1">
        <v>5</v>
      </c>
      <c r="G1838" s="1">
        <v>2</v>
      </c>
      <c r="H1838" s="1">
        <v>1</v>
      </c>
      <c r="I1838" s="1">
        <v>2</v>
      </c>
      <c r="J1838" s="1">
        <v>5</v>
      </c>
    </row>
    <row r="1839" spans="1:10" x14ac:dyDescent="0.2">
      <c r="A1839" s="1">
        <v>1698</v>
      </c>
      <c r="B1839" s="1">
        <v>0</v>
      </c>
      <c r="C1839" s="1">
        <v>20</v>
      </c>
      <c r="D1839" s="1">
        <v>4</v>
      </c>
      <c r="E1839" s="1">
        <v>2</v>
      </c>
      <c r="F1839" s="1">
        <v>5</v>
      </c>
      <c r="G1839" s="1">
        <v>2</v>
      </c>
      <c r="H1839" s="1">
        <v>1</v>
      </c>
      <c r="I1839" s="1">
        <v>0</v>
      </c>
      <c r="J1839" s="1">
        <v>5</v>
      </c>
    </row>
    <row r="1840" spans="1:10" x14ac:dyDescent="0.2">
      <c r="A1840" s="1">
        <v>1671</v>
      </c>
      <c r="B1840" s="1">
        <v>0</v>
      </c>
      <c r="C1840" s="1">
        <v>6</v>
      </c>
      <c r="D1840" s="1">
        <v>4</v>
      </c>
      <c r="E1840" s="1">
        <v>3</v>
      </c>
      <c r="F1840" s="1">
        <v>5</v>
      </c>
      <c r="G1840" s="1">
        <v>2</v>
      </c>
      <c r="H1840" s="1">
        <v>0</v>
      </c>
      <c r="I1840" s="1">
        <v>2</v>
      </c>
      <c r="J1840" s="1">
        <v>5</v>
      </c>
    </row>
    <row r="1841" spans="1:10" x14ac:dyDescent="0.2">
      <c r="A1841" s="1">
        <v>1207</v>
      </c>
      <c r="B1841" s="1">
        <v>0</v>
      </c>
      <c r="C1841" s="1">
        <v>16</v>
      </c>
      <c r="D1841" s="1">
        <v>4</v>
      </c>
      <c r="E1841" s="1">
        <v>3</v>
      </c>
      <c r="F1841" s="1">
        <v>5</v>
      </c>
      <c r="G1841" s="1">
        <v>2</v>
      </c>
      <c r="H1841" s="1">
        <v>0</v>
      </c>
      <c r="I1841" s="1">
        <v>0</v>
      </c>
      <c r="J1841" s="1">
        <v>5</v>
      </c>
    </row>
    <row r="1842" spans="1:10" x14ac:dyDescent="0.2">
      <c r="A1842" s="1">
        <v>2186</v>
      </c>
      <c r="B1842" s="1">
        <v>0</v>
      </c>
      <c r="C1842" s="1">
        <v>18</v>
      </c>
      <c r="D1842" s="1">
        <v>4</v>
      </c>
      <c r="E1842" s="1">
        <v>3</v>
      </c>
      <c r="F1842" s="1">
        <v>5</v>
      </c>
      <c r="G1842" s="1">
        <v>2</v>
      </c>
      <c r="H1842" s="1">
        <v>0</v>
      </c>
      <c r="I1842" s="1">
        <v>3</v>
      </c>
      <c r="J1842" s="1">
        <v>5</v>
      </c>
    </row>
    <row r="1843" spans="1:10" x14ac:dyDescent="0.2">
      <c r="A1843" s="1">
        <v>2437</v>
      </c>
      <c r="B1843" s="1">
        <v>0</v>
      </c>
      <c r="C1843" s="1">
        <v>14</v>
      </c>
      <c r="D1843" s="1">
        <v>5</v>
      </c>
      <c r="E1843" s="1">
        <v>1</v>
      </c>
      <c r="F1843" s="1">
        <v>6</v>
      </c>
      <c r="G1843" s="1">
        <v>2</v>
      </c>
      <c r="H1843" s="1">
        <v>1</v>
      </c>
      <c r="I1843" s="1">
        <v>1</v>
      </c>
      <c r="J1843" s="1">
        <v>5</v>
      </c>
    </row>
    <row r="1844" spans="1:10" x14ac:dyDescent="0.2">
      <c r="A1844" s="1">
        <v>122</v>
      </c>
      <c r="B1844" s="1">
        <v>0</v>
      </c>
      <c r="C1844" s="1">
        <v>13</v>
      </c>
      <c r="D1844" s="1">
        <v>1</v>
      </c>
      <c r="E1844" s="1">
        <v>2</v>
      </c>
      <c r="F1844" s="1">
        <v>6</v>
      </c>
      <c r="G1844" s="1">
        <v>2</v>
      </c>
      <c r="H1844" s="1">
        <v>0</v>
      </c>
      <c r="I1844" s="1">
        <v>1</v>
      </c>
      <c r="J1844" s="1">
        <v>5</v>
      </c>
    </row>
    <row r="1845" spans="1:10" x14ac:dyDescent="0.2">
      <c r="A1845" s="1">
        <v>377</v>
      </c>
      <c r="B1845" s="1">
        <v>0</v>
      </c>
      <c r="C1845" s="1">
        <v>16</v>
      </c>
      <c r="D1845" s="1">
        <v>5</v>
      </c>
      <c r="E1845" s="1">
        <v>2</v>
      </c>
      <c r="F1845" s="1">
        <v>6</v>
      </c>
      <c r="G1845" s="1">
        <v>2</v>
      </c>
      <c r="H1845" s="1">
        <v>1</v>
      </c>
      <c r="I1845" s="1">
        <v>2</v>
      </c>
      <c r="J1845" s="1">
        <v>5</v>
      </c>
    </row>
    <row r="1846" spans="1:10" x14ac:dyDescent="0.2">
      <c r="A1846" s="1">
        <v>226</v>
      </c>
      <c r="B1846" s="1">
        <v>0</v>
      </c>
      <c r="C1846" s="1">
        <v>5</v>
      </c>
      <c r="D1846" s="1">
        <v>1</v>
      </c>
      <c r="E1846" s="1">
        <v>3</v>
      </c>
      <c r="F1846" s="1">
        <v>6</v>
      </c>
      <c r="G1846" s="1">
        <v>2</v>
      </c>
      <c r="H1846" s="1">
        <v>1</v>
      </c>
      <c r="I1846" s="1">
        <v>2</v>
      </c>
      <c r="J1846" s="1">
        <v>5</v>
      </c>
    </row>
    <row r="1847" spans="1:10" x14ac:dyDescent="0.2">
      <c r="A1847" s="1">
        <v>2396</v>
      </c>
      <c r="B1847" s="1">
        <v>0</v>
      </c>
      <c r="C1847" s="1">
        <v>16</v>
      </c>
      <c r="D1847" s="1">
        <v>1</v>
      </c>
      <c r="E1847" s="1">
        <v>3</v>
      </c>
      <c r="F1847" s="1">
        <v>6</v>
      </c>
      <c r="G1847" s="1">
        <v>2</v>
      </c>
      <c r="H1847" s="1">
        <v>0</v>
      </c>
      <c r="I1847" s="1">
        <v>3</v>
      </c>
      <c r="J1847" s="1">
        <v>5</v>
      </c>
    </row>
    <row r="1848" spans="1:10" x14ac:dyDescent="0.2">
      <c r="A1848" s="1">
        <v>1187</v>
      </c>
      <c r="B1848" s="1">
        <v>0</v>
      </c>
      <c r="C1848" s="1">
        <v>18</v>
      </c>
      <c r="D1848" s="1">
        <v>2</v>
      </c>
      <c r="E1848" s="1">
        <v>3</v>
      </c>
      <c r="F1848" s="1">
        <v>6</v>
      </c>
      <c r="G1848" s="1">
        <v>2</v>
      </c>
      <c r="H1848" s="1">
        <v>0</v>
      </c>
      <c r="I1848" s="1">
        <v>2</v>
      </c>
      <c r="J1848" s="1">
        <v>5</v>
      </c>
    </row>
    <row r="1849" spans="1:10" x14ac:dyDescent="0.2">
      <c r="A1849" s="1">
        <v>62</v>
      </c>
      <c r="B1849" s="1">
        <v>0</v>
      </c>
      <c r="C1849" s="1">
        <v>9</v>
      </c>
      <c r="D1849" s="1">
        <v>1</v>
      </c>
      <c r="E1849" s="1">
        <v>2</v>
      </c>
      <c r="F1849" s="1">
        <v>7</v>
      </c>
      <c r="G1849" s="1">
        <v>2</v>
      </c>
      <c r="H1849" s="1">
        <v>0</v>
      </c>
      <c r="I1849" s="1">
        <v>1</v>
      </c>
      <c r="J1849" s="1">
        <v>5</v>
      </c>
    </row>
    <row r="1850" spans="1:10" x14ac:dyDescent="0.2">
      <c r="A1850" s="1">
        <v>474</v>
      </c>
      <c r="B1850" s="1">
        <v>0</v>
      </c>
      <c r="C1850" s="1">
        <v>9</v>
      </c>
      <c r="D1850" s="1">
        <v>1</v>
      </c>
      <c r="E1850" s="1">
        <v>2</v>
      </c>
      <c r="F1850" s="1">
        <v>7</v>
      </c>
      <c r="G1850" s="1">
        <v>2</v>
      </c>
      <c r="H1850" s="1">
        <v>0</v>
      </c>
      <c r="I1850" s="1">
        <v>3</v>
      </c>
      <c r="J1850" s="1">
        <v>5</v>
      </c>
    </row>
    <row r="1851" spans="1:10" x14ac:dyDescent="0.2">
      <c r="A1851" s="1">
        <v>1444</v>
      </c>
      <c r="B1851" s="1">
        <v>0</v>
      </c>
      <c r="C1851" s="1">
        <v>7</v>
      </c>
      <c r="D1851" s="1">
        <v>4</v>
      </c>
      <c r="E1851" s="1">
        <v>3</v>
      </c>
      <c r="F1851" s="1">
        <v>7</v>
      </c>
      <c r="G1851" s="1">
        <v>2</v>
      </c>
      <c r="H1851" s="1">
        <v>0</v>
      </c>
      <c r="I1851" s="1">
        <v>1</v>
      </c>
      <c r="J1851" s="1">
        <v>5</v>
      </c>
    </row>
    <row r="1852" spans="1:10" x14ac:dyDescent="0.2">
      <c r="A1852" s="1">
        <v>2079</v>
      </c>
      <c r="B1852" s="1">
        <v>0</v>
      </c>
      <c r="C1852" s="1">
        <v>17</v>
      </c>
      <c r="D1852" s="1">
        <v>4</v>
      </c>
      <c r="E1852" s="1">
        <v>1</v>
      </c>
      <c r="F1852" s="1">
        <v>8</v>
      </c>
      <c r="G1852" s="1">
        <v>2</v>
      </c>
      <c r="H1852" s="1">
        <v>1</v>
      </c>
      <c r="I1852" s="1">
        <v>0</v>
      </c>
      <c r="J1852" s="1">
        <v>5</v>
      </c>
    </row>
    <row r="1853" spans="1:10" x14ac:dyDescent="0.2">
      <c r="A1853" s="1">
        <v>679</v>
      </c>
      <c r="B1853" s="1">
        <v>0</v>
      </c>
      <c r="C1853" s="1">
        <v>8</v>
      </c>
      <c r="D1853" s="1">
        <v>3</v>
      </c>
      <c r="E1853" s="1">
        <v>2</v>
      </c>
      <c r="F1853" s="1">
        <v>8</v>
      </c>
      <c r="G1853" s="1">
        <v>2</v>
      </c>
      <c r="H1853" s="1">
        <v>1</v>
      </c>
      <c r="I1853" s="1">
        <v>1</v>
      </c>
      <c r="J1853" s="1">
        <v>5</v>
      </c>
    </row>
    <row r="1854" spans="1:10" x14ac:dyDescent="0.2">
      <c r="A1854" s="1">
        <v>448</v>
      </c>
      <c r="B1854" s="1">
        <v>0</v>
      </c>
      <c r="C1854" s="1">
        <v>6</v>
      </c>
      <c r="D1854" s="1">
        <v>5</v>
      </c>
      <c r="E1854" s="1">
        <v>1</v>
      </c>
      <c r="F1854" s="1">
        <v>9</v>
      </c>
      <c r="G1854" s="1">
        <v>2</v>
      </c>
      <c r="H1854" s="1">
        <v>1</v>
      </c>
      <c r="I1854" s="1">
        <v>0</v>
      </c>
      <c r="J1854" s="1">
        <v>5</v>
      </c>
    </row>
    <row r="1855" spans="1:10" x14ac:dyDescent="0.2">
      <c r="A1855" s="1">
        <v>1525</v>
      </c>
      <c r="B1855" s="1">
        <v>0</v>
      </c>
      <c r="C1855" s="1">
        <v>14</v>
      </c>
      <c r="D1855" s="1">
        <v>2</v>
      </c>
      <c r="E1855" s="1">
        <v>1</v>
      </c>
      <c r="F1855" s="1">
        <v>9</v>
      </c>
      <c r="G1855" s="1">
        <v>2</v>
      </c>
      <c r="H1855" s="1">
        <v>0</v>
      </c>
      <c r="I1855" s="1">
        <v>3</v>
      </c>
      <c r="J1855" s="1">
        <v>5</v>
      </c>
    </row>
    <row r="1856" spans="1:10" x14ac:dyDescent="0.2">
      <c r="A1856" s="1">
        <v>924</v>
      </c>
      <c r="B1856" s="1">
        <v>0</v>
      </c>
      <c r="C1856" s="1">
        <v>20</v>
      </c>
      <c r="D1856" s="1">
        <v>1</v>
      </c>
      <c r="E1856" s="1">
        <v>1</v>
      </c>
      <c r="F1856" s="1">
        <v>9</v>
      </c>
      <c r="G1856" s="1">
        <v>2</v>
      </c>
      <c r="H1856" s="1">
        <v>0</v>
      </c>
      <c r="I1856" s="1">
        <v>2</v>
      </c>
      <c r="J1856" s="1">
        <v>5</v>
      </c>
    </row>
    <row r="1857" spans="1:10" x14ac:dyDescent="0.2">
      <c r="A1857" s="1">
        <v>2272</v>
      </c>
      <c r="B1857" s="1">
        <v>0</v>
      </c>
      <c r="C1857" s="1">
        <v>6</v>
      </c>
      <c r="D1857" s="1">
        <v>1</v>
      </c>
      <c r="E1857" s="1">
        <v>2</v>
      </c>
      <c r="F1857" s="1">
        <v>9</v>
      </c>
      <c r="G1857" s="1">
        <v>2</v>
      </c>
      <c r="H1857" s="1">
        <v>0</v>
      </c>
      <c r="I1857" s="1">
        <v>2</v>
      </c>
      <c r="J1857" s="1">
        <v>5</v>
      </c>
    </row>
    <row r="1858" spans="1:10" x14ac:dyDescent="0.2">
      <c r="A1858" s="1">
        <v>215</v>
      </c>
      <c r="B1858" s="1">
        <v>0</v>
      </c>
      <c r="C1858" s="1">
        <v>9</v>
      </c>
      <c r="D1858" s="1">
        <v>2</v>
      </c>
      <c r="E1858" s="1">
        <v>2</v>
      </c>
      <c r="F1858" s="1">
        <v>9</v>
      </c>
      <c r="G1858" s="1">
        <v>2</v>
      </c>
      <c r="H1858" s="1">
        <v>0</v>
      </c>
      <c r="I1858" s="1">
        <v>1</v>
      </c>
      <c r="J1858" s="1">
        <v>5</v>
      </c>
    </row>
    <row r="1859" spans="1:10" x14ac:dyDescent="0.2">
      <c r="A1859" s="1">
        <v>1777</v>
      </c>
      <c r="B1859" s="1">
        <v>0</v>
      </c>
      <c r="C1859" s="1">
        <v>19</v>
      </c>
      <c r="D1859" s="1">
        <v>2</v>
      </c>
      <c r="E1859" s="1">
        <v>3</v>
      </c>
      <c r="F1859" s="1">
        <v>9</v>
      </c>
      <c r="G1859" s="1">
        <v>2</v>
      </c>
      <c r="H1859" s="1">
        <v>0</v>
      </c>
      <c r="I1859" s="1">
        <v>1</v>
      </c>
      <c r="J1859" s="1">
        <v>5</v>
      </c>
    </row>
    <row r="1860" spans="1:10" x14ac:dyDescent="0.2">
      <c r="A1860" s="1">
        <v>2307</v>
      </c>
      <c r="B1860" s="1">
        <v>0</v>
      </c>
      <c r="C1860" s="1">
        <v>10</v>
      </c>
      <c r="D1860" s="1">
        <v>4</v>
      </c>
      <c r="E1860" s="1">
        <v>2</v>
      </c>
      <c r="F1860" s="1">
        <v>10</v>
      </c>
      <c r="G1860" s="1">
        <v>2</v>
      </c>
      <c r="H1860" s="1">
        <v>1</v>
      </c>
      <c r="I1860" s="1">
        <v>0</v>
      </c>
      <c r="J1860" s="1">
        <v>5</v>
      </c>
    </row>
    <row r="1861" spans="1:10" x14ac:dyDescent="0.2">
      <c r="A1861" s="1">
        <v>588</v>
      </c>
      <c r="B1861" s="1">
        <v>0</v>
      </c>
      <c r="C1861" s="1">
        <v>12</v>
      </c>
      <c r="D1861" s="1">
        <v>5</v>
      </c>
      <c r="E1861" s="1">
        <v>2</v>
      </c>
      <c r="F1861" s="1">
        <v>10</v>
      </c>
      <c r="G1861" s="1">
        <v>2</v>
      </c>
      <c r="H1861" s="1">
        <v>1</v>
      </c>
      <c r="I1861" s="1">
        <v>3</v>
      </c>
      <c r="J1861" s="1">
        <v>5</v>
      </c>
    </row>
    <row r="1862" spans="1:10" x14ac:dyDescent="0.2">
      <c r="A1862" s="1">
        <v>2241</v>
      </c>
      <c r="B1862" s="1">
        <v>0</v>
      </c>
      <c r="C1862" s="1">
        <v>14</v>
      </c>
      <c r="D1862" s="1">
        <v>4</v>
      </c>
      <c r="E1862" s="1">
        <v>2</v>
      </c>
      <c r="F1862" s="1">
        <v>10</v>
      </c>
      <c r="G1862" s="1">
        <v>2</v>
      </c>
      <c r="H1862" s="1">
        <v>1</v>
      </c>
      <c r="I1862" s="1">
        <v>2</v>
      </c>
      <c r="J1862" s="1">
        <v>5</v>
      </c>
    </row>
    <row r="1863" spans="1:10" x14ac:dyDescent="0.2">
      <c r="A1863" s="1">
        <v>489</v>
      </c>
      <c r="B1863" s="1">
        <v>0</v>
      </c>
      <c r="C1863" s="1">
        <v>14</v>
      </c>
      <c r="D1863" s="1">
        <v>1</v>
      </c>
      <c r="E1863" s="1">
        <v>1</v>
      </c>
      <c r="F1863" s="1">
        <v>1</v>
      </c>
      <c r="G1863" s="1">
        <v>3</v>
      </c>
      <c r="H1863" s="1">
        <v>1</v>
      </c>
      <c r="I1863" s="1">
        <v>0</v>
      </c>
      <c r="J1863" s="1">
        <v>5</v>
      </c>
    </row>
    <row r="1864" spans="1:10" x14ac:dyDescent="0.2">
      <c r="A1864" s="1">
        <v>415</v>
      </c>
      <c r="B1864" s="1">
        <v>0</v>
      </c>
      <c r="C1864" s="1">
        <v>20</v>
      </c>
      <c r="D1864" s="1">
        <v>4</v>
      </c>
      <c r="E1864" s="1">
        <v>1</v>
      </c>
      <c r="F1864" s="1">
        <v>1</v>
      </c>
      <c r="G1864" s="1">
        <v>3</v>
      </c>
      <c r="H1864" s="1">
        <v>1</v>
      </c>
      <c r="I1864" s="1">
        <v>1</v>
      </c>
      <c r="J1864" s="1">
        <v>5</v>
      </c>
    </row>
    <row r="1865" spans="1:10" x14ac:dyDescent="0.2">
      <c r="A1865" s="1">
        <v>697</v>
      </c>
      <c r="B1865" s="1">
        <v>0</v>
      </c>
      <c r="C1865" s="1">
        <v>13</v>
      </c>
      <c r="D1865" s="1">
        <v>4</v>
      </c>
      <c r="E1865" s="1">
        <v>3</v>
      </c>
      <c r="F1865" s="1">
        <v>1</v>
      </c>
      <c r="G1865" s="1">
        <v>3</v>
      </c>
      <c r="H1865" s="1">
        <v>1</v>
      </c>
      <c r="I1865" s="1">
        <v>1</v>
      </c>
      <c r="J1865" s="1">
        <v>5</v>
      </c>
    </row>
    <row r="1866" spans="1:10" x14ac:dyDescent="0.2">
      <c r="A1866" s="1">
        <v>913</v>
      </c>
      <c r="B1866" s="1">
        <v>0</v>
      </c>
      <c r="C1866" s="1">
        <v>11</v>
      </c>
      <c r="D1866" s="1">
        <v>4</v>
      </c>
      <c r="E1866" s="1">
        <v>2</v>
      </c>
      <c r="F1866" s="1">
        <v>2</v>
      </c>
      <c r="G1866" s="1">
        <v>3</v>
      </c>
      <c r="H1866" s="1">
        <v>1</v>
      </c>
      <c r="I1866" s="1">
        <v>0</v>
      </c>
      <c r="J1866" s="1">
        <v>5</v>
      </c>
    </row>
    <row r="1867" spans="1:10" x14ac:dyDescent="0.2">
      <c r="A1867" s="1">
        <v>923</v>
      </c>
      <c r="B1867" s="1">
        <v>0</v>
      </c>
      <c r="C1867" s="1">
        <v>11</v>
      </c>
      <c r="D1867" s="1">
        <v>2</v>
      </c>
      <c r="E1867" s="1">
        <v>2</v>
      </c>
      <c r="F1867" s="1">
        <v>2</v>
      </c>
      <c r="G1867" s="1">
        <v>3</v>
      </c>
      <c r="H1867" s="1">
        <v>1</v>
      </c>
      <c r="I1867" s="1">
        <v>2</v>
      </c>
      <c r="J1867" s="1">
        <v>5</v>
      </c>
    </row>
    <row r="1868" spans="1:10" x14ac:dyDescent="0.2">
      <c r="A1868" s="1">
        <v>126</v>
      </c>
      <c r="B1868" s="1">
        <v>0</v>
      </c>
      <c r="C1868" s="1">
        <v>18</v>
      </c>
      <c r="D1868" s="1">
        <v>3</v>
      </c>
      <c r="E1868" s="1">
        <v>2</v>
      </c>
      <c r="F1868" s="1">
        <v>2</v>
      </c>
      <c r="G1868" s="1">
        <v>3</v>
      </c>
      <c r="H1868" s="1">
        <v>1</v>
      </c>
      <c r="I1868" s="1">
        <v>0</v>
      </c>
      <c r="J1868" s="1">
        <v>5</v>
      </c>
    </row>
    <row r="1869" spans="1:10" x14ac:dyDescent="0.2">
      <c r="A1869" s="1">
        <v>203</v>
      </c>
      <c r="B1869" s="1">
        <v>0</v>
      </c>
      <c r="C1869" s="1">
        <v>13</v>
      </c>
      <c r="D1869" s="1">
        <v>3</v>
      </c>
      <c r="E1869" s="1">
        <v>3</v>
      </c>
      <c r="F1869" s="1">
        <v>2</v>
      </c>
      <c r="G1869" s="1">
        <v>3</v>
      </c>
      <c r="H1869" s="1">
        <v>0</v>
      </c>
      <c r="I1869" s="1">
        <v>2</v>
      </c>
      <c r="J1869" s="1">
        <v>5</v>
      </c>
    </row>
    <row r="1870" spans="1:10" x14ac:dyDescent="0.2">
      <c r="A1870" s="1">
        <v>239</v>
      </c>
      <c r="B1870" s="1">
        <v>0</v>
      </c>
      <c r="C1870" s="1">
        <v>19</v>
      </c>
      <c r="D1870" s="1">
        <v>2</v>
      </c>
      <c r="E1870" s="1">
        <v>1</v>
      </c>
      <c r="F1870" s="1">
        <v>3</v>
      </c>
      <c r="G1870" s="1">
        <v>3</v>
      </c>
      <c r="H1870" s="1">
        <v>0</v>
      </c>
      <c r="I1870" s="1">
        <v>0</v>
      </c>
      <c r="J1870" s="1">
        <v>5</v>
      </c>
    </row>
    <row r="1871" spans="1:10" x14ac:dyDescent="0.2">
      <c r="A1871" s="1">
        <v>2125</v>
      </c>
      <c r="B1871" s="1">
        <v>0</v>
      </c>
      <c r="C1871" s="1">
        <v>6</v>
      </c>
      <c r="D1871" s="1">
        <v>2</v>
      </c>
      <c r="E1871" s="1">
        <v>2</v>
      </c>
      <c r="F1871" s="1">
        <v>3</v>
      </c>
      <c r="G1871" s="1">
        <v>3</v>
      </c>
      <c r="H1871" s="1">
        <v>1</v>
      </c>
      <c r="I1871" s="1">
        <v>2</v>
      </c>
      <c r="J1871" s="1">
        <v>5</v>
      </c>
    </row>
    <row r="1872" spans="1:10" x14ac:dyDescent="0.2">
      <c r="A1872" s="1">
        <v>616</v>
      </c>
      <c r="B1872" s="1">
        <v>0</v>
      </c>
      <c r="C1872" s="1">
        <v>19</v>
      </c>
      <c r="D1872" s="1">
        <v>2</v>
      </c>
      <c r="E1872" s="1">
        <v>1</v>
      </c>
      <c r="F1872" s="1">
        <v>4</v>
      </c>
      <c r="G1872" s="1">
        <v>3</v>
      </c>
      <c r="H1872" s="1">
        <v>1</v>
      </c>
      <c r="I1872" s="1">
        <v>3</v>
      </c>
      <c r="J1872" s="1">
        <v>5</v>
      </c>
    </row>
    <row r="1873" spans="1:10" x14ac:dyDescent="0.2">
      <c r="A1873" s="1">
        <v>786</v>
      </c>
      <c r="B1873" s="1">
        <v>0</v>
      </c>
      <c r="C1873" s="1">
        <v>5</v>
      </c>
      <c r="D1873" s="1">
        <v>4</v>
      </c>
      <c r="E1873" s="1">
        <v>2</v>
      </c>
      <c r="F1873" s="1">
        <v>4</v>
      </c>
      <c r="G1873" s="1">
        <v>3</v>
      </c>
      <c r="H1873" s="1">
        <v>0</v>
      </c>
      <c r="I1873" s="1">
        <v>1</v>
      </c>
      <c r="J1873" s="1">
        <v>5</v>
      </c>
    </row>
    <row r="1874" spans="1:10" x14ac:dyDescent="0.2">
      <c r="A1874" s="1">
        <v>1459</v>
      </c>
      <c r="B1874" s="1">
        <v>0</v>
      </c>
      <c r="C1874" s="1">
        <v>13</v>
      </c>
      <c r="D1874" s="1">
        <v>2</v>
      </c>
      <c r="E1874" s="1">
        <v>2</v>
      </c>
      <c r="F1874" s="1">
        <v>4</v>
      </c>
      <c r="G1874" s="1">
        <v>3</v>
      </c>
      <c r="H1874" s="1">
        <v>1</v>
      </c>
      <c r="I1874" s="1">
        <v>1</v>
      </c>
      <c r="J1874" s="1">
        <v>5</v>
      </c>
    </row>
    <row r="1875" spans="1:10" x14ac:dyDescent="0.2">
      <c r="A1875" s="1">
        <v>271</v>
      </c>
      <c r="B1875" s="1">
        <v>0</v>
      </c>
      <c r="C1875" s="1">
        <v>18</v>
      </c>
      <c r="D1875" s="1">
        <v>2</v>
      </c>
      <c r="E1875" s="1">
        <v>2</v>
      </c>
      <c r="F1875" s="1">
        <v>4</v>
      </c>
      <c r="G1875" s="1">
        <v>3</v>
      </c>
      <c r="H1875" s="1">
        <v>0</v>
      </c>
      <c r="I1875" s="1">
        <v>3</v>
      </c>
      <c r="J1875" s="1">
        <v>5</v>
      </c>
    </row>
    <row r="1876" spans="1:10" x14ac:dyDescent="0.2">
      <c r="A1876" s="1">
        <v>1237</v>
      </c>
      <c r="B1876" s="1">
        <v>0</v>
      </c>
      <c r="C1876" s="1">
        <v>20</v>
      </c>
      <c r="D1876" s="1">
        <v>5</v>
      </c>
      <c r="E1876" s="1">
        <v>2</v>
      </c>
      <c r="F1876" s="1">
        <v>4</v>
      </c>
      <c r="G1876" s="1">
        <v>3</v>
      </c>
      <c r="H1876" s="1">
        <v>1</v>
      </c>
      <c r="I1876" s="1">
        <v>0</v>
      </c>
      <c r="J1876" s="1">
        <v>5</v>
      </c>
    </row>
    <row r="1877" spans="1:10" x14ac:dyDescent="0.2">
      <c r="A1877" s="1">
        <v>2219</v>
      </c>
      <c r="B1877" s="1">
        <v>0</v>
      </c>
      <c r="C1877" s="1">
        <v>9</v>
      </c>
      <c r="D1877" s="1">
        <v>1</v>
      </c>
      <c r="E1877" s="1">
        <v>3</v>
      </c>
      <c r="F1877" s="1">
        <v>4</v>
      </c>
      <c r="G1877" s="1">
        <v>3</v>
      </c>
      <c r="H1877" s="1">
        <v>0</v>
      </c>
      <c r="I1877" s="1">
        <v>0</v>
      </c>
      <c r="J1877" s="1">
        <v>5</v>
      </c>
    </row>
    <row r="1878" spans="1:10" x14ac:dyDescent="0.2">
      <c r="A1878" s="1">
        <v>1335</v>
      </c>
      <c r="B1878" s="1">
        <v>0</v>
      </c>
      <c r="C1878" s="1">
        <v>11</v>
      </c>
      <c r="D1878" s="1">
        <v>4</v>
      </c>
      <c r="E1878" s="1">
        <v>1</v>
      </c>
      <c r="F1878" s="1">
        <v>5</v>
      </c>
      <c r="G1878" s="1">
        <v>3</v>
      </c>
      <c r="H1878" s="1">
        <v>1</v>
      </c>
      <c r="I1878" s="1">
        <v>0</v>
      </c>
      <c r="J1878" s="1">
        <v>5</v>
      </c>
    </row>
    <row r="1879" spans="1:10" x14ac:dyDescent="0.2">
      <c r="A1879" s="1">
        <v>95</v>
      </c>
      <c r="B1879" s="1">
        <v>0</v>
      </c>
      <c r="C1879" s="1">
        <v>14</v>
      </c>
      <c r="D1879" s="1">
        <v>4</v>
      </c>
      <c r="E1879" s="1">
        <v>1</v>
      </c>
      <c r="F1879" s="1">
        <v>5</v>
      </c>
      <c r="G1879" s="1">
        <v>3</v>
      </c>
      <c r="H1879" s="1">
        <v>1</v>
      </c>
      <c r="I1879" s="1">
        <v>0</v>
      </c>
      <c r="J1879" s="1">
        <v>5</v>
      </c>
    </row>
    <row r="1880" spans="1:10" x14ac:dyDescent="0.2">
      <c r="A1880" s="1">
        <v>25</v>
      </c>
      <c r="B1880" s="1">
        <v>0</v>
      </c>
      <c r="C1880" s="1">
        <v>6</v>
      </c>
      <c r="D1880" s="1">
        <v>4</v>
      </c>
      <c r="E1880" s="1">
        <v>2</v>
      </c>
      <c r="F1880" s="1">
        <v>5</v>
      </c>
      <c r="G1880" s="1">
        <v>3</v>
      </c>
      <c r="H1880" s="1">
        <v>0</v>
      </c>
      <c r="I1880" s="1">
        <v>3</v>
      </c>
      <c r="J1880" s="1">
        <v>5</v>
      </c>
    </row>
    <row r="1881" spans="1:10" x14ac:dyDescent="0.2">
      <c r="A1881" s="1">
        <v>23</v>
      </c>
      <c r="B1881" s="1">
        <v>0</v>
      </c>
      <c r="C1881" s="1">
        <v>16</v>
      </c>
      <c r="D1881" s="1">
        <v>5</v>
      </c>
      <c r="E1881" s="1">
        <v>3</v>
      </c>
      <c r="F1881" s="1">
        <v>5</v>
      </c>
      <c r="G1881" s="1">
        <v>3</v>
      </c>
      <c r="H1881" s="1">
        <v>1</v>
      </c>
      <c r="I1881" s="1">
        <v>2</v>
      </c>
      <c r="J1881" s="1">
        <v>5</v>
      </c>
    </row>
    <row r="1882" spans="1:10" x14ac:dyDescent="0.2">
      <c r="A1882" s="1">
        <v>1593</v>
      </c>
      <c r="B1882" s="1">
        <v>0</v>
      </c>
      <c r="C1882" s="1">
        <v>16</v>
      </c>
      <c r="D1882" s="1">
        <v>4</v>
      </c>
      <c r="E1882" s="1">
        <v>3</v>
      </c>
      <c r="F1882" s="1">
        <v>5</v>
      </c>
      <c r="G1882" s="1">
        <v>3</v>
      </c>
      <c r="H1882" s="1">
        <v>0</v>
      </c>
      <c r="I1882" s="1">
        <v>1</v>
      </c>
      <c r="J1882" s="1">
        <v>5</v>
      </c>
    </row>
    <row r="1883" spans="1:10" x14ac:dyDescent="0.2">
      <c r="A1883" s="1">
        <v>2051</v>
      </c>
      <c r="B1883" s="1">
        <v>0</v>
      </c>
      <c r="C1883" s="1">
        <v>17</v>
      </c>
      <c r="D1883" s="1">
        <v>1</v>
      </c>
      <c r="E1883" s="1">
        <v>3</v>
      </c>
      <c r="F1883" s="1">
        <v>5</v>
      </c>
      <c r="G1883" s="1">
        <v>3</v>
      </c>
      <c r="H1883" s="1">
        <v>1</v>
      </c>
      <c r="I1883" s="1">
        <v>2</v>
      </c>
      <c r="J1883" s="1">
        <v>5</v>
      </c>
    </row>
    <row r="1884" spans="1:10" x14ac:dyDescent="0.2">
      <c r="A1884" s="1">
        <v>764</v>
      </c>
      <c r="B1884" s="1">
        <v>0</v>
      </c>
      <c r="C1884" s="1">
        <v>17</v>
      </c>
      <c r="D1884" s="1">
        <v>3</v>
      </c>
      <c r="E1884" s="1">
        <v>1</v>
      </c>
      <c r="F1884" s="1">
        <v>6</v>
      </c>
      <c r="G1884" s="1">
        <v>3</v>
      </c>
      <c r="H1884" s="1">
        <v>0</v>
      </c>
      <c r="I1884" s="1">
        <v>2</v>
      </c>
      <c r="J1884" s="1">
        <v>5</v>
      </c>
    </row>
    <row r="1885" spans="1:10" x14ac:dyDescent="0.2">
      <c r="A1885" s="1">
        <v>1730</v>
      </c>
      <c r="B1885" s="1">
        <v>0</v>
      </c>
      <c r="C1885" s="1">
        <v>16</v>
      </c>
      <c r="D1885" s="1">
        <v>4</v>
      </c>
      <c r="E1885" s="1">
        <v>2</v>
      </c>
      <c r="F1885" s="1">
        <v>6</v>
      </c>
      <c r="G1885" s="1">
        <v>3</v>
      </c>
      <c r="H1885" s="1">
        <v>1</v>
      </c>
      <c r="I1885" s="1">
        <v>0</v>
      </c>
      <c r="J1885" s="1">
        <v>5</v>
      </c>
    </row>
    <row r="1886" spans="1:10" x14ac:dyDescent="0.2">
      <c r="A1886" s="1">
        <v>2113</v>
      </c>
      <c r="B1886" s="1">
        <v>0</v>
      </c>
      <c r="C1886" s="1">
        <v>17</v>
      </c>
      <c r="D1886" s="1">
        <v>5</v>
      </c>
      <c r="E1886" s="1">
        <v>2</v>
      </c>
      <c r="F1886" s="1">
        <v>6</v>
      </c>
      <c r="G1886" s="1">
        <v>3</v>
      </c>
      <c r="H1886" s="1">
        <v>1</v>
      </c>
      <c r="I1886" s="1">
        <v>2</v>
      </c>
      <c r="J1886" s="1">
        <v>5</v>
      </c>
    </row>
    <row r="1887" spans="1:10" x14ac:dyDescent="0.2">
      <c r="A1887" s="1">
        <v>965</v>
      </c>
      <c r="B1887" s="1">
        <v>0</v>
      </c>
      <c r="C1887" s="1">
        <v>16</v>
      </c>
      <c r="D1887" s="1">
        <v>4</v>
      </c>
      <c r="E1887" s="1">
        <v>3</v>
      </c>
      <c r="F1887" s="1">
        <v>6</v>
      </c>
      <c r="G1887" s="1">
        <v>3</v>
      </c>
      <c r="H1887" s="1">
        <v>1</v>
      </c>
      <c r="I1887" s="1">
        <v>2</v>
      </c>
      <c r="J1887" s="1">
        <v>5</v>
      </c>
    </row>
    <row r="1888" spans="1:10" x14ac:dyDescent="0.2">
      <c r="A1888" s="1">
        <v>1066</v>
      </c>
      <c r="B1888" s="1">
        <v>0</v>
      </c>
      <c r="C1888" s="1">
        <v>11</v>
      </c>
      <c r="D1888" s="1">
        <v>5</v>
      </c>
      <c r="E1888" s="1">
        <v>1</v>
      </c>
      <c r="F1888" s="1">
        <v>7</v>
      </c>
      <c r="G1888" s="1">
        <v>3</v>
      </c>
      <c r="H1888" s="1">
        <v>1</v>
      </c>
      <c r="I1888" s="1">
        <v>2</v>
      </c>
      <c r="J1888" s="1">
        <v>5</v>
      </c>
    </row>
    <row r="1889" spans="1:10" x14ac:dyDescent="0.2">
      <c r="A1889" s="1">
        <v>1550</v>
      </c>
      <c r="B1889" s="1">
        <v>0</v>
      </c>
      <c r="C1889" s="1">
        <v>11</v>
      </c>
      <c r="D1889" s="1">
        <v>1</v>
      </c>
      <c r="E1889" s="1">
        <v>2</v>
      </c>
      <c r="F1889" s="1">
        <v>7</v>
      </c>
      <c r="G1889" s="1">
        <v>3</v>
      </c>
      <c r="H1889" s="1">
        <v>1</v>
      </c>
      <c r="I1889" s="1">
        <v>0</v>
      </c>
      <c r="J1889" s="1">
        <v>5</v>
      </c>
    </row>
    <row r="1890" spans="1:10" x14ac:dyDescent="0.2">
      <c r="A1890" s="1">
        <v>1043</v>
      </c>
      <c r="B1890" s="1">
        <v>0</v>
      </c>
      <c r="C1890" s="1">
        <v>16</v>
      </c>
      <c r="D1890" s="1">
        <v>4</v>
      </c>
      <c r="E1890" s="1">
        <v>2</v>
      </c>
      <c r="F1890" s="1">
        <v>7</v>
      </c>
      <c r="G1890" s="1">
        <v>3</v>
      </c>
      <c r="H1890" s="1">
        <v>1</v>
      </c>
      <c r="I1890" s="1">
        <v>1</v>
      </c>
      <c r="J1890" s="1">
        <v>5</v>
      </c>
    </row>
    <row r="1891" spans="1:10" x14ac:dyDescent="0.2">
      <c r="A1891" s="1">
        <v>672</v>
      </c>
      <c r="B1891" s="1">
        <v>0</v>
      </c>
      <c r="C1891" s="1">
        <v>8</v>
      </c>
      <c r="D1891" s="1">
        <v>4</v>
      </c>
      <c r="E1891" s="1">
        <v>3</v>
      </c>
      <c r="F1891" s="1">
        <v>7</v>
      </c>
      <c r="G1891" s="1">
        <v>3</v>
      </c>
      <c r="H1891" s="1">
        <v>0</v>
      </c>
      <c r="I1891" s="1">
        <v>0</v>
      </c>
      <c r="J1891" s="1">
        <v>5</v>
      </c>
    </row>
    <row r="1892" spans="1:10" x14ac:dyDescent="0.2">
      <c r="A1892" s="1">
        <v>978</v>
      </c>
      <c r="B1892" s="1">
        <v>0</v>
      </c>
      <c r="C1892" s="1">
        <v>13</v>
      </c>
      <c r="D1892" s="1">
        <v>5</v>
      </c>
      <c r="E1892" s="1">
        <v>2</v>
      </c>
      <c r="F1892" s="1">
        <v>8</v>
      </c>
      <c r="G1892" s="1">
        <v>3</v>
      </c>
      <c r="H1892" s="1">
        <v>1</v>
      </c>
      <c r="I1892" s="1">
        <v>2</v>
      </c>
      <c r="J1892" s="1">
        <v>5</v>
      </c>
    </row>
    <row r="1893" spans="1:10" x14ac:dyDescent="0.2">
      <c r="A1893" s="1">
        <v>319</v>
      </c>
      <c r="B1893" s="1">
        <v>0</v>
      </c>
      <c r="C1893" s="1">
        <v>14</v>
      </c>
      <c r="D1893" s="1">
        <v>1</v>
      </c>
      <c r="E1893" s="1">
        <v>2</v>
      </c>
      <c r="F1893" s="1">
        <v>8</v>
      </c>
      <c r="G1893" s="1">
        <v>3</v>
      </c>
      <c r="H1893" s="1">
        <v>0</v>
      </c>
      <c r="I1893" s="1">
        <v>2</v>
      </c>
      <c r="J1893" s="1">
        <v>5</v>
      </c>
    </row>
    <row r="1894" spans="1:10" x14ac:dyDescent="0.2">
      <c r="A1894" s="1">
        <v>77</v>
      </c>
      <c r="B1894" s="1">
        <v>0</v>
      </c>
      <c r="C1894" s="1">
        <v>16</v>
      </c>
      <c r="D1894" s="1">
        <v>5</v>
      </c>
      <c r="E1894" s="1">
        <v>3</v>
      </c>
      <c r="F1894" s="1">
        <v>8</v>
      </c>
      <c r="G1894" s="1">
        <v>3</v>
      </c>
      <c r="H1894" s="1">
        <v>0</v>
      </c>
      <c r="I1894" s="1">
        <v>3</v>
      </c>
      <c r="J1894" s="1">
        <v>5</v>
      </c>
    </row>
    <row r="1895" spans="1:10" x14ac:dyDescent="0.2">
      <c r="A1895" s="1">
        <v>879</v>
      </c>
      <c r="B1895" s="1">
        <v>0</v>
      </c>
      <c r="C1895" s="1">
        <v>20</v>
      </c>
      <c r="D1895" s="1">
        <v>2</v>
      </c>
      <c r="E1895" s="1">
        <v>3</v>
      </c>
      <c r="F1895" s="1">
        <v>8</v>
      </c>
      <c r="G1895" s="1">
        <v>3</v>
      </c>
      <c r="H1895" s="1">
        <v>0</v>
      </c>
      <c r="I1895" s="1">
        <v>0</v>
      </c>
      <c r="J1895" s="1">
        <v>5</v>
      </c>
    </row>
    <row r="1896" spans="1:10" x14ac:dyDescent="0.2">
      <c r="A1896" s="1">
        <v>1440</v>
      </c>
      <c r="B1896" s="1">
        <v>0</v>
      </c>
      <c r="C1896" s="1">
        <v>6</v>
      </c>
      <c r="D1896" s="1">
        <v>4</v>
      </c>
      <c r="E1896" s="1">
        <v>2</v>
      </c>
      <c r="F1896" s="1">
        <v>9</v>
      </c>
      <c r="G1896" s="1">
        <v>3</v>
      </c>
      <c r="H1896" s="1">
        <v>0</v>
      </c>
      <c r="I1896" s="1">
        <v>0</v>
      </c>
      <c r="J1896" s="1">
        <v>5</v>
      </c>
    </row>
    <row r="1897" spans="1:10" x14ac:dyDescent="0.2">
      <c r="A1897" s="1">
        <v>2129</v>
      </c>
      <c r="B1897" s="1">
        <v>0</v>
      </c>
      <c r="C1897" s="1">
        <v>8</v>
      </c>
      <c r="D1897" s="1">
        <v>4</v>
      </c>
      <c r="E1897" s="1">
        <v>3</v>
      </c>
      <c r="F1897" s="1">
        <v>9</v>
      </c>
      <c r="G1897" s="1">
        <v>3</v>
      </c>
      <c r="H1897" s="1">
        <v>0</v>
      </c>
      <c r="I1897" s="1">
        <v>1</v>
      </c>
      <c r="J1897" s="1">
        <v>5</v>
      </c>
    </row>
    <row r="1898" spans="1:10" x14ac:dyDescent="0.2">
      <c r="A1898" s="1">
        <v>291</v>
      </c>
      <c r="B1898" s="1">
        <v>0</v>
      </c>
      <c r="C1898" s="1">
        <v>9</v>
      </c>
      <c r="D1898" s="1">
        <v>3</v>
      </c>
      <c r="E1898" s="1">
        <v>3</v>
      </c>
      <c r="F1898" s="1">
        <v>9</v>
      </c>
      <c r="G1898" s="1">
        <v>3</v>
      </c>
      <c r="H1898" s="1">
        <v>1</v>
      </c>
      <c r="I1898" s="1">
        <v>3</v>
      </c>
      <c r="J1898" s="1">
        <v>5</v>
      </c>
    </row>
    <row r="1899" spans="1:10" x14ac:dyDescent="0.2">
      <c r="A1899" s="1">
        <v>1736</v>
      </c>
      <c r="B1899" s="1">
        <v>0</v>
      </c>
      <c r="C1899" s="1">
        <v>11</v>
      </c>
      <c r="D1899" s="1">
        <v>5</v>
      </c>
      <c r="E1899" s="1">
        <v>3</v>
      </c>
      <c r="F1899" s="1">
        <v>9</v>
      </c>
      <c r="G1899" s="1">
        <v>3</v>
      </c>
      <c r="H1899" s="1">
        <v>1</v>
      </c>
      <c r="I1899" s="1">
        <v>1</v>
      </c>
      <c r="J1899" s="1">
        <v>5</v>
      </c>
    </row>
    <row r="1900" spans="1:10" x14ac:dyDescent="0.2">
      <c r="A1900" s="1">
        <v>784</v>
      </c>
      <c r="B1900" s="1">
        <v>0</v>
      </c>
      <c r="C1900" s="1">
        <v>15</v>
      </c>
      <c r="D1900" s="1">
        <v>5</v>
      </c>
      <c r="E1900" s="1">
        <v>3</v>
      </c>
      <c r="F1900" s="1">
        <v>9</v>
      </c>
      <c r="G1900" s="1">
        <v>3</v>
      </c>
      <c r="H1900" s="1">
        <v>1</v>
      </c>
      <c r="I1900" s="1">
        <v>0</v>
      </c>
      <c r="J1900" s="1">
        <v>5</v>
      </c>
    </row>
    <row r="1901" spans="1:10" x14ac:dyDescent="0.2">
      <c r="A1901" s="1">
        <v>807</v>
      </c>
      <c r="B1901" s="1">
        <v>0</v>
      </c>
      <c r="C1901" s="1">
        <v>19</v>
      </c>
      <c r="D1901" s="1">
        <v>5</v>
      </c>
      <c r="E1901" s="1">
        <v>3</v>
      </c>
      <c r="F1901" s="1">
        <v>9</v>
      </c>
      <c r="G1901" s="1">
        <v>3</v>
      </c>
      <c r="H1901" s="1">
        <v>0</v>
      </c>
      <c r="I1901" s="1">
        <v>3</v>
      </c>
      <c r="J1901" s="1">
        <v>5</v>
      </c>
    </row>
    <row r="1902" spans="1:10" x14ac:dyDescent="0.2">
      <c r="A1902" s="1">
        <v>2031</v>
      </c>
      <c r="B1902" s="1">
        <v>0</v>
      </c>
      <c r="C1902" s="1">
        <v>17</v>
      </c>
      <c r="D1902" s="1">
        <v>2</v>
      </c>
      <c r="E1902" s="1">
        <v>3</v>
      </c>
      <c r="F1902" s="1">
        <v>10</v>
      </c>
      <c r="G1902" s="1">
        <v>3</v>
      </c>
      <c r="H1902" s="1">
        <v>1</v>
      </c>
      <c r="I1902" s="1">
        <v>0</v>
      </c>
      <c r="J1902" s="1">
        <v>5</v>
      </c>
    </row>
    <row r="1903" spans="1:10" x14ac:dyDescent="0.2">
      <c r="A1903" s="1">
        <v>111</v>
      </c>
      <c r="B1903" s="1">
        <v>0</v>
      </c>
      <c r="C1903" s="1">
        <v>13</v>
      </c>
      <c r="D1903" s="1">
        <v>2</v>
      </c>
      <c r="E1903" s="1">
        <v>1</v>
      </c>
      <c r="F1903" s="1">
        <v>1</v>
      </c>
      <c r="G1903" s="1">
        <v>4</v>
      </c>
      <c r="H1903" s="1">
        <v>0</v>
      </c>
      <c r="I1903" s="1">
        <v>0</v>
      </c>
      <c r="J1903" s="1">
        <v>5</v>
      </c>
    </row>
    <row r="1904" spans="1:10" x14ac:dyDescent="0.2">
      <c r="A1904" s="1">
        <v>485</v>
      </c>
      <c r="B1904" s="1">
        <v>0</v>
      </c>
      <c r="C1904" s="1">
        <v>11</v>
      </c>
      <c r="D1904" s="1">
        <v>2</v>
      </c>
      <c r="E1904" s="1">
        <v>2</v>
      </c>
      <c r="F1904" s="1">
        <v>1</v>
      </c>
      <c r="G1904" s="1">
        <v>4</v>
      </c>
      <c r="H1904" s="1">
        <v>1</v>
      </c>
      <c r="I1904" s="1">
        <v>0</v>
      </c>
      <c r="J1904" s="1">
        <v>5</v>
      </c>
    </row>
    <row r="1905" spans="1:10" x14ac:dyDescent="0.2">
      <c r="A1905" s="1">
        <v>1490</v>
      </c>
      <c r="B1905" s="1">
        <v>0</v>
      </c>
      <c r="C1905" s="1">
        <v>13</v>
      </c>
      <c r="D1905" s="1">
        <v>4</v>
      </c>
      <c r="E1905" s="1">
        <v>2</v>
      </c>
      <c r="F1905" s="1">
        <v>1</v>
      </c>
      <c r="G1905" s="1">
        <v>4</v>
      </c>
      <c r="H1905" s="1">
        <v>0</v>
      </c>
      <c r="I1905" s="1">
        <v>1</v>
      </c>
      <c r="J1905" s="1">
        <v>5</v>
      </c>
    </row>
    <row r="1906" spans="1:10" x14ac:dyDescent="0.2">
      <c r="A1906" s="1">
        <v>643</v>
      </c>
      <c r="B1906" s="1">
        <v>0</v>
      </c>
      <c r="C1906" s="1">
        <v>15</v>
      </c>
      <c r="D1906" s="1">
        <v>4</v>
      </c>
      <c r="E1906" s="1">
        <v>2</v>
      </c>
      <c r="F1906" s="1">
        <v>1</v>
      </c>
      <c r="G1906" s="1">
        <v>4</v>
      </c>
      <c r="H1906" s="1">
        <v>0</v>
      </c>
      <c r="I1906" s="1">
        <v>3</v>
      </c>
      <c r="J1906" s="1">
        <v>5</v>
      </c>
    </row>
    <row r="1907" spans="1:10" x14ac:dyDescent="0.2">
      <c r="A1907" s="1">
        <v>1752</v>
      </c>
      <c r="B1907" s="1">
        <v>0</v>
      </c>
      <c r="C1907" s="1">
        <v>8</v>
      </c>
      <c r="D1907" s="1">
        <v>3</v>
      </c>
      <c r="E1907" s="1">
        <v>3</v>
      </c>
      <c r="F1907" s="1">
        <v>1</v>
      </c>
      <c r="G1907" s="1">
        <v>4</v>
      </c>
      <c r="H1907" s="1">
        <v>1</v>
      </c>
      <c r="I1907" s="1">
        <v>0</v>
      </c>
      <c r="J1907" s="1">
        <v>5</v>
      </c>
    </row>
    <row r="1908" spans="1:10" x14ac:dyDescent="0.2">
      <c r="A1908" s="1">
        <v>158</v>
      </c>
      <c r="B1908" s="1">
        <v>0</v>
      </c>
      <c r="C1908" s="1">
        <v>12</v>
      </c>
      <c r="D1908" s="1">
        <v>5</v>
      </c>
      <c r="E1908" s="1">
        <v>1</v>
      </c>
      <c r="F1908" s="1">
        <v>2</v>
      </c>
      <c r="G1908" s="1">
        <v>4</v>
      </c>
      <c r="H1908" s="1">
        <v>0</v>
      </c>
      <c r="I1908" s="1">
        <v>1</v>
      </c>
      <c r="J1908" s="1">
        <v>5</v>
      </c>
    </row>
    <row r="1909" spans="1:10" x14ac:dyDescent="0.2">
      <c r="A1909" s="1">
        <v>2269</v>
      </c>
      <c r="B1909" s="1">
        <v>0</v>
      </c>
      <c r="C1909" s="1">
        <v>14</v>
      </c>
      <c r="D1909" s="1">
        <v>5</v>
      </c>
      <c r="E1909" s="1">
        <v>2</v>
      </c>
      <c r="F1909" s="1">
        <v>2</v>
      </c>
      <c r="G1909" s="1">
        <v>4</v>
      </c>
      <c r="H1909" s="1">
        <v>1</v>
      </c>
      <c r="I1909" s="1">
        <v>1</v>
      </c>
      <c r="J1909" s="1">
        <v>5</v>
      </c>
    </row>
    <row r="1910" spans="1:10" x14ac:dyDescent="0.2">
      <c r="A1910" s="1">
        <v>443</v>
      </c>
      <c r="B1910" s="1">
        <v>0</v>
      </c>
      <c r="C1910" s="1">
        <v>10</v>
      </c>
      <c r="D1910" s="1">
        <v>2</v>
      </c>
      <c r="E1910" s="1">
        <v>3</v>
      </c>
      <c r="F1910" s="1">
        <v>2</v>
      </c>
      <c r="G1910" s="1">
        <v>4</v>
      </c>
      <c r="H1910" s="1">
        <v>1</v>
      </c>
      <c r="I1910" s="1">
        <v>2</v>
      </c>
      <c r="J1910" s="1">
        <v>5</v>
      </c>
    </row>
    <row r="1911" spans="1:10" x14ac:dyDescent="0.2">
      <c r="A1911" s="1">
        <v>1710</v>
      </c>
      <c r="B1911" s="1">
        <v>0</v>
      </c>
      <c r="C1911" s="1">
        <v>9</v>
      </c>
      <c r="D1911" s="1">
        <v>4</v>
      </c>
      <c r="E1911" s="1">
        <v>1</v>
      </c>
      <c r="F1911" s="1">
        <v>3</v>
      </c>
      <c r="G1911" s="1">
        <v>4</v>
      </c>
      <c r="H1911" s="1">
        <v>0</v>
      </c>
      <c r="I1911" s="1">
        <v>2</v>
      </c>
      <c r="J1911" s="1">
        <v>5</v>
      </c>
    </row>
    <row r="1912" spans="1:10" x14ac:dyDescent="0.2">
      <c r="A1912" s="1">
        <v>791</v>
      </c>
      <c r="B1912" s="1">
        <v>0</v>
      </c>
      <c r="C1912" s="1">
        <v>10</v>
      </c>
      <c r="D1912" s="1">
        <v>2</v>
      </c>
      <c r="E1912" s="1">
        <v>1</v>
      </c>
      <c r="F1912" s="1">
        <v>3</v>
      </c>
      <c r="G1912" s="1">
        <v>4</v>
      </c>
      <c r="H1912" s="1">
        <v>0</v>
      </c>
      <c r="I1912" s="1">
        <v>3</v>
      </c>
      <c r="J1912" s="1">
        <v>5</v>
      </c>
    </row>
    <row r="1913" spans="1:10" x14ac:dyDescent="0.2">
      <c r="A1913" s="1">
        <v>2225</v>
      </c>
      <c r="B1913" s="1">
        <v>0</v>
      </c>
      <c r="C1913" s="1">
        <v>6</v>
      </c>
      <c r="D1913" s="1">
        <v>4</v>
      </c>
      <c r="E1913" s="1">
        <v>1</v>
      </c>
      <c r="F1913" s="1">
        <v>4</v>
      </c>
      <c r="G1913" s="1">
        <v>4</v>
      </c>
      <c r="H1913" s="1">
        <v>1</v>
      </c>
      <c r="I1913" s="1">
        <v>1</v>
      </c>
      <c r="J1913" s="1">
        <v>5</v>
      </c>
    </row>
    <row r="1914" spans="1:10" x14ac:dyDescent="0.2">
      <c r="A1914" s="1">
        <v>1381</v>
      </c>
      <c r="B1914" s="1">
        <v>0</v>
      </c>
      <c r="C1914" s="1">
        <v>15</v>
      </c>
      <c r="D1914" s="1">
        <v>2</v>
      </c>
      <c r="E1914" s="1">
        <v>1</v>
      </c>
      <c r="F1914" s="1">
        <v>4</v>
      </c>
      <c r="G1914" s="1">
        <v>4</v>
      </c>
      <c r="H1914" s="1">
        <v>1</v>
      </c>
      <c r="I1914" s="1">
        <v>1</v>
      </c>
      <c r="J1914" s="1">
        <v>5</v>
      </c>
    </row>
    <row r="1915" spans="1:10" x14ac:dyDescent="0.2">
      <c r="A1915" s="1">
        <v>292</v>
      </c>
      <c r="B1915" s="1">
        <v>0</v>
      </c>
      <c r="C1915" s="1">
        <v>16</v>
      </c>
      <c r="D1915" s="1">
        <v>3</v>
      </c>
      <c r="E1915" s="1">
        <v>2</v>
      </c>
      <c r="F1915" s="1">
        <v>4</v>
      </c>
      <c r="G1915" s="1">
        <v>4</v>
      </c>
      <c r="H1915" s="1">
        <v>1</v>
      </c>
      <c r="I1915" s="1">
        <v>2</v>
      </c>
      <c r="J1915" s="1">
        <v>5</v>
      </c>
    </row>
    <row r="1916" spans="1:10" x14ac:dyDescent="0.2">
      <c r="A1916" s="1">
        <v>1877</v>
      </c>
      <c r="B1916" s="1">
        <v>0</v>
      </c>
      <c r="C1916" s="1">
        <v>20</v>
      </c>
      <c r="D1916" s="1">
        <v>1</v>
      </c>
      <c r="E1916" s="1">
        <v>2</v>
      </c>
      <c r="F1916" s="1">
        <v>4</v>
      </c>
      <c r="G1916" s="1">
        <v>4</v>
      </c>
      <c r="H1916" s="1">
        <v>0</v>
      </c>
      <c r="I1916" s="1">
        <v>1</v>
      </c>
      <c r="J1916" s="1">
        <v>5</v>
      </c>
    </row>
    <row r="1917" spans="1:10" x14ac:dyDescent="0.2">
      <c r="A1917" s="1">
        <v>1119</v>
      </c>
      <c r="B1917" s="1">
        <v>0</v>
      </c>
      <c r="C1917" s="1">
        <v>6</v>
      </c>
      <c r="D1917" s="1">
        <v>4</v>
      </c>
      <c r="E1917" s="1">
        <v>3</v>
      </c>
      <c r="F1917" s="1">
        <v>4</v>
      </c>
      <c r="G1917" s="1">
        <v>4</v>
      </c>
      <c r="H1917" s="1">
        <v>1</v>
      </c>
      <c r="I1917" s="1">
        <v>3</v>
      </c>
      <c r="J1917" s="1">
        <v>5</v>
      </c>
    </row>
    <row r="1918" spans="1:10" x14ac:dyDescent="0.2">
      <c r="A1918" s="1">
        <v>1463</v>
      </c>
      <c r="B1918" s="1">
        <v>0</v>
      </c>
      <c r="C1918" s="1">
        <v>15</v>
      </c>
      <c r="D1918" s="1">
        <v>3</v>
      </c>
      <c r="E1918" s="1">
        <v>3</v>
      </c>
      <c r="F1918" s="1">
        <v>4</v>
      </c>
      <c r="G1918" s="1">
        <v>4</v>
      </c>
      <c r="H1918" s="1">
        <v>1</v>
      </c>
      <c r="I1918" s="1">
        <v>1</v>
      </c>
      <c r="J1918" s="1">
        <v>5</v>
      </c>
    </row>
    <row r="1919" spans="1:10" x14ac:dyDescent="0.2">
      <c r="A1919" s="1">
        <v>1086</v>
      </c>
      <c r="B1919" s="1">
        <v>0</v>
      </c>
      <c r="C1919" s="1">
        <v>13</v>
      </c>
      <c r="D1919" s="1">
        <v>4</v>
      </c>
      <c r="E1919" s="1">
        <v>2</v>
      </c>
      <c r="F1919" s="1">
        <v>5</v>
      </c>
      <c r="G1919" s="1">
        <v>4</v>
      </c>
      <c r="H1919" s="1">
        <v>0</v>
      </c>
      <c r="I1919" s="1">
        <v>0</v>
      </c>
      <c r="J1919" s="1">
        <v>5</v>
      </c>
    </row>
    <row r="1920" spans="1:10" x14ac:dyDescent="0.2">
      <c r="A1920" s="1">
        <v>1461</v>
      </c>
      <c r="B1920" s="1">
        <v>0</v>
      </c>
      <c r="C1920" s="1">
        <v>15</v>
      </c>
      <c r="D1920" s="1">
        <v>2</v>
      </c>
      <c r="E1920" s="1">
        <v>2</v>
      </c>
      <c r="F1920" s="1">
        <v>5</v>
      </c>
      <c r="G1920" s="1">
        <v>4</v>
      </c>
      <c r="H1920" s="1">
        <v>0</v>
      </c>
      <c r="I1920" s="1">
        <v>2</v>
      </c>
      <c r="J1920" s="1">
        <v>5</v>
      </c>
    </row>
    <row r="1921" spans="1:10" x14ac:dyDescent="0.2">
      <c r="A1921" s="1">
        <v>1428</v>
      </c>
      <c r="B1921" s="1">
        <v>0</v>
      </c>
      <c r="C1921" s="1">
        <v>16</v>
      </c>
      <c r="D1921" s="1">
        <v>5</v>
      </c>
      <c r="E1921" s="1">
        <v>2</v>
      </c>
      <c r="F1921" s="1">
        <v>5</v>
      </c>
      <c r="G1921" s="1">
        <v>4</v>
      </c>
      <c r="H1921" s="1">
        <v>0</v>
      </c>
      <c r="I1921" s="1">
        <v>3</v>
      </c>
      <c r="J1921" s="1">
        <v>5</v>
      </c>
    </row>
    <row r="1922" spans="1:10" x14ac:dyDescent="0.2">
      <c r="A1922" s="1">
        <v>744</v>
      </c>
      <c r="B1922" s="1">
        <v>0</v>
      </c>
      <c r="C1922" s="1">
        <v>15</v>
      </c>
      <c r="D1922" s="1">
        <v>4</v>
      </c>
      <c r="E1922" s="1">
        <v>3</v>
      </c>
      <c r="F1922" s="1">
        <v>5</v>
      </c>
      <c r="G1922" s="1">
        <v>4</v>
      </c>
      <c r="H1922" s="1">
        <v>1</v>
      </c>
      <c r="I1922" s="1">
        <v>0</v>
      </c>
      <c r="J1922" s="1">
        <v>5</v>
      </c>
    </row>
    <row r="1923" spans="1:10" x14ac:dyDescent="0.2">
      <c r="A1923" s="1">
        <v>535</v>
      </c>
      <c r="B1923" s="1">
        <v>0</v>
      </c>
      <c r="C1923" s="1">
        <v>11</v>
      </c>
      <c r="D1923" s="1">
        <v>2</v>
      </c>
      <c r="E1923" s="1">
        <v>1</v>
      </c>
      <c r="F1923" s="1">
        <v>6</v>
      </c>
      <c r="G1923" s="1">
        <v>4</v>
      </c>
      <c r="H1923" s="1">
        <v>0</v>
      </c>
      <c r="I1923" s="1">
        <v>2</v>
      </c>
      <c r="J1923" s="1">
        <v>5</v>
      </c>
    </row>
    <row r="1924" spans="1:10" x14ac:dyDescent="0.2">
      <c r="A1924" s="1">
        <v>1487</v>
      </c>
      <c r="B1924" s="1">
        <v>0</v>
      </c>
      <c r="C1924" s="1">
        <v>11</v>
      </c>
      <c r="D1924" s="1">
        <v>3</v>
      </c>
      <c r="E1924" s="1">
        <v>1</v>
      </c>
      <c r="F1924" s="1">
        <v>6</v>
      </c>
      <c r="G1924" s="1">
        <v>4</v>
      </c>
      <c r="H1924" s="1">
        <v>0</v>
      </c>
      <c r="I1924" s="1">
        <v>2</v>
      </c>
      <c r="J1924" s="1">
        <v>5</v>
      </c>
    </row>
    <row r="1925" spans="1:10" x14ac:dyDescent="0.2">
      <c r="A1925" s="1">
        <v>1073</v>
      </c>
      <c r="B1925" s="1">
        <v>0</v>
      </c>
      <c r="C1925" s="1">
        <v>11</v>
      </c>
      <c r="D1925" s="1">
        <v>4</v>
      </c>
      <c r="E1925" s="1">
        <v>3</v>
      </c>
      <c r="F1925" s="1">
        <v>6</v>
      </c>
      <c r="G1925" s="1">
        <v>4</v>
      </c>
      <c r="H1925" s="1">
        <v>1</v>
      </c>
      <c r="I1925" s="1">
        <v>0</v>
      </c>
      <c r="J1925" s="1">
        <v>5</v>
      </c>
    </row>
    <row r="1926" spans="1:10" x14ac:dyDescent="0.2">
      <c r="A1926" s="1">
        <v>74</v>
      </c>
      <c r="B1926" s="1">
        <v>0</v>
      </c>
      <c r="C1926" s="1">
        <v>13</v>
      </c>
      <c r="D1926" s="1">
        <v>5</v>
      </c>
      <c r="E1926" s="1">
        <v>3</v>
      </c>
      <c r="F1926" s="1">
        <v>6</v>
      </c>
      <c r="G1926" s="1">
        <v>4</v>
      </c>
      <c r="H1926" s="1">
        <v>1</v>
      </c>
      <c r="I1926" s="1">
        <v>2</v>
      </c>
      <c r="J1926" s="1">
        <v>5</v>
      </c>
    </row>
    <row r="1927" spans="1:10" x14ac:dyDescent="0.2">
      <c r="A1927" s="1">
        <v>2208</v>
      </c>
      <c r="B1927" s="1">
        <v>0</v>
      </c>
      <c r="C1927" s="1">
        <v>14</v>
      </c>
      <c r="D1927" s="1">
        <v>1</v>
      </c>
      <c r="E1927" s="1">
        <v>3</v>
      </c>
      <c r="F1927" s="1">
        <v>7</v>
      </c>
      <c r="G1927" s="1">
        <v>4</v>
      </c>
      <c r="H1927" s="1">
        <v>0</v>
      </c>
      <c r="I1927" s="1">
        <v>1</v>
      </c>
      <c r="J1927" s="1">
        <v>5</v>
      </c>
    </row>
    <row r="1928" spans="1:10" x14ac:dyDescent="0.2">
      <c r="A1928" s="1">
        <v>1108</v>
      </c>
      <c r="B1928" s="1">
        <v>0</v>
      </c>
      <c r="C1928" s="1">
        <v>16</v>
      </c>
      <c r="D1928" s="1">
        <v>4</v>
      </c>
      <c r="E1928" s="1">
        <v>3</v>
      </c>
      <c r="F1928" s="1">
        <v>7</v>
      </c>
      <c r="G1928" s="1">
        <v>4</v>
      </c>
      <c r="H1928" s="1">
        <v>0</v>
      </c>
      <c r="I1928" s="1">
        <v>3</v>
      </c>
      <c r="J1928" s="1">
        <v>5</v>
      </c>
    </row>
    <row r="1929" spans="1:10" x14ac:dyDescent="0.2">
      <c r="A1929" s="1">
        <v>1872</v>
      </c>
      <c r="B1929" s="1">
        <v>0</v>
      </c>
      <c r="C1929" s="1">
        <v>13</v>
      </c>
      <c r="D1929" s="1">
        <v>4</v>
      </c>
      <c r="E1929" s="1">
        <v>2</v>
      </c>
      <c r="F1929" s="1">
        <v>8</v>
      </c>
      <c r="G1929" s="1">
        <v>4</v>
      </c>
      <c r="H1929" s="1">
        <v>1</v>
      </c>
      <c r="I1929" s="1">
        <v>0</v>
      </c>
      <c r="J1929" s="1">
        <v>5</v>
      </c>
    </row>
    <row r="1930" spans="1:10" x14ac:dyDescent="0.2">
      <c r="A1930" s="1">
        <v>964</v>
      </c>
      <c r="B1930" s="1">
        <v>0</v>
      </c>
      <c r="C1930" s="1">
        <v>19</v>
      </c>
      <c r="D1930" s="1">
        <v>4</v>
      </c>
      <c r="E1930" s="1">
        <v>2</v>
      </c>
      <c r="F1930" s="1">
        <v>8</v>
      </c>
      <c r="G1930" s="1">
        <v>4</v>
      </c>
      <c r="H1930" s="1">
        <v>0</v>
      </c>
      <c r="I1930" s="1">
        <v>3</v>
      </c>
      <c r="J1930" s="1">
        <v>5</v>
      </c>
    </row>
    <row r="1931" spans="1:10" x14ac:dyDescent="0.2">
      <c r="A1931" s="1">
        <v>968</v>
      </c>
      <c r="B1931" s="1">
        <v>0</v>
      </c>
      <c r="C1931" s="1">
        <v>13</v>
      </c>
      <c r="D1931" s="1">
        <v>1</v>
      </c>
      <c r="E1931" s="1">
        <v>3</v>
      </c>
      <c r="F1931" s="1">
        <v>8</v>
      </c>
      <c r="G1931" s="1">
        <v>4</v>
      </c>
      <c r="H1931" s="1">
        <v>1</v>
      </c>
      <c r="I1931" s="1">
        <v>0</v>
      </c>
      <c r="J1931" s="1">
        <v>5</v>
      </c>
    </row>
    <row r="1932" spans="1:10" x14ac:dyDescent="0.2">
      <c r="A1932" s="1">
        <v>1257</v>
      </c>
      <c r="B1932" s="1">
        <v>0</v>
      </c>
      <c r="C1932" s="1">
        <v>14</v>
      </c>
      <c r="D1932" s="1">
        <v>1</v>
      </c>
      <c r="E1932" s="1">
        <v>3</v>
      </c>
      <c r="F1932" s="1">
        <v>8</v>
      </c>
      <c r="G1932" s="1">
        <v>4</v>
      </c>
      <c r="H1932" s="1">
        <v>1</v>
      </c>
      <c r="I1932" s="1">
        <v>3</v>
      </c>
      <c r="J1932" s="1">
        <v>5</v>
      </c>
    </row>
    <row r="1933" spans="1:10" x14ac:dyDescent="0.2">
      <c r="A1933" s="1">
        <v>1874</v>
      </c>
      <c r="B1933" s="1">
        <v>0</v>
      </c>
      <c r="C1933" s="1">
        <v>10</v>
      </c>
      <c r="D1933" s="1">
        <v>1</v>
      </c>
      <c r="E1933" s="1">
        <v>2</v>
      </c>
      <c r="F1933" s="1">
        <v>9</v>
      </c>
      <c r="G1933" s="1">
        <v>4</v>
      </c>
      <c r="H1933" s="1">
        <v>0</v>
      </c>
      <c r="I1933" s="1">
        <v>1</v>
      </c>
      <c r="J1933" s="1">
        <v>5</v>
      </c>
    </row>
    <row r="1934" spans="1:10" x14ac:dyDescent="0.2">
      <c r="A1934" s="1">
        <v>193</v>
      </c>
      <c r="B1934" s="1">
        <v>0</v>
      </c>
      <c r="C1934" s="1">
        <v>12</v>
      </c>
      <c r="D1934" s="1">
        <v>5</v>
      </c>
      <c r="E1934" s="1">
        <v>2</v>
      </c>
      <c r="F1934" s="1">
        <v>9</v>
      </c>
      <c r="G1934" s="1">
        <v>4</v>
      </c>
      <c r="H1934" s="1">
        <v>0</v>
      </c>
      <c r="I1934" s="1">
        <v>3</v>
      </c>
      <c r="J1934" s="1">
        <v>5</v>
      </c>
    </row>
    <row r="1935" spans="1:10" x14ac:dyDescent="0.2">
      <c r="A1935" s="1">
        <v>254</v>
      </c>
      <c r="B1935" s="1">
        <v>0</v>
      </c>
      <c r="C1935" s="1">
        <v>13</v>
      </c>
      <c r="D1935" s="1">
        <v>1</v>
      </c>
      <c r="E1935" s="1">
        <v>2</v>
      </c>
      <c r="F1935" s="1">
        <v>9</v>
      </c>
      <c r="G1935" s="1">
        <v>4</v>
      </c>
      <c r="H1935" s="1">
        <v>0</v>
      </c>
      <c r="I1935" s="1">
        <v>2</v>
      </c>
      <c r="J1935" s="1">
        <v>5</v>
      </c>
    </row>
    <row r="1936" spans="1:10" x14ac:dyDescent="0.2">
      <c r="A1936" s="1">
        <v>1968</v>
      </c>
      <c r="B1936" s="1">
        <v>0</v>
      </c>
      <c r="C1936" s="1">
        <v>15</v>
      </c>
      <c r="D1936" s="1">
        <v>2</v>
      </c>
      <c r="E1936" s="1">
        <v>3</v>
      </c>
      <c r="F1936" s="1">
        <v>9</v>
      </c>
      <c r="G1936" s="1">
        <v>4</v>
      </c>
      <c r="H1936" s="1">
        <v>1</v>
      </c>
      <c r="I1936" s="1">
        <v>2</v>
      </c>
      <c r="J1936" s="1">
        <v>5</v>
      </c>
    </row>
    <row r="1937" spans="1:10" x14ac:dyDescent="0.2">
      <c r="A1937" s="1">
        <v>1378</v>
      </c>
      <c r="B1937" s="1">
        <v>0</v>
      </c>
      <c r="C1937" s="1">
        <v>16</v>
      </c>
      <c r="D1937" s="1">
        <v>5</v>
      </c>
      <c r="E1937" s="1">
        <v>3</v>
      </c>
      <c r="F1937" s="1">
        <v>9</v>
      </c>
      <c r="G1937" s="1">
        <v>4</v>
      </c>
      <c r="H1937" s="1">
        <v>0</v>
      </c>
      <c r="I1937" s="1">
        <v>0</v>
      </c>
      <c r="J1937" s="1">
        <v>5</v>
      </c>
    </row>
    <row r="1938" spans="1:10" x14ac:dyDescent="0.2">
      <c r="A1938" s="1">
        <v>680</v>
      </c>
      <c r="B1938" s="1">
        <v>0</v>
      </c>
      <c r="C1938" s="1">
        <v>17</v>
      </c>
      <c r="D1938" s="1">
        <v>4</v>
      </c>
      <c r="E1938" s="1">
        <v>3</v>
      </c>
      <c r="F1938" s="1">
        <v>9</v>
      </c>
      <c r="G1938" s="1">
        <v>4</v>
      </c>
      <c r="H1938" s="1">
        <v>1</v>
      </c>
      <c r="I1938" s="1">
        <v>0</v>
      </c>
      <c r="J1938" s="1">
        <v>5</v>
      </c>
    </row>
    <row r="1939" spans="1:10" x14ac:dyDescent="0.2">
      <c r="A1939" s="1">
        <v>2395</v>
      </c>
      <c r="B1939" s="1">
        <v>0</v>
      </c>
      <c r="C1939" s="1">
        <v>19</v>
      </c>
      <c r="D1939" s="1">
        <v>3</v>
      </c>
      <c r="E1939" s="1">
        <v>2</v>
      </c>
      <c r="F1939" s="1">
        <v>10</v>
      </c>
      <c r="G1939" s="1">
        <v>4</v>
      </c>
      <c r="H1939" s="1">
        <v>1</v>
      </c>
      <c r="I1939" s="1">
        <v>2</v>
      </c>
      <c r="J1939" s="1">
        <v>5</v>
      </c>
    </row>
    <row r="1940" spans="1:10" x14ac:dyDescent="0.2">
      <c r="A1940" s="1">
        <v>1389</v>
      </c>
      <c r="B1940" s="1">
        <v>0</v>
      </c>
      <c r="C1940" s="1">
        <v>20</v>
      </c>
      <c r="D1940" s="1">
        <v>2</v>
      </c>
      <c r="E1940" s="1">
        <v>2</v>
      </c>
      <c r="F1940" s="1">
        <v>10</v>
      </c>
      <c r="G1940" s="1">
        <v>4</v>
      </c>
      <c r="H1940" s="1">
        <v>0</v>
      </c>
      <c r="I1940" s="1">
        <v>3</v>
      </c>
      <c r="J1940" s="1">
        <v>5</v>
      </c>
    </row>
    <row r="1941" spans="1:10" x14ac:dyDescent="0.2">
      <c r="A1941" s="1">
        <v>1231</v>
      </c>
      <c r="B1941" s="1">
        <v>0</v>
      </c>
      <c r="C1941" s="1">
        <v>9</v>
      </c>
      <c r="D1941" s="1">
        <v>3</v>
      </c>
      <c r="E1941" s="1">
        <v>3</v>
      </c>
      <c r="F1941" s="1">
        <v>10</v>
      </c>
      <c r="G1941" s="1">
        <v>4</v>
      </c>
      <c r="H1941" s="1">
        <v>0</v>
      </c>
      <c r="I1941" s="1">
        <v>0</v>
      </c>
      <c r="J1941" s="1">
        <v>5</v>
      </c>
    </row>
    <row r="1942" spans="1:10" x14ac:dyDescent="0.2">
      <c r="A1942" s="1">
        <v>1387</v>
      </c>
      <c r="B1942" s="1">
        <v>0</v>
      </c>
      <c r="C1942" s="1">
        <v>13</v>
      </c>
      <c r="D1942" s="1">
        <v>3</v>
      </c>
      <c r="E1942" s="1">
        <v>3</v>
      </c>
      <c r="F1942" s="1">
        <v>10</v>
      </c>
      <c r="G1942" s="1">
        <v>4</v>
      </c>
      <c r="H1942" s="1">
        <v>1</v>
      </c>
      <c r="I1942" s="1">
        <v>3</v>
      </c>
      <c r="J1942" s="1">
        <v>5</v>
      </c>
    </row>
    <row r="1943" spans="1:10" x14ac:dyDescent="0.2">
      <c r="A1943" s="1">
        <v>1426</v>
      </c>
      <c r="B1943" s="1">
        <v>0</v>
      </c>
      <c r="C1943" s="1">
        <v>16</v>
      </c>
      <c r="D1943" s="1">
        <v>4</v>
      </c>
      <c r="E1943" s="1">
        <v>3</v>
      </c>
      <c r="F1943" s="1">
        <v>10</v>
      </c>
      <c r="G1943" s="1">
        <v>4</v>
      </c>
      <c r="H1943" s="1">
        <v>1</v>
      </c>
      <c r="I1943" s="1">
        <v>0</v>
      </c>
      <c r="J1943" s="1">
        <v>5</v>
      </c>
    </row>
    <row r="1944" spans="1:10" x14ac:dyDescent="0.2">
      <c r="A1944" s="1">
        <v>1675</v>
      </c>
      <c r="B1944" s="1">
        <v>0</v>
      </c>
      <c r="C1944" s="1">
        <v>7</v>
      </c>
      <c r="D1944" s="1">
        <v>5</v>
      </c>
      <c r="E1944" s="1">
        <v>1</v>
      </c>
      <c r="F1944" s="1">
        <v>1</v>
      </c>
      <c r="G1944" s="1">
        <v>5</v>
      </c>
      <c r="H1944" s="1">
        <v>0</v>
      </c>
      <c r="I1944" s="1">
        <v>1</v>
      </c>
      <c r="J1944" s="1">
        <v>5</v>
      </c>
    </row>
    <row r="1945" spans="1:10" x14ac:dyDescent="0.2">
      <c r="A1945" s="1">
        <v>2475</v>
      </c>
      <c r="B1945" s="1">
        <v>0</v>
      </c>
      <c r="C1945" s="1">
        <v>6</v>
      </c>
      <c r="D1945" s="1">
        <v>1</v>
      </c>
      <c r="E1945" s="1">
        <v>2</v>
      </c>
      <c r="F1945" s="1">
        <v>1</v>
      </c>
      <c r="G1945" s="1">
        <v>5</v>
      </c>
      <c r="H1945" s="1">
        <v>0</v>
      </c>
      <c r="I1945" s="1">
        <v>1</v>
      </c>
      <c r="J1945" s="1">
        <v>5</v>
      </c>
    </row>
    <row r="1946" spans="1:10" x14ac:dyDescent="0.2">
      <c r="A1946" s="1">
        <v>1563</v>
      </c>
      <c r="B1946" s="1">
        <v>0</v>
      </c>
      <c r="C1946" s="1">
        <v>11</v>
      </c>
      <c r="D1946" s="1">
        <v>1</v>
      </c>
      <c r="E1946" s="1">
        <v>2</v>
      </c>
      <c r="F1946" s="1">
        <v>1</v>
      </c>
      <c r="G1946" s="1">
        <v>5</v>
      </c>
      <c r="H1946" s="1">
        <v>0</v>
      </c>
      <c r="I1946" s="1">
        <v>2</v>
      </c>
      <c r="J1946" s="1">
        <v>5</v>
      </c>
    </row>
    <row r="1947" spans="1:10" x14ac:dyDescent="0.2">
      <c r="A1947" s="1">
        <v>1291</v>
      </c>
      <c r="B1947" s="1">
        <v>0</v>
      </c>
      <c r="C1947" s="1">
        <v>5</v>
      </c>
      <c r="D1947" s="1">
        <v>3</v>
      </c>
      <c r="E1947" s="1">
        <v>3</v>
      </c>
      <c r="F1947" s="1">
        <v>1</v>
      </c>
      <c r="G1947" s="1">
        <v>5</v>
      </c>
      <c r="H1947" s="1">
        <v>0</v>
      </c>
      <c r="I1947" s="1">
        <v>0</v>
      </c>
      <c r="J1947" s="1">
        <v>5</v>
      </c>
    </row>
    <row r="1948" spans="1:10" x14ac:dyDescent="0.2">
      <c r="A1948" s="1">
        <v>1601</v>
      </c>
      <c r="B1948" s="1">
        <v>0</v>
      </c>
      <c r="C1948" s="1">
        <v>12</v>
      </c>
      <c r="D1948" s="1">
        <v>1</v>
      </c>
      <c r="E1948" s="1">
        <v>3</v>
      </c>
      <c r="F1948" s="1">
        <v>1</v>
      </c>
      <c r="G1948" s="1">
        <v>5</v>
      </c>
      <c r="H1948" s="1">
        <v>0</v>
      </c>
      <c r="I1948" s="1">
        <v>1</v>
      </c>
      <c r="J1948" s="1">
        <v>5</v>
      </c>
    </row>
    <row r="1949" spans="1:10" x14ac:dyDescent="0.2">
      <c r="A1949" s="1">
        <v>511</v>
      </c>
      <c r="B1949" s="1">
        <v>0</v>
      </c>
      <c r="C1949" s="1">
        <v>18</v>
      </c>
      <c r="D1949" s="1">
        <v>4</v>
      </c>
      <c r="E1949" s="1">
        <v>3</v>
      </c>
      <c r="F1949" s="1">
        <v>1</v>
      </c>
      <c r="G1949" s="1">
        <v>5</v>
      </c>
      <c r="H1949" s="1">
        <v>1</v>
      </c>
      <c r="I1949" s="1">
        <v>3</v>
      </c>
      <c r="J1949" s="1">
        <v>5</v>
      </c>
    </row>
    <row r="1950" spans="1:10" x14ac:dyDescent="0.2">
      <c r="A1950" s="1">
        <v>144</v>
      </c>
      <c r="B1950" s="1">
        <v>0</v>
      </c>
      <c r="C1950" s="1">
        <v>13</v>
      </c>
      <c r="D1950" s="1">
        <v>2</v>
      </c>
      <c r="E1950" s="1">
        <v>1</v>
      </c>
      <c r="F1950" s="1">
        <v>2</v>
      </c>
      <c r="G1950" s="1">
        <v>5</v>
      </c>
      <c r="H1950" s="1">
        <v>1</v>
      </c>
      <c r="I1950" s="1">
        <v>2</v>
      </c>
      <c r="J1950" s="1">
        <v>5</v>
      </c>
    </row>
    <row r="1951" spans="1:10" x14ac:dyDescent="0.2">
      <c r="A1951" s="1">
        <v>2020</v>
      </c>
      <c r="B1951" s="1">
        <v>0</v>
      </c>
      <c r="C1951" s="1">
        <v>8</v>
      </c>
      <c r="D1951" s="1">
        <v>2</v>
      </c>
      <c r="E1951" s="1">
        <v>2</v>
      </c>
      <c r="F1951" s="1">
        <v>2</v>
      </c>
      <c r="G1951" s="1">
        <v>5</v>
      </c>
      <c r="H1951" s="1">
        <v>1</v>
      </c>
      <c r="I1951" s="1">
        <v>2</v>
      </c>
      <c r="J1951" s="1">
        <v>5</v>
      </c>
    </row>
    <row r="1952" spans="1:10" x14ac:dyDescent="0.2">
      <c r="A1952" s="1">
        <v>2193</v>
      </c>
      <c r="B1952" s="1">
        <v>0</v>
      </c>
      <c r="C1952" s="1">
        <v>8</v>
      </c>
      <c r="D1952" s="1">
        <v>4</v>
      </c>
      <c r="E1952" s="1">
        <v>3</v>
      </c>
      <c r="F1952" s="1">
        <v>2</v>
      </c>
      <c r="G1952" s="1">
        <v>5</v>
      </c>
      <c r="H1952" s="1">
        <v>0</v>
      </c>
      <c r="I1952" s="1">
        <v>2</v>
      </c>
      <c r="J1952" s="1">
        <v>5</v>
      </c>
    </row>
    <row r="1953" spans="1:10" x14ac:dyDescent="0.2">
      <c r="A1953" s="1">
        <v>2413</v>
      </c>
      <c r="B1953" s="1">
        <v>0</v>
      </c>
      <c r="C1953" s="1">
        <v>15</v>
      </c>
      <c r="D1953" s="1">
        <v>3</v>
      </c>
      <c r="E1953" s="1">
        <v>3</v>
      </c>
      <c r="F1953" s="1">
        <v>2</v>
      </c>
      <c r="G1953" s="1">
        <v>5</v>
      </c>
      <c r="H1953" s="1">
        <v>1</v>
      </c>
      <c r="I1953" s="1">
        <v>0</v>
      </c>
      <c r="J1953" s="1">
        <v>5</v>
      </c>
    </row>
    <row r="1954" spans="1:10" x14ac:dyDescent="0.2">
      <c r="A1954" s="1">
        <v>2333</v>
      </c>
      <c r="B1954" s="1">
        <v>0</v>
      </c>
      <c r="C1954" s="1">
        <v>17</v>
      </c>
      <c r="D1954" s="1">
        <v>1</v>
      </c>
      <c r="E1954" s="1">
        <v>3</v>
      </c>
      <c r="F1954" s="1">
        <v>2</v>
      </c>
      <c r="G1954" s="1">
        <v>5</v>
      </c>
      <c r="H1954" s="1">
        <v>0</v>
      </c>
      <c r="I1954" s="1">
        <v>2</v>
      </c>
      <c r="J1954" s="1">
        <v>5</v>
      </c>
    </row>
    <row r="1955" spans="1:10" x14ac:dyDescent="0.2">
      <c r="A1955" s="1">
        <v>211</v>
      </c>
      <c r="B1955" s="1">
        <v>0</v>
      </c>
      <c r="C1955" s="1">
        <v>16</v>
      </c>
      <c r="D1955" s="1">
        <v>5</v>
      </c>
      <c r="E1955" s="1">
        <v>1</v>
      </c>
      <c r="F1955" s="1">
        <v>3</v>
      </c>
      <c r="G1955" s="1">
        <v>5</v>
      </c>
      <c r="H1955" s="1">
        <v>0</v>
      </c>
      <c r="I1955" s="1">
        <v>2</v>
      </c>
      <c r="J1955" s="1">
        <v>5</v>
      </c>
    </row>
    <row r="1956" spans="1:10" x14ac:dyDescent="0.2">
      <c r="A1956" s="1">
        <v>1167</v>
      </c>
      <c r="B1956" s="1">
        <v>0</v>
      </c>
      <c r="C1956" s="1">
        <v>8</v>
      </c>
      <c r="D1956" s="1">
        <v>5</v>
      </c>
      <c r="E1956" s="1">
        <v>3</v>
      </c>
      <c r="F1956" s="1">
        <v>3</v>
      </c>
      <c r="G1956" s="1">
        <v>5</v>
      </c>
      <c r="H1956" s="1">
        <v>0</v>
      </c>
      <c r="I1956" s="1">
        <v>0</v>
      </c>
      <c r="J1956" s="1">
        <v>5</v>
      </c>
    </row>
    <row r="1957" spans="1:10" x14ac:dyDescent="0.2">
      <c r="A1957" s="1">
        <v>2466</v>
      </c>
      <c r="B1957" s="1">
        <v>0</v>
      </c>
      <c r="C1957" s="1">
        <v>12</v>
      </c>
      <c r="D1957" s="1">
        <v>3</v>
      </c>
      <c r="E1957" s="1">
        <v>3</v>
      </c>
      <c r="F1957" s="1">
        <v>3</v>
      </c>
      <c r="G1957" s="1">
        <v>5</v>
      </c>
      <c r="H1957" s="1">
        <v>0</v>
      </c>
      <c r="I1957" s="1">
        <v>3</v>
      </c>
      <c r="J1957" s="1">
        <v>5</v>
      </c>
    </row>
    <row r="1958" spans="1:10" x14ac:dyDescent="0.2">
      <c r="A1958" s="1">
        <v>842</v>
      </c>
      <c r="B1958" s="1">
        <v>0</v>
      </c>
      <c r="C1958" s="1">
        <v>20</v>
      </c>
      <c r="D1958" s="1">
        <v>2</v>
      </c>
      <c r="E1958" s="1">
        <v>3</v>
      </c>
      <c r="F1958" s="1">
        <v>3</v>
      </c>
      <c r="G1958" s="1">
        <v>5</v>
      </c>
      <c r="H1958" s="1">
        <v>0</v>
      </c>
      <c r="I1958" s="1">
        <v>2</v>
      </c>
      <c r="J1958" s="1">
        <v>5</v>
      </c>
    </row>
    <row r="1959" spans="1:10" x14ac:dyDescent="0.2">
      <c r="A1959" s="1">
        <v>2185</v>
      </c>
      <c r="B1959" s="1">
        <v>0</v>
      </c>
      <c r="C1959" s="1">
        <v>20</v>
      </c>
      <c r="D1959" s="1">
        <v>3</v>
      </c>
      <c r="E1959" s="1">
        <v>3</v>
      </c>
      <c r="F1959" s="1">
        <v>3</v>
      </c>
      <c r="G1959" s="1">
        <v>5</v>
      </c>
      <c r="H1959" s="1">
        <v>0</v>
      </c>
      <c r="I1959" s="1">
        <v>2</v>
      </c>
      <c r="J1959" s="1">
        <v>5</v>
      </c>
    </row>
    <row r="1960" spans="1:10" x14ac:dyDescent="0.2">
      <c r="A1960" s="1">
        <v>2092</v>
      </c>
      <c r="B1960" s="1">
        <v>0</v>
      </c>
      <c r="C1960" s="1">
        <v>12</v>
      </c>
      <c r="D1960" s="1">
        <v>5</v>
      </c>
      <c r="E1960" s="1">
        <v>1</v>
      </c>
      <c r="F1960" s="1">
        <v>4</v>
      </c>
      <c r="G1960" s="1">
        <v>5</v>
      </c>
      <c r="H1960" s="1">
        <v>0</v>
      </c>
      <c r="I1960" s="1">
        <v>0</v>
      </c>
      <c r="J1960" s="1">
        <v>5</v>
      </c>
    </row>
    <row r="1961" spans="1:10" x14ac:dyDescent="0.2">
      <c r="A1961" s="1">
        <v>1934</v>
      </c>
      <c r="B1961" s="1">
        <v>0</v>
      </c>
      <c r="C1961" s="1">
        <v>14</v>
      </c>
      <c r="D1961" s="1">
        <v>4</v>
      </c>
      <c r="E1961" s="1">
        <v>1</v>
      </c>
      <c r="F1961" s="1">
        <v>4</v>
      </c>
      <c r="G1961" s="1">
        <v>5</v>
      </c>
      <c r="H1961" s="1">
        <v>1</v>
      </c>
      <c r="I1961" s="1">
        <v>1</v>
      </c>
      <c r="J1961" s="1">
        <v>5</v>
      </c>
    </row>
    <row r="1962" spans="1:10" x14ac:dyDescent="0.2">
      <c r="A1962" s="1">
        <v>1757</v>
      </c>
      <c r="B1962" s="1">
        <v>0</v>
      </c>
      <c r="C1962" s="1">
        <v>6</v>
      </c>
      <c r="D1962" s="1">
        <v>2</v>
      </c>
      <c r="E1962" s="1">
        <v>2</v>
      </c>
      <c r="F1962" s="1">
        <v>4</v>
      </c>
      <c r="G1962" s="1">
        <v>5</v>
      </c>
      <c r="H1962" s="1">
        <v>1</v>
      </c>
      <c r="I1962" s="1">
        <v>2</v>
      </c>
      <c r="J1962" s="1">
        <v>5</v>
      </c>
    </row>
    <row r="1963" spans="1:10" x14ac:dyDescent="0.2">
      <c r="A1963" s="1">
        <v>947</v>
      </c>
      <c r="B1963" s="1">
        <v>0</v>
      </c>
      <c r="C1963" s="1">
        <v>16</v>
      </c>
      <c r="D1963" s="1">
        <v>1</v>
      </c>
      <c r="E1963" s="1">
        <v>2</v>
      </c>
      <c r="F1963" s="1">
        <v>4</v>
      </c>
      <c r="G1963" s="1">
        <v>5</v>
      </c>
      <c r="H1963" s="1">
        <v>1</v>
      </c>
      <c r="I1963" s="1">
        <v>2</v>
      </c>
      <c r="J1963" s="1">
        <v>5</v>
      </c>
    </row>
    <row r="1964" spans="1:10" x14ac:dyDescent="0.2">
      <c r="A1964" s="1">
        <v>33</v>
      </c>
      <c r="B1964" s="1">
        <v>0</v>
      </c>
      <c r="C1964" s="1">
        <v>18</v>
      </c>
      <c r="D1964" s="1">
        <v>1</v>
      </c>
      <c r="E1964" s="1">
        <v>3</v>
      </c>
      <c r="F1964" s="1">
        <v>4</v>
      </c>
      <c r="G1964" s="1">
        <v>5</v>
      </c>
      <c r="H1964" s="1">
        <v>0</v>
      </c>
      <c r="I1964" s="1">
        <v>2</v>
      </c>
      <c r="J1964" s="1">
        <v>5</v>
      </c>
    </row>
    <row r="1965" spans="1:10" x14ac:dyDescent="0.2">
      <c r="A1965" s="1">
        <v>858</v>
      </c>
      <c r="B1965" s="1">
        <v>0</v>
      </c>
      <c r="C1965" s="1">
        <v>11</v>
      </c>
      <c r="D1965" s="1">
        <v>2</v>
      </c>
      <c r="E1965" s="1">
        <v>2</v>
      </c>
      <c r="F1965" s="1">
        <v>5</v>
      </c>
      <c r="G1965" s="1">
        <v>5</v>
      </c>
      <c r="H1965" s="1">
        <v>1</v>
      </c>
      <c r="I1965" s="1">
        <v>3</v>
      </c>
      <c r="J1965" s="1">
        <v>5</v>
      </c>
    </row>
    <row r="1966" spans="1:10" x14ac:dyDescent="0.2">
      <c r="A1966" s="1">
        <v>1566</v>
      </c>
      <c r="B1966" s="1">
        <v>0</v>
      </c>
      <c r="C1966" s="1">
        <v>14</v>
      </c>
      <c r="D1966" s="1">
        <v>1</v>
      </c>
      <c r="E1966" s="1">
        <v>2</v>
      </c>
      <c r="F1966" s="1">
        <v>5</v>
      </c>
      <c r="G1966" s="1">
        <v>5</v>
      </c>
      <c r="H1966" s="1">
        <v>0</v>
      </c>
      <c r="I1966" s="1">
        <v>3</v>
      </c>
      <c r="J1966" s="1">
        <v>5</v>
      </c>
    </row>
    <row r="1967" spans="1:10" x14ac:dyDescent="0.2">
      <c r="A1967" s="1">
        <v>1143</v>
      </c>
      <c r="B1967" s="1">
        <v>0</v>
      </c>
      <c r="C1967" s="1">
        <v>5</v>
      </c>
      <c r="D1967" s="1">
        <v>3</v>
      </c>
      <c r="E1967" s="1">
        <v>3</v>
      </c>
      <c r="F1967" s="1">
        <v>5</v>
      </c>
      <c r="G1967" s="1">
        <v>5</v>
      </c>
      <c r="H1967" s="1">
        <v>0</v>
      </c>
      <c r="I1967" s="1">
        <v>2</v>
      </c>
      <c r="J1967" s="1">
        <v>5</v>
      </c>
    </row>
    <row r="1968" spans="1:10" x14ac:dyDescent="0.2">
      <c r="A1968" s="1">
        <v>2130</v>
      </c>
      <c r="B1968" s="1">
        <v>0</v>
      </c>
      <c r="C1968" s="1">
        <v>10</v>
      </c>
      <c r="D1968" s="1">
        <v>4</v>
      </c>
      <c r="E1968" s="1">
        <v>3</v>
      </c>
      <c r="F1968" s="1">
        <v>5</v>
      </c>
      <c r="G1968" s="1">
        <v>5</v>
      </c>
      <c r="H1968" s="1">
        <v>0</v>
      </c>
      <c r="I1968" s="1">
        <v>2</v>
      </c>
      <c r="J1968" s="1">
        <v>5</v>
      </c>
    </row>
    <row r="1969" spans="1:10" x14ac:dyDescent="0.2">
      <c r="A1969" s="1">
        <v>518</v>
      </c>
      <c r="B1969" s="1">
        <v>0</v>
      </c>
      <c r="C1969" s="1">
        <v>10</v>
      </c>
      <c r="D1969" s="1">
        <v>1</v>
      </c>
      <c r="E1969" s="1">
        <v>2</v>
      </c>
      <c r="F1969" s="1">
        <v>6</v>
      </c>
      <c r="G1969" s="1">
        <v>5</v>
      </c>
      <c r="H1969" s="1">
        <v>0</v>
      </c>
      <c r="I1969" s="1">
        <v>2</v>
      </c>
      <c r="J1969" s="1">
        <v>5</v>
      </c>
    </row>
    <row r="1970" spans="1:10" x14ac:dyDescent="0.2">
      <c r="A1970" s="1">
        <v>2268</v>
      </c>
      <c r="B1970" s="1">
        <v>0</v>
      </c>
      <c r="C1970" s="1">
        <v>9</v>
      </c>
      <c r="D1970" s="1">
        <v>2</v>
      </c>
      <c r="E1970" s="1">
        <v>3</v>
      </c>
      <c r="F1970" s="1">
        <v>6</v>
      </c>
      <c r="G1970" s="1">
        <v>5</v>
      </c>
      <c r="H1970" s="1">
        <v>0</v>
      </c>
      <c r="I1970" s="1">
        <v>2</v>
      </c>
      <c r="J1970" s="1">
        <v>5</v>
      </c>
    </row>
    <row r="1971" spans="1:10" x14ac:dyDescent="0.2">
      <c r="A1971" s="1">
        <v>999</v>
      </c>
      <c r="B1971" s="1">
        <v>0</v>
      </c>
      <c r="C1971" s="1">
        <v>13</v>
      </c>
      <c r="D1971" s="1">
        <v>5</v>
      </c>
      <c r="E1971" s="1">
        <v>3</v>
      </c>
      <c r="F1971" s="1">
        <v>6</v>
      </c>
      <c r="G1971" s="1">
        <v>5</v>
      </c>
      <c r="H1971" s="1">
        <v>0</v>
      </c>
      <c r="I1971" s="1">
        <v>3</v>
      </c>
      <c r="J1971" s="1">
        <v>5</v>
      </c>
    </row>
    <row r="1972" spans="1:10" x14ac:dyDescent="0.2">
      <c r="A1972" s="1">
        <v>1021</v>
      </c>
      <c r="B1972" s="1">
        <v>0</v>
      </c>
      <c r="C1972" s="1">
        <v>18</v>
      </c>
      <c r="D1972" s="1">
        <v>3</v>
      </c>
      <c r="E1972" s="1">
        <v>3</v>
      </c>
      <c r="F1972" s="1">
        <v>6</v>
      </c>
      <c r="G1972" s="1">
        <v>5</v>
      </c>
      <c r="H1972" s="1">
        <v>0</v>
      </c>
      <c r="I1972" s="1">
        <v>0</v>
      </c>
      <c r="J1972" s="1">
        <v>5</v>
      </c>
    </row>
    <row r="1973" spans="1:10" x14ac:dyDescent="0.2">
      <c r="A1973" s="1">
        <v>1573</v>
      </c>
      <c r="B1973" s="1">
        <v>0</v>
      </c>
      <c r="C1973" s="1">
        <v>10</v>
      </c>
      <c r="D1973" s="1">
        <v>5</v>
      </c>
      <c r="E1973" s="1">
        <v>2</v>
      </c>
      <c r="F1973" s="1">
        <v>7</v>
      </c>
      <c r="G1973" s="1">
        <v>5</v>
      </c>
      <c r="H1973" s="1">
        <v>0</v>
      </c>
      <c r="I1973" s="1">
        <v>1</v>
      </c>
      <c r="J1973" s="1">
        <v>5</v>
      </c>
    </row>
    <row r="1974" spans="1:10" x14ac:dyDescent="0.2">
      <c r="A1974" s="1">
        <v>1863</v>
      </c>
      <c r="B1974" s="1">
        <v>0</v>
      </c>
      <c r="C1974" s="1">
        <v>18</v>
      </c>
      <c r="D1974" s="1">
        <v>1</v>
      </c>
      <c r="E1974" s="1">
        <v>2</v>
      </c>
      <c r="F1974" s="1">
        <v>7</v>
      </c>
      <c r="G1974" s="1">
        <v>5</v>
      </c>
      <c r="H1974" s="1">
        <v>0</v>
      </c>
      <c r="I1974" s="1">
        <v>3</v>
      </c>
      <c r="J1974" s="1">
        <v>5</v>
      </c>
    </row>
    <row r="1975" spans="1:10" x14ac:dyDescent="0.2">
      <c r="A1975" s="1">
        <v>1864</v>
      </c>
      <c r="B1975" s="1">
        <v>0</v>
      </c>
      <c r="C1975" s="1">
        <v>5</v>
      </c>
      <c r="D1975" s="1">
        <v>3</v>
      </c>
      <c r="E1975" s="1">
        <v>3</v>
      </c>
      <c r="F1975" s="1">
        <v>7</v>
      </c>
      <c r="G1975" s="1">
        <v>5</v>
      </c>
      <c r="H1975" s="1">
        <v>1</v>
      </c>
      <c r="I1975" s="1">
        <v>0</v>
      </c>
      <c r="J1975" s="1">
        <v>5</v>
      </c>
    </row>
    <row r="1976" spans="1:10" x14ac:dyDescent="0.2">
      <c r="A1976" s="1">
        <v>1267</v>
      </c>
      <c r="B1976" s="1">
        <v>0</v>
      </c>
      <c r="C1976" s="1">
        <v>17</v>
      </c>
      <c r="D1976" s="1">
        <v>2</v>
      </c>
      <c r="E1976" s="1">
        <v>3</v>
      </c>
      <c r="F1976" s="1">
        <v>7</v>
      </c>
      <c r="G1976" s="1">
        <v>5</v>
      </c>
      <c r="H1976" s="1">
        <v>1</v>
      </c>
      <c r="I1976" s="1">
        <v>1</v>
      </c>
      <c r="J1976" s="1">
        <v>5</v>
      </c>
    </row>
    <row r="1977" spans="1:10" x14ac:dyDescent="0.2">
      <c r="A1977" s="1">
        <v>1377</v>
      </c>
      <c r="B1977" s="1">
        <v>0</v>
      </c>
      <c r="C1977" s="1">
        <v>18</v>
      </c>
      <c r="D1977" s="1">
        <v>5</v>
      </c>
      <c r="E1977" s="1">
        <v>3</v>
      </c>
      <c r="F1977" s="1">
        <v>7</v>
      </c>
      <c r="G1977" s="1">
        <v>5</v>
      </c>
      <c r="H1977" s="1">
        <v>1</v>
      </c>
      <c r="I1977" s="1">
        <v>3</v>
      </c>
      <c r="J1977" s="1">
        <v>5</v>
      </c>
    </row>
    <row r="1978" spans="1:10" x14ac:dyDescent="0.2">
      <c r="A1978" s="1">
        <v>2124</v>
      </c>
      <c r="B1978" s="1">
        <v>0</v>
      </c>
      <c r="C1978" s="1">
        <v>18</v>
      </c>
      <c r="D1978" s="1">
        <v>5</v>
      </c>
      <c r="E1978" s="1">
        <v>3</v>
      </c>
      <c r="F1978" s="1">
        <v>7</v>
      </c>
      <c r="G1978" s="1">
        <v>5</v>
      </c>
      <c r="H1978" s="1">
        <v>0</v>
      </c>
      <c r="I1978" s="1">
        <v>0</v>
      </c>
      <c r="J1978" s="1">
        <v>5</v>
      </c>
    </row>
    <row r="1979" spans="1:10" x14ac:dyDescent="0.2">
      <c r="A1979" s="1">
        <v>2116</v>
      </c>
      <c r="B1979" s="1">
        <v>0</v>
      </c>
      <c r="C1979" s="1">
        <v>12</v>
      </c>
      <c r="D1979" s="1">
        <v>2</v>
      </c>
      <c r="E1979" s="1">
        <v>2</v>
      </c>
      <c r="F1979" s="1">
        <v>8</v>
      </c>
      <c r="G1979" s="1">
        <v>5</v>
      </c>
      <c r="H1979" s="1">
        <v>0</v>
      </c>
      <c r="I1979" s="1">
        <v>2</v>
      </c>
      <c r="J1979" s="1">
        <v>5</v>
      </c>
    </row>
    <row r="1980" spans="1:10" x14ac:dyDescent="0.2">
      <c r="A1980" s="1">
        <v>1832</v>
      </c>
      <c r="B1980" s="1">
        <v>0</v>
      </c>
      <c r="C1980" s="1">
        <v>19</v>
      </c>
      <c r="D1980" s="1">
        <v>5</v>
      </c>
      <c r="E1980" s="1">
        <v>2</v>
      </c>
      <c r="F1980" s="1">
        <v>8</v>
      </c>
      <c r="G1980" s="1">
        <v>5</v>
      </c>
      <c r="H1980" s="1">
        <v>1</v>
      </c>
      <c r="I1980" s="1">
        <v>2</v>
      </c>
      <c r="J1980" s="1">
        <v>5</v>
      </c>
    </row>
    <row r="1981" spans="1:10" x14ac:dyDescent="0.2">
      <c r="A1981" s="1">
        <v>2417</v>
      </c>
      <c r="B1981" s="1">
        <v>0</v>
      </c>
      <c r="C1981" s="1">
        <v>20</v>
      </c>
      <c r="D1981" s="1">
        <v>2</v>
      </c>
      <c r="E1981" s="1">
        <v>2</v>
      </c>
      <c r="F1981" s="1">
        <v>8</v>
      </c>
      <c r="G1981" s="1">
        <v>5</v>
      </c>
      <c r="H1981" s="1">
        <v>1</v>
      </c>
      <c r="I1981" s="1">
        <v>3</v>
      </c>
      <c r="J1981" s="1">
        <v>5</v>
      </c>
    </row>
    <row r="1982" spans="1:10" x14ac:dyDescent="0.2">
      <c r="A1982" s="1">
        <v>1941</v>
      </c>
      <c r="B1982" s="1">
        <v>0</v>
      </c>
      <c r="C1982" s="1">
        <v>16</v>
      </c>
      <c r="D1982" s="1">
        <v>4</v>
      </c>
      <c r="E1982" s="1">
        <v>3</v>
      </c>
      <c r="F1982" s="1">
        <v>8</v>
      </c>
      <c r="G1982" s="1">
        <v>5</v>
      </c>
      <c r="H1982" s="1">
        <v>0</v>
      </c>
      <c r="I1982" s="1">
        <v>2</v>
      </c>
      <c r="J1982" s="1">
        <v>5</v>
      </c>
    </row>
    <row r="1983" spans="1:10" x14ac:dyDescent="0.2">
      <c r="A1983" s="1">
        <v>797</v>
      </c>
      <c r="B1983" s="1">
        <v>0</v>
      </c>
      <c r="C1983" s="1">
        <v>18</v>
      </c>
      <c r="D1983" s="1">
        <v>5</v>
      </c>
      <c r="E1983" s="1">
        <v>3</v>
      </c>
      <c r="F1983" s="1">
        <v>8</v>
      </c>
      <c r="G1983" s="1">
        <v>5</v>
      </c>
      <c r="H1983" s="1">
        <v>0</v>
      </c>
      <c r="I1983" s="1">
        <v>3</v>
      </c>
      <c r="J1983" s="1">
        <v>5</v>
      </c>
    </row>
    <row r="1984" spans="1:10" x14ac:dyDescent="0.2">
      <c r="A1984" s="1">
        <v>2074</v>
      </c>
      <c r="B1984" s="1">
        <v>0</v>
      </c>
      <c r="C1984" s="1">
        <v>7</v>
      </c>
      <c r="D1984" s="1">
        <v>5</v>
      </c>
      <c r="E1984" s="1">
        <v>2</v>
      </c>
      <c r="F1984" s="1">
        <v>9</v>
      </c>
      <c r="G1984" s="1">
        <v>5</v>
      </c>
      <c r="H1984" s="1">
        <v>1</v>
      </c>
      <c r="I1984" s="1">
        <v>2</v>
      </c>
      <c r="J1984" s="1">
        <v>5</v>
      </c>
    </row>
    <row r="1985" spans="1:10" x14ac:dyDescent="0.2">
      <c r="A1985" s="1">
        <v>1782</v>
      </c>
      <c r="B1985" s="1">
        <v>0</v>
      </c>
      <c r="C1985" s="1">
        <v>11</v>
      </c>
      <c r="D1985" s="1">
        <v>3</v>
      </c>
      <c r="E1985" s="1">
        <v>2</v>
      </c>
      <c r="F1985" s="1">
        <v>9</v>
      </c>
      <c r="G1985" s="1">
        <v>5</v>
      </c>
      <c r="H1985" s="1">
        <v>0</v>
      </c>
      <c r="I1985" s="1">
        <v>0</v>
      </c>
      <c r="J1985" s="1">
        <v>5</v>
      </c>
    </row>
    <row r="1986" spans="1:10" x14ac:dyDescent="0.2">
      <c r="A1986" s="1">
        <v>63</v>
      </c>
      <c r="B1986" s="1">
        <v>0</v>
      </c>
      <c r="C1986" s="1">
        <v>12</v>
      </c>
      <c r="D1986" s="1">
        <v>2</v>
      </c>
      <c r="E1986" s="1">
        <v>2</v>
      </c>
      <c r="F1986" s="1">
        <v>9</v>
      </c>
      <c r="G1986" s="1">
        <v>5</v>
      </c>
      <c r="H1986" s="1">
        <v>0</v>
      </c>
      <c r="I1986" s="1">
        <v>2</v>
      </c>
      <c r="J1986" s="1">
        <v>5</v>
      </c>
    </row>
    <row r="1987" spans="1:10" x14ac:dyDescent="0.2">
      <c r="A1987" s="1">
        <v>549</v>
      </c>
      <c r="B1987" s="1">
        <v>0</v>
      </c>
      <c r="C1987" s="1">
        <v>15</v>
      </c>
      <c r="D1987" s="1">
        <v>4</v>
      </c>
      <c r="E1987" s="1">
        <v>2</v>
      </c>
      <c r="F1987" s="1">
        <v>9</v>
      </c>
      <c r="G1987" s="1">
        <v>5</v>
      </c>
      <c r="H1987" s="1">
        <v>0</v>
      </c>
      <c r="I1987" s="1">
        <v>0</v>
      </c>
      <c r="J1987" s="1">
        <v>5</v>
      </c>
    </row>
    <row r="1988" spans="1:10" x14ac:dyDescent="0.2">
      <c r="A1988" s="1">
        <v>1211</v>
      </c>
      <c r="B1988" s="1">
        <v>0</v>
      </c>
      <c r="C1988" s="1">
        <v>15</v>
      </c>
      <c r="D1988" s="1">
        <v>3</v>
      </c>
      <c r="E1988" s="1">
        <v>2</v>
      </c>
      <c r="F1988" s="1">
        <v>9</v>
      </c>
      <c r="G1988" s="1">
        <v>5</v>
      </c>
      <c r="H1988" s="1">
        <v>1</v>
      </c>
      <c r="I1988" s="1">
        <v>1</v>
      </c>
      <c r="J1988" s="1">
        <v>5</v>
      </c>
    </row>
    <row r="1989" spans="1:10" x14ac:dyDescent="0.2">
      <c r="A1989" s="1">
        <v>1991</v>
      </c>
      <c r="B1989" s="1">
        <v>0</v>
      </c>
      <c r="C1989" s="1">
        <v>16</v>
      </c>
      <c r="D1989" s="1">
        <v>4</v>
      </c>
      <c r="E1989" s="1">
        <v>2</v>
      </c>
      <c r="F1989" s="1">
        <v>9</v>
      </c>
      <c r="G1989" s="1">
        <v>5</v>
      </c>
      <c r="H1989" s="1">
        <v>0</v>
      </c>
      <c r="I1989" s="1">
        <v>2</v>
      </c>
      <c r="J1989" s="1">
        <v>5</v>
      </c>
    </row>
    <row r="1990" spans="1:10" x14ac:dyDescent="0.2">
      <c r="A1990" s="1">
        <v>10</v>
      </c>
      <c r="B1990" s="1">
        <v>0</v>
      </c>
      <c r="C1990" s="1">
        <v>19</v>
      </c>
      <c r="D1990" s="1">
        <v>2</v>
      </c>
      <c r="E1990" s="1">
        <v>2</v>
      </c>
      <c r="F1990" s="1">
        <v>9</v>
      </c>
      <c r="G1990" s="1">
        <v>5</v>
      </c>
      <c r="H1990" s="1">
        <v>0</v>
      </c>
      <c r="I1990" s="1">
        <v>0</v>
      </c>
      <c r="J1990" s="1">
        <v>5</v>
      </c>
    </row>
    <row r="1991" spans="1:10" x14ac:dyDescent="0.2">
      <c r="A1991" s="1">
        <v>1424</v>
      </c>
      <c r="B1991" s="1">
        <v>0</v>
      </c>
      <c r="C1991" s="1">
        <v>20</v>
      </c>
      <c r="D1991" s="1">
        <v>4</v>
      </c>
      <c r="E1991" s="1">
        <v>1</v>
      </c>
      <c r="F1991" s="1">
        <v>1</v>
      </c>
      <c r="G1991" s="1">
        <v>6</v>
      </c>
      <c r="H1991" s="1">
        <v>0</v>
      </c>
      <c r="I1991" s="1">
        <v>2</v>
      </c>
      <c r="J1991" s="1">
        <v>5</v>
      </c>
    </row>
    <row r="1992" spans="1:10" x14ac:dyDescent="0.2">
      <c r="A1992" s="1">
        <v>667</v>
      </c>
      <c r="B1992" s="1">
        <v>0</v>
      </c>
      <c r="C1992" s="1">
        <v>5</v>
      </c>
      <c r="D1992" s="1">
        <v>4</v>
      </c>
      <c r="E1992" s="1">
        <v>2</v>
      </c>
      <c r="F1992" s="1">
        <v>1</v>
      </c>
      <c r="G1992" s="1">
        <v>6</v>
      </c>
      <c r="H1992" s="1">
        <v>0</v>
      </c>
      <c r="I1992" s="1">
        <v>1</v>
      </c>
      <c r="J1992" s="1">
        <v>5</v>
      </c>
    </row>
    <row r="1993" spans="1:10" x14ac:dyDescent="0.2">
      <c r="A1993" s="1">
        <v>972</v>
      </c>
      <c r="B1993" s="1">
        <v>0</v>
      </c>
      <c r="C1993" s="1">
        <v>6</v>
      </c>
      <c r="D1993" s="1">
        <v>3</v>
      </c>
      <c r="E1993" s="1">
        <v>2</v>
      </c>
      <c r="F1993" s="1">
        <v>1</v>
      </c>
      <c r="G1993" s="1">
        <v>6</v>
      </c>
      <c r="H1993" s="1">
        <v>1</v>
      </c>
      <c r="I1993" s="1">
        <v>1</v>
      </c>
      <c r="J1993" s="1">
        <v>5</v>
      </c>
    </row>
    <row r="1994" spans="1:10" x14ac:dyDescent="0.2">
      <c r="A1994" s="1">
        <v>7</v>
      </c>
      <c r="B1994" s="1">
        <v>0</v>
      </c>
      <c r="C1994" s="1">
        <v>7</v>
      </c>
      <c r="D1994" s="1">
        <v>5</v>
      </c>
      <c r="E1994" s="1">
        <v>2</v>
      </c>
      <c r="F1994" s="1">
        <v>1</v>
      </c>
      <c r="G1994" s="1">
        <v>6</v>
      </c>
      <c r="H1994" s="1">
        <v>1</v>
      </c>
      <c r="I1994" s="1">
        <v>3</v>
      </c>
      <c r="J1994" s="1">
        <v>5</v>
      </c>
    </row>
    <row r="1995" spans="1:10" x14ac:dyDescent="0.2">
      <c r="A1995" s="1">
        <v>2388</v>
      </c>
      <c r="B1995" s="1">
        <v>0</v>
      </c>
      <c r="C1995" s="1">
        <v>15</v>
      </c>
      <c r="D1995" s="1">
        <v>4</v>
      </c>
      <c r="E1995" s="1">
        <v>2</v>
      </c>
      <c r="F1995" s="1">
        <v>1</v>
      </c>
      <c r="G1995" s="1">
        <v>6</v>
      </c>
      <c r="H1995" s="1">
        <v>1</v>
      </c>
      <c r="I1995" s="1">
        <v>1</v>
      </c>
      <c r="J1995" s="1">
        <v>5</v>
      </c>
    </row>
    <row r="1996" spans="1:10" x14ac:dyDescent="0.2">
      <c r="A1996" s="1">
        <v>1060</v>
      </c>
      <c r="B1996" s="1">
        <v>0</v>
      </c>
      <c r="C1996" s="1">
        <v>17</v>
      </c>
      <c r="D1996" s="1">
        <v>1</v>
      </c>
      <c r="E1996" s="1">
        <v>2</v>
      </c>
      <c r="F1996" s="1">
        <v>1</v>
      </c>
      <c r="G1996" s="1">
        <v>6</v>
      </c>
      <c r="H1996" s="1">
        <v>0</v>
      </c>
      <c r="I1996" s="1">
        <v>2</v>
      </c>
      <c r="J1996" s="1">
        <v>5</v>
      </c>
    </row>
    <row r="1997" spans="1:10" x14ac:dyDescent="0.2">
      <c r="A1997" s="1">
        <v>1974</v>
      </c>
      <c r="B1997" s="1">
        <v>0</v>
      </c>
      <c r="C1997" s="1">
        <v>19</v>
      </c>
      <c r="D1997" s="1">
        <v>3</v>
      </c>
      <c r="E1997" s="1">
        <v>2</v>
      </c>
      <c r="F1997" s="1">
        <v>1</v>
      </c>
      <c r="G1997" s="1">
        <v>6</v>
      </c>
      <c r="H1997" s="1">
        <v>0</v>
      </c>
      <c r="I1997" s="1">
        <v>2</v>
      </c>
      <c r="J1997" s="1">
        <v>5</v>
      </c>
    </row>
    <row r="1998" spans="1:10" x14ac:dyDescent="0.2">
      <c r="A1998" s="1">
        <v>1442</v>
      </c>
      <c r="B1998" s="1">
        <v>0</v>
      </c>
      <c r="C1998" s="1">
        <v>9</v>
      </c>
      <c r="D1998" s="1">
        <v>5</v>
      </c>
      <c r="E1998" s="1">
        <v>3</v>
      </c>
      <c r="F1998" s="1">
        <v>1</v>
      </c>
      <c r="G1998" s="1">
        <v>6</v>
      </c>
      <c r="H1998" s="1">
        <v>1</v>
      </c>
      <c r="I1998" s="1">
        <v>3</v>
      </c>
      <c r="J1998" s="1">
        <v>5</v>
      </c>
    </row>
    <row r="1999" spans="1:10" x14ac:dyDescent="0.2">
      <c r="A1999" s="1">
        <v>1223</v>
      </c>
      <c r="B1999" s="1">
        <v>0</v>
      </c>
      <c r="C1999" s="1">
        <v>18</v>
      </c>
      <c r="D1999" s="1">
        <v>5</v>
      </c>
      <c r="E1999" s="1">
        <v>3</v>
      </c>
      <c r="F1999" s="1">
        <v>1</v>
      </c>
      <c r="G1999" s="1">
        <v>6</v>
      </c>
      <c r="H1999" s="1">
        <v>0</v>
      </c>
      <c r="I1999" s="1">
        <v>3</v>
      </c>
      <c r="J1999" s="1">
        <v>5</v>
      </c>
    </row>
    <row r="2000" spans="1:10" x14ac:dyDescent="0.2">
      <c r="A2000" s="1">
        <v>1012</v>
      </c>
      <c r="B2000" s="1">
        <v>0</v>
      </c>
      <c r="C2000" s="1">
        <v>19</v>
      </c>
      <c r="D2000" s="1">
        <v>4</v>
      </c>
      <c r="E2000" s="1">
        <v>3</v>
      </c>
      <c r="F2000" s="1">
        <v>1</v>
      </c>
      <c r="G2000" s="1">
        <v>6</v>
      </c>
      <c r="H2000" s="1">
        <v>0</v>
      </c>
      <c r="I2000" s="1">
        <v>1</v>
      </c>
      <c r="J2000" s="1">
        <v>5</v>
      </c>
    </row>
    <row r="2001" spans="1:10" x14ac:dyDescent="0.2">
      <c r="A2001" s="1">
        <v>1204</v>
      </c>
      <c r="B2001" s="1">
        <v>0</v>
      </c>
      <c r="C2001" s="1">
        <v>17</v>
      </c>
      <c r="D2001" s="1">
        <v>3</v>
      </c>
      <c r="E2001" s="1">
        <v>1</v>
      </c>
      <c r="F2001" s="1">
        <v>2</v>
      </c>
      <c r="G2001" s="1">
        <v>6</v>
      </c>
      <c r="H2001" s="1">
        <v>0</v>
      </c>
      <c r="I2001" s="1">
        <v>0</v>
      </c>
      <c r="J2001" s="1">
        <v>5</v>
      </c>
    </row>
    <row r="2002" spans="1:10" x14ac:dyDescent="0.2">
      <c r="A2002" s="1">
        <v>1549</v>
      </c>
      <c r="B2002" s="1">
        <v>0</v>
      </c>
      <c r="C2002" s="1">
        <v>14</v>
      </c>
      <c r="D2002" s="1">
        <v>1</v>
      </c>
      <c r="E2002" s="1">
        <v>2</v>
      </c>
      <c r="F2002" s="1">
        <v>2</v>
      </c>
      <c r="G2002" s="1">
        <v>6</v>
      </c>
      <c r="H2002" s="1">
        <v>0</v>
      </c>
      <c r="I2002" s="1">
        <v>0</v>
      </c>
      <c r="J2002" s="1">
        <v>5</v>
      </c>
    </row>
    <row r="2003" spans="1:10" x14ac:dyDescent="0.2">
      <c r="A2003" s="1">
        <v>888</v>
      </c>
      <c r="B2003" s="1">
        <v>0</v>
      </c>
      <c r="C2003" s="1">
        <v>15</v>
      </c>
      <c r="D2003" s="1">
        <v>5</v>
      </c>
      <c r="E2003" s="1">
        <v>2</v>
      </c>
      <c r="F2003" s="1">
        <v>2</v>
      </c>
      <c r="G2003" s="1">
        <v>6</v>
      </c>
      <c r="H2003" s="1">
        <v>0</v>
      </c>
      <c r="I2003" s="1">
        <v>1</v>
      </c>
      <c r="J2003" s="1">
        <v>5</v>
      </c>
    </row>
    <row r="2004" spans="1:10" x14ac:dyDescent="0.2">
      <c r="A2004" s="1">
        <v>821</v>
      </c>
      <c r="B2004" s="1">
        <v>0</v>
      </c>
      <c r="C2004" s="1">
        <v>17</v>
      </c>
      <c r="D2004" s="1">
        <v>2</v>
      </c>
      <c r="E2004" s="1">
        <v>3</v>
      </c>
      <c r="F2004" s="1">
        <v>2</v>
      </c>
      <c r="G2004" s="1">
        <v>6</v>
      </c>
      <c r="H2004" s="1">
        <v>1</v>
      </c>
      <c r="I2004" s="1">
        <v>2</v>
      </c>
      <c r="J2004" s="1">
        <v>5</v>
      </c>
    </row>
    <row r="2005" spans="1:10" x14ac:dyDescent="0.2">
      <c r="A2005" s="1">
        <v>1518</v>
      </c>
      <c r="B2005" s="1">
        <v>0</v>
      </c>
      <c r="C2005" s="1">
        <v>5</v>
      </c>
      <c r="D2005" s="1">
        <v>4</v>
      </c>
      <c r="E2005" s="1">
        <v>1</v>
      </c>
      <c r="F2005" s="1">
        <v>3</v>
      </c>
      <c r="G2005" s="1">
        <v>6</v>
      </c>
      <c r="H2005" s="1">
        <v>1</v>
      </c>
      <c r="I2005" s="1">
        <v>3</v>
      </c>
      <c r="J2005" s="1">
        <v>5</v>
      </c>
    </row>
    <row r="2006" spans="1:10" x14ac:dyDescent="0.2">
      <c r="A2006" s="1">
        <v>681</v>
      </c>
      <c r="B2006" s="1">
        <v>0</v>
      </c>
      <c r="C2006" s="1">
        <v>11</v>
      </c>
      <c r="D2006" s="1">
        <v>3</v>
      </c>
      <c r="E2006" s="1">
        <v>1</v>
      </c>
      <c r="F2006" s="1">
        <v>3</v>
      </c>
      <c r="G2006" s="1">
        <v>6</v>
      </c>
      <c r="H2006" s="1">
        <v>0</v>
      </c>
      <c r="I2006" s="1">
        <v>3</v>
      </c>
      <c r="J2006" s="1">
        <v>5</v>
      </c>
    </row>
    <row r="2007" spans="1:10" x14ac:dyDescent="0.2">
      <c r="A2007" s="1">
        <v>1088</v>
      </c>
      <c r="B2007" s="1">
        <v>0</v>
      </c>
      <c r="C2007" s="1">
        <v>12</v>
      </c>
      <c r="D2007" s="1">
        <v>2</v>
      </c>
      <c r="E2007" s="1">
        <v>1</v>
      </c>
      <c r="F2007" s="1">
        <v>3</v>
      </c>
      <c r="G2007" s="1">
        <v>6</v>
      </c>
      <c r="H2007" s="1">
        <v>0</v>
      </c>
      <c r="I2007" s="1">
        <v>2</v>
      </c>
      <c r="J2007" s="1">
        <v>5</v>
      </c>
    </row>
    <row r="2008" spans="1:10" x14ac:dyDescent="0.2">
      <c r="A2008" s="1">
        <v>2303</v>
      </c>
      <c r="B2008" s="1">
        <v>0</v>
      </c>
      <c r="C2008" s="1">
        <v>7</v>
      </c>
      <c r="D2008" s="1">
        <v>5</v>
      </c>
      <c r="E2008" s="1">
        <v>2</v>
      </c>
      <c r="F2008" s="1">
        <v>3</v>
      </c>
      <c r="G2008" s="1">
        <v>6</v>
      </c>
      <c r="H2008" s="1">
        <v>1</v>
      </c>
      <c r="I2008" s="1">
        <v>1</v>
      </c>
      <c r="J2008" s="1">
        <v>5</v>
      </c>
    </row>
    <row r="2009" spans="1:10" x14ac:dyDescent="0.2">
      <c r="A2009" s="1">
        <v>941</v>
      </c>
      <c r="B2009" s="1">
        <v>0</v>
      </c>
      <c r="C2009" s="1">
        <v>11</v>
      </c>
      <c r="D2009" s="1">
        <v>2</v>
      </c>
      <c r="E2009" s="1">
        <v>2</v>
      </c>
      <c r="F2009" s="1">
        <v>3</v>
      </c>
      <c r="G2009" s="1">
        <v>6</v>
      </c>
      <c r="H2009" s="1">
        <v>1</v>
      </c>
      <c r="I2009" s="1">
        <v>2</v>
      </c>
      <c r="J2009" s="1">
        <v>5</v>
      </c>
    </row>
    <row r="2010" spans="1:10" x14ac:dyDescent="0.2">
      <c r="A2010" s="1">
        <v>1939</v>
      </c>
      <c r="B2010" s="1">
        <v>0</v>
      </c>
      <c r="C2010" s="1">
        <v>12</v>
      </c>
      <c r="D2010" s="1">
        <v>5</v>
      </c>
      <c r="E2010" s="1">
        <v>2</v>
      </c>
      <c r="F2010" s="1">
        <v>3</v>
      </c>
      <c r="G2010" s="1">
        <v>6</v>
      </c>
      <c r="H2010" s="1">
        <v>1</v>
      </c>
      <c r="I2010" s="1">
        <v>1</v>
      </c>
      <c r="J2010" s="1">
        <v>5</v>
      </c>
    </row>
    <row r="2011" spans="1:10" x14ac:dyDescent="0.2">
      <c r="A2011" s="1">
        <v>894</v>
      </c>
      <c r="B2011" s="1">
        <v>0</v>
      </c>
      <c r="C2011" s="1">
        <v>19</v>
      </c>
      <c r="D2011" s="1">
        <v>1</v>
      </c>
      <c r="E2011" s="1">
        <v>2</v>
      </c>
      <c r="F2011" s="1">
        <v>3</v>
      </c>
      <c r="G2011" s="1">
        <v>6</v>
      </c>
      <c r="H2011" s="1">
        <v>0</v>
      </c>
      <c r="I2011" s="1">
        <v>1</v>
      </c>
      <c r="J2011" s="1">
        <v>5</v>
      </c>
    </row>
    <row r="2012" spans="1:10" x14ac:dyDescent="0.2">
      <c r="A2012" s="1">
        <v>661</v>
      </c>
      <c r="B2012" s="1">
        <v>0</v>
      </c>
      <c r="C2012" s="1">
        <v>7</v>
      </c>
      <c r="D2012" s="1">
        <v>5</v>
      </c>
      <c r="E2012" s="1">
        <v>3</v>
      </c>
      <c r="F2012" s="1">
        <v>3</v>
      </c>
      <c r="G2012" s="1">
        <v>6</v>
      </c>
      <c r="H2012" s="1">
        <v>0</v>
      </c>
      <c r="I2012" s="1">
        <v>1</v>
      </c>
      <c r="J2012" s="1">
        <v>5</v>
      </c>
    </row>
    <row r="2013" spans="1:10" x14ac:dyDescent="0.2">
      <c r="A2013" s="1">
        <v>1508</v>
      </c>
      <c r="B2013" s="1">
        <v>0</v>
      </c>
      <c r="C2013" s="1">
        <v>8</v>
      </c>
      <c r="D2013" s="1">
        <v>1</v>
      </c>
      <c r="E2013" s="1">
        <v>3</v>
      </c>
      <c r="F2013" s="1">
        <v>3</v>
      </c>
      <c r="G2013" s="1">
        <v>6</v>
      </c>
      <c r="H2013" s="1">
        <v>1</v>
      </c>
      <c r="I2013" s="1">
        <v>2</v>
      </c>
      <c r="J2013" s="1">
        <v>5</v>
      </c>
    </row>
    <row r="2014" spans="1:10" x14ac:dyDescent="0.2">
      <c r="A2014" s="1">
        <v>464</v>
      </c>
      <c r="B2014" s="1">
        <v>0</v>
      </c>
      <c r="C2014" s="1">
        <v>16</v>
      </c>
      <c r="D2014" s="1">
        <v>3</v>
      </c>
      <c r="E2014" s="1">
        <v>3</v>
      </c>
      <c r="F2014" s="1">
        <v>3</v>
      </c>
      <c r="G2014" s="1">
        <v>6</v>
      </c>
      <c r="H2014" s="1">
        <v>0</v>
      </c>
      <c r="I2014" s="1">
        <v>1</v>
      </c>
      <c r="J2014" s="1">
        <v>5</v>
      </c>
    </row>
    <row r="2015" spans="1:10" x14ac:dyDescent="0.2">
      <c r="A2015" s="1">
        <v>710</v>
      </c>
      <c r="B2015" s="1">
        <v>0</v>
      </c>
      <c r="C2015" s="1">
        <v>16</v>
      </c>
      <c r="D2015" s="1">
        <v>2</v>
      </c>
      <c r="E2015" s="1">
        <v>3</v>
      </c>
      <c r="F2015" s="1">
        <v>4</v>
      </c>
      <c r="G2015" s="1">
        <v>6</v>
      </c>
      <c r="H2015" s="1">
        <v>0</v>
      </c>
      <c r="I2015" s="1">
        <v>2</v>
      </c>
      <c r="J2015" s="1">
        <v>5</v>
      </c>
    </row>
    <row r="2016" spans="1:10" x14ac:dyDescent="0.2">
      <c r="A2016" s="1">
        <v>1776</v>
      </c>
      <c r="B2016" s="1">
        <v>0</v>
      </c>
      <c r="C2016" s="1">
        <v>6</v>
      </c>
      <c r="D2016" s="1">
        <v>2</v>
      </c>
      <c r="E2016" s="1">
        <v>2</v>
      </c>
      <c r="F2016" s="1">
        <v>5</v>
      </c>
      <c r="G2016" s="1">
        <v>6</v>
      </c>
      <c r="H2016" s="1">
        <v>0</v>
      </c>
      <c r="I2016" s="1">
        <v>0</v>
      </c>
      <c r="J2016" s="1">
        <v>5</v>
      </c>
    </row>
    <row r="2017" spans="1:10" x14ac:dyDescent="0.2">
      <c r="A2017" s="1">
        <v>969</v>
      </c>
      <c r="B2017" s="1">
        <v>0</v>
      </c>
      <c r="C2017" s="1">
        <v>9</v>
      </c>
      <c r="D2017" s="1">
        <v>2</v>
      </c>
      <c r="E2017" s="1">
        <v>2</v>
      </c>
      <c r="F2017" s="1">
        <v>5</v>
      </c>
      <c r="G2017" s="1">
        <v>6</v>
      </c>
      <c r="H2017" s="1">
        <v>1</v>
      </c>
      <c r="I2017" s="1">
        <v>0</v>
      </c>
      <c r="J2017" s="1">
        <v>5</v>
      </c>
    </row>
    <row r="2018" spans="1:10" x14ac:dyDescent="0.2">
      <c r="A2018" s="1">
        <v>331</v>
      </c>
      <c r="B2018" s="1">
        <v>0</v>
      </c>
      <c r="C2018" s="1">
        <v>19</v>
      </c>
      <c r="D2018" s="1">
        <v>4</v>
      </c>
      <c r="E2018" s="1">
        <v>2</v>
      </c>
      <c r="F2018" s="1">
        <v>5</v>
      </c>
      <c r="G2018" s="1">
        <v>6</v>
      </c>
      <c r="H2018" s="1">
        <v>0</v>
      </c>
      <c r="I2018" s="1">
        <v>1</v>
      </c>
      <c r="J2018" s="1">
        <v>5</v>
      </c>
    </row>
    <row r="2019" spans="1:10" x14ac:dyDescent="0.2">
      <c r="A2019" s="1">
        <v>343</v>
      </c>
      <c r="B2019" s="1">
        <v>0</v>
      </c>
      <c r="C2019" s="1">
        <v>19</v>
      </c>
      <c r="D2019" s="1">
        <v>1</v>
      </c>
      <c r="E2019" s="1">
        <v>3</v>
      </c>
      <c r="F2019" s="1">
        <v>5</v>
      </c>
      <c r="G2019" s="1">
        <v>6</v>
      </c>
      <c r="H2019" s="1">
        <v>1</v>
      </c>
      <c r="I2019" s="1">
        <v>0</v>
      </c>
      <c r="J2019" s="1">
        <v>5</v>
      </c>
    </row>
    <row r="2020" spans="1:10" x14ac:dyDescent="0.2">
      <c r="A2020" s="1">
        <v>1972</v>
      </c>
      <c r="B2020" s="1">
        <v>0</v>
      </c>
      <c r="C2020" s="1">
        <v>8</v>
      </c>
      <c r="D2020" s="1">
        <v>5</v>
      </c>
      <c r="E2020" s="1">
        <v>2</v>
      </c>
      <c r="F2020" s="1">
        <v>6</v>
      </c>
      <c r="G2020" s="1">
        <v>6</v>
      </c>
      <c r="H2020" s="1">
        <v>0</v>
      </c>
      <c r="I2020" s="1">
        <v>0</v>
      </c>
      <c r="J2020" s="1">
        <v>5</v>
      </c>
    </row>
    <row r="2021" spans="1:10" x14ac:dyDescent="0.2">
      <c r="A2021" s="1">
        <v>1801</v>
      </c>
      <c r="B2021" s="1">
        <v>0</v>
      </c>
      <c r="C2021" s="1">
        <v>16</v>
      </c>
      <c r="D2021" s="1">
        <v>3</v>
      </c>
      <c r="E2021" s="1">
        <v>2</v>
      </c>
      <c r="F2021" s="1">
        <v>6</v>
      </c>
      <c r="G2021" s="1">
        <v>6</v>
      </c>
      <c r="H2021" s="1">
        <v>1</v>
      </c>
      <c r="I2021" s="1">
        <v>1</v>
      </c>
      <c r="J2021" s="1">
        <v>5</v>
      </c>
    </row>
    <row r="2022" spans="1:10" x14ac:dyDescent="0.2">
      <c r="A2022" s="1">
        <v>1326</v>
      </c>
      <c r="B2022" s="1">
        <v>0</v>
      </c>
      <c r="C2022" s="1">
        <v>12</v>
      </c>
      <c r="D2022" s="1">
        <v>4</v>
      </c>
      <c r="E2022" s="1">
        <v>3</v>
      </c>
      <c r="F2022" s="1">
        <v>6</v>
      </c>
      <c r="G2022" s="1">
        <v>6</v>
      </c>
      <c r="H2022" s="1">
        <v>1</v>
      </c>
      <c r="I2022" s="1">
        <v>3</v>
      </c>
      <c r="J2022" s="1">
        <v>5</v>
      </c>
    </row>
    <row r="2023" spans="1:10" x14ac:dyDescent="0.2">
      <c r="A2023" s="1">
        <v>519</v>
      </c>
      <c r="B2023" s="1">
        <v>0</v>
      </c>
      <c r="C2023" s="1">
        <v>19</v>
      </c>
      <c r="D2023" s="1">
        <v>5</v>
      </c>
      <c r="E2023" s="1">
        <v>3</v>
      </c>
      <c r="F2023" s="1">
        <v>6</v>
      </c>
      <c r="G2023" s="1">
        <v>6</v>
      </c>
      <c r="H2023" s="1">
        <v>0</v>
      </c>
      <c r="I2023" s="1">
        <v>1</v>
      </c>
      <c r="J2023" s="1">
        <v>5</v>
      </c>
    </row>
    <row r="2024" spans="1:10" x14ac:dyDescent="0.2">
      <c r="A2024" s="1">
        <v>2055</v>
      </c>
      <c r="B2024" s="1">
        <v>0</v>
      </c>
      <c r="C2024" s="1">
        <v>19</v>
      </c>
      <c r="D2024" s="1">
        <v>2</v>
      </c>
      <c r="E2024" s="1">
        <v>3</v>
      </c>
      <c r="F2024" s="1">
        <v>6</v>
      </c>
      <c r="G2024" s="1">
        <v>6</v>
      </c>
      <c r="H2024" s="1">
        <v>0</v>
      </c>
      <c r="I2024" s="1">
        <v>0</v>
      </c>
      <c r="J2024" s="1">
        <v>5</v>
      </c>
    </row>
    <row r="2025" spans="1:10" x14ac:dyDescent="0.2">
      <c r="A2025" s="1">
        <v>425</v>
      </c>
      <c r="B2025" s="1">
        <v>0</v>
      </c>
      <c r="C2025" s="1">
        <v>6</v>
      </c>
      <c r="D2025" s="1">
        <v>4</v>
      </c>
      <c r="E2025" s="1">
        <v>3</v>
      </c>
      <c r="F2025" s="1">
        <v>7</v>
      </c>
      <c r="G2025" s="1">
        <v>6</v>
      </c>
      <c r="H2025" s="1">
        <v>1</v>
      </c>
      <c r="I2025" s="1">
        <v>1</v>
      </c>
      <c r="J2025" s="1">
        <v>5</v>
      </c>
    </row>
    <row r="2026" spans="1:10" x14ac:dyDescent="0.2">
      <c r="A2026" s="1">
        <v>1884</v>
      </c>
      <c r="B2026" s="1">
        <v>0</v>
      </c>
      <c r="C2026" s="1">
        <v>7</v>
      </c>
      <c r="D2026" s="1">
        <v>3</v>
      </c>
      <c r="E2026" s="1">
        <v>3</v>
      </c>
      <c r="F2026" s="1">
        <v>7</v>
      </c>
      <c r="G2026" s="1">
        <v>6</v>
      </c>
      <c r="H2026" s="1">
        <v>0</v>
      </c>
      <c r="I2026" s="1">
        <v>1</v>
      </c>
      <c r="J2026" s="1">
        <v>5</v>
      </c>
    </row>
    <row r="2027" spans="1:10" x14ac:dyDescent="0.2">
      <c r="A2027" s="1">
        <v>2481</v>
      </c>
      <c r="B2027" s="1">
        <v>0</v>
      </c>
      <c r="C2027" s="1">
        <v>15</v>
      </c>
      <c r="D2027" s="1">
        <v>3</v>
      </c>
      <c r="E2027" s="1">
        <v>3</v>
      </c>
      <c r="F2027" s="1">
        <v>7</v>
      </c>
      <c r="G2027" s="1">
        <v>6</v>
      </c>
      <c r="H2027" s="1">
        <v>1</v>
      </c>
      <c r="I2027" s="1">
        <v>1</v>
      </c>
      <c r="J2027" s="1">
        <v>5</v>
      </c>
    </row>
    <row r="2028" spans="1:10" x14ac:dyDescent="0.2">
      <c r="A2028" s="1">
        <v>2201</v>
      </c>
      <c r="B2028" s="1">
        <v>0</v>
      </c>
      <c r="C2028" s="1">
        <v>12</v>
      </c>
      <c r="D2028" s="1">
        <v>4</v>
      </c>
      <c r="E2028" s="1">
        <v>3</v>
      </c>
      <c r="F2028" s="1">
        <v>8</v>
      </c>
      <c r="G2028" s="1">
        <v>6</v>
      </c>
      <c r="H2028" s="1">
        <v>0</v>
      </c>
      <c r="I2028" s="1">
        <v>3</v>
      </c>
      <c r="J2028" s="1">
        <v>5</v>
      </c>
    </row>
    <row r="2029" spans="1:10" x14ac:dyDescent="0.2">
      <c r="A2029" s="1">
        <v>1670</v>
      </c>
      <c r="B2029" s="1">
        <v>0</v>
      </c>
      <c r="C2029" s="1">
        <v>14</v>
      </c>
      <c r="D2029" s="1">
        <v>1</v>
      </c>
      <c r="E2029" s="1">
        <v>3</v>
      </c>
      <c r="F2029" s="1">
        <v>10</v>
      </c>
      <c r="G2029" s="1">
        <v>6</v>
      </c>
      <c r="H2029" s="1">
        <v>1</v>
      </c>
      <c r="I2029" s="1">
        <v>3</v>
      </c>
      <c r="J2029" s="1">
        <v>5</v>
      </c>
    </row>
    <row r="2030" spans="1:10" x14ac:dyDescent="0.2">
      <c r="A2030" s="1">
        <v>262</v>
      </c>
      <c r="B2030" s="1">
        <v>0</v>
      </c>
      <c r="C2030" s="1">
        <v>5</v>
      </c>
      <c r="D2030" s="1">
        <v>3</v>
      </c>
      <c r="E2030" s="1">
        <v>1</v>
      </c>
      <c r="F2030" s="1">
        <v>1</v>
      </c>
      <c r="G2030" s="1">
        <v>7</v>
      </c>
      <c r="H2030" s="1">
        <v>0</v>
      </c>
      <c r="I2030" s="1">
        <v>1</v>
      </c>
      <c r="J2030" s="1">
        <v>5</v>
      </c>
    </row>
    <row r="2031" spans="1:10" x14ac:dyDescent="0.2">
      <c r="A2031" s="1">
        <v>1423</v>
      </c>
      <c r="B2031" s="1">
        <v>0</v>
      </c>
      <c r="C2031" s="1">
        <v>9</v>
      </c>
      <c r="D2031" s="1">
        <v>2</v>
      </c>
      <c r="E2031" s="1">
        <v>1</v>
      </c>
      <c r="F2031" s="1">
        <v>1</v>
      </c>
      <c r="G2031" s="1">
        <v>7</v>
      </c>
      <c r="H2031" s="1">
        <v>1</v>
      </c>
      <c r="I2031" s="1">
        <v>2</v>
      </c>
      <c r="J2031" s="1">
        <v>5</v>
      </c>
    </row>
    <row r="2032" spans="1:10" x14ac:dyDescent="0.2">
      <c r="A2032" s="1">
        <v>1382</v>
      </c>
      <c r="B2032" s="1">
        <v>0</v>
      </c>
      <c r="C2032" s="1">
        <v>10</v>
      </c>
      <c r="D2032" s="1">
        <v>4</v>
      </c>
      <c r="E2032" s="1">
        <v>1</v>
      </c>
      <c r="F2032" s="1">
        <v>1</v>
      </c>
      <c r="G2032" s="1">
        <v>7</v>
      </c>
      <c r="H2032" s="1">
        <v>0</v>
      </c>
      <c r="I2032" s="1">
        <v>3</v>
      </c>
      <c r="J2032" s="1">
        <v>5</v>
      </c>
    </row>
    <row r="2033" spans="1:10" x14ac:dyDescent="0.2">
      <c r="A2033" s="1">
        <v>1732</v>
      </c>
      <c r="B2033" s="1">
        <v>0</v>
      </c>
      <c r="C2033" s="1">
        <v>11</v>
      </c>
      <c r="D2033" s="1">
        <v>5</v>
      </c>
      <c r="E2033" s="1">
        <v>2</v>
      </c>
      <c r="F2033" s="1">
        <v>1</v>
      </c>
      <c r="G2033" s="1">
        <v>7</v>
      </c>
      <c r="H2033" s="1">
        <v>0</v>
      </c>
      <c r="I2033" s="1">
        <v>0</v>
      </c>
      <c r="J2033" s="1">
        <v>5</v>
      </c>
    </row>
    <row r="2034" spans="1:10" x14ac:dyDescent="0.2">
      <c r="A2034" s="1">
        <v>1746</v>
      </c>
      <c r="B2034" s="1">
        <v>0</v>
      </c>
      <c r="C2034" s="1">
        <v>18</v>
      </c>
      <c r="D2034" s="1">
        <v>1</v>
      </c>
      <c r="E2034" s="1">
        <v>2</v>
      </c>
      <c r="F2034" s="1">
        <v>1</v>
      </c>
      <c r="G2034" s="1">
        <v>7</v>
      </c>
      <c r="H2034" s="1">
        <v>1</v>
      </c>
      <c r="I2034" s="1">
        <v>0</v>
      </c>
      <c r="J2034" s="1">
        <v>5</v>
      </c>
    </row>
    <row r="2035" spans="1:10" x14ac:dyDescent="0.2">
      <c r="A2035" s="1">
        <v>1375</v>
      </c>
      <c r="B2035" s="1">
        <v>0</v>
      </c>
      <c r="C2035" s="1">
        <v>11</v>
      </c>
      <c r="D2035" s="1">
        <v>1</v>
      </c>
      <c r="E2035" s="1">
        <v>2</v>
      </c>
      <c r="F2035" s="1">
        <v>2</v>
      </c>
      <c r="G2035" s="1">
        <v>7</v>
      </c>
      <c r="H2035" s="1">
        <v>0</v>
      </c>
      <c r="I2035" s="1">
        <v>2</v>
      </c>
      <c r="J2035" s="1">
        <v>5</v>
      </c>
    </row>
    <row r="2036" spans="1:10" x14ac:dyDescent="0.2">
      <c r="A2036" s="1">
        <v>2443</v>
      </c>
      <c r="B2036" s="1">
        <v>0</v>
      </c>
      <c r="C2036" s="1">
        <v>17</v>
      </c>
      <c r="D2036" s="1">
        <v>4</v>
      </c>
      <c r="E2036" s="1">
        <v>3</v>
      </c>
      <c r="F2036" s="1">
        <v>2</v>
      </c>
      <c r="G2036" s="1">
        <v>7</v>
      </c>
      <c r="H2036" s="1">
        <v>1</v>
      </c>
      <c r="I2036" s="1">
        <v>2</v>
      </c>
      <c r="J2036" s="1">
        <v>5</v>
      </c>
    </row>
    <row r="2037" spans="1:10" x14ac:dyDescent="0.2">
      <c r="A2037" s="1">
        <v>1631</v>
      </c>
      <c r="B2037" s="1">
        <v>0</v>
      </c>
      <c r="C2037" s="1">
        <v>10</v>
      </c>
      <c r="D2037" s="1">
        <v>5</v>
      </c>
      <c r="E2037" s="1">
        <v>2</v>
      </c>
      <c r="F2037" s="1">
        <v>3</v>
      </c>
      <c r="G2037" s="1">
        <v>7</v>
      </c>
      <c r="H2037" s="1">
        <v>1</v>
      </c>
      <c r="I2037" s="1">
        <v>3</v>
      </c>
      <c r="J2037" s="1">
        <v>5</v>
      </c>
    </row>
    <row r="2038" spans="1:10" x14ac:dyDescent="0.2">
      <c r="A2038" s="1">
        <v>441</v>
      </c>
      <c r="B2038" s="1">
        <v>0</v>
      </c>
      <c r="C2038" s="1">
        <v>14</v>
      </c>
      <c r="D2038" s="1">
        <v>1</v>
      </c>
      <c r="E2038" s="1">
        <v>2</v>
      </c>
      <c r="F2038" s="1">
        <v>3</v>
      </c>
      <c r="G2038" s="1">
        <v>7</v>
      </c>
      <c r="H2038" s="1">
        <v>1</v>
      </c>
      <c r="I2038" s="1">
        <v>2</v>
      </c>
      <c r="J2038" s="1">
        <v>5</v>
      </c>
    </row>
    <row r="2039" spans="1:10" x14ac:dyDescent="0.2">
      <c r="A2039" s="1">
        <v>1696</v>
      </c>
      <c r="B2039" s="1">
        <v>0</v>
      </c>
      <c r="C2039" s="1">
        <v>7</v>
      </c>
      <c r="D2039" s="1">
        <v>4</v>
      </c>
      <c r="E2039" s="1">
        <v>3</v>
      </c>
      <c r="F2039" s="1">
        <v>3</v>
      </c>
      <c r="G2039" s="1">
        <v>7</v>
      </c>
      <c r="H2039" s="1">
        <v>0</v>
      </c>
      <c r="I2039" s="1">
        <v>2</v>
      </c>
      <c r="J2039" s="1">
        <v>5</v>
      </c>
    </row>
    <row r="2040" spans="1:10" x14ac:dyDescent="0.2">
      <c r="A2040" s="1">
        <v>1042</v>
      </c>
      <c r="B2040" s="1">
        <v>0</v>
      </c>
      <c r="C2040" s="1">
        <v>12</v>
      </c>
      <c r="D2040" s="1">
        <v>4</v>
      </c>
      <c r="E2040" s="1">
        <v>3</v>
      </c>
      <c r="F2040" s="1">
        <v>3</v>
      </c>
      <c r="G2040" s="1">
        <v>7</v>
      </c>
      <c r="H2040" s="1">
        <v>0</v>
      </c>
      <c r="I2040" s="1">
        <v>3</v>
      </c>
      <c r="J2040" s="1">
        <v>5</v>
      </c>
    </row>
    <row r="2041" spans="1:10" x14ac:dyDescent="0.2">
      <c r="A2041" s="1">
        <v>1772</v>
      </c>
      <c r="B2041" s="1">
        <v>0</v>
      </c>
      <c r="C2041" s="1">
        <v>12</v>
      </c>
      <c r="D2041" s="1">
        <v>1</v>
      </c>
      <c r="E2041" s="1">
        <v>3</v>
      </c>
      <c r="F2041" s="1">
        <v>3</v>
      </c>
      <c r="G2041" s="1">
        <v>7</v>
      </c>
      <c r="H2041" s="1">
        <v>1</v>
      </c>
      <c r="I2041" s="1">
        <v>1</v>
      </c>
      <c r="J2041" s="1">
        <v>5</v>
      </c>
    </row>
    <row r="2042" spans="1:10" x14ac:dyDescent="0.2">
      <c r="A2042" s="1">
        <v>1779</v>
      </c>
      <c r="B2042" s="1">
        <v>0</v>
      </c>
      <c r="C2042" s="1">
        <v>19</v>
      </c>
      <c r="D2042" s="1">
        <v>1</v>
      </c>
      <c r="E2042" s="1">
        <v>3</v>
      </c>
      <c r="F2042" s="1">
        <v>3</v>
      </c>
      <c r="G2042" s="1">
        <v>7</v>
      </c>
      <c r="H2042" s="1">
        <v>0</v>
      </c>
      <c r="I2042" s="1">
        <v>1</v>
      </c>
      <c r="J2042" s="1">
        <v>5</v>
      </c>
    </row>
    <row r="2043" spans="1:10" x14ac:dyDescent="0.2">
      <c r="A2043" s="1">
        <v>792</v>
      </c>
      <c r="B2043" s="1">
        <v>0</v>
      </c>
      <c r="C2043" s="1">
        <v>6</v>
      </c>
      <c r="D2043" s="1">
        <v>3</v>
      </c>
      <c r="E2043" s="1">
        <v>3</v>
      </c>
      <c r="F2043" s="1">
        <v>4</v>
      </c>
      <c r="G2043" s="1">
        <v>7</v>
      </c>
      <c r="H2043" s="1">
        <v>0</v>
      </c>
      <c r="I2043" s="1">
        <v>3</v>
      </c>
      <c r="J2043" s="1">
        <v>5</v>
      </c>
    </row>
    <row r="2044" spans="1:10" x14ac:dyDescent="0.2">
      <c r="A2044" s="1">
        <v>877</v>
      </c>
      <c r="B2044" s="1">
        <v>0</v>
      </c>
      <c r="C2044" s="1">
        <v>6</v>
      </c>
      <c r="D2044" s="1">
        <v>1</v>
      </c>
      <c r="E2044" s="1">
        <v>3</v>
      </c>
      <c r="F2044" s="1">
        <v>4</v>
      </c>
      <c r="G2044" s="1">
        <v>7</v>
      </c>
      <c r="H2044" s="1">
        <v>0</v>
      </c>
      <c r="I2044" s="1">
        <v>2</v>
      </c>
      <c r="J2044" s="1">
        <v>5</v>
      </c>
    </row>
    <row r="2045" spans="1:10" x14ac:dyDescent="0.2">
      <c r="A2045" s="1">
        <v>2477</v>
      </c>
      <c r="B2045" s="1">
        <v>0</v>
      </c>
      <c r="C2045" s="1">
        <v>7</v>
      </c>
      <c r="D2045" s="1">
        <v>5</v>
      </c>
      <c r="E2045" s="1">
        <v>3</v>
      </c>
      <c r="F2045" s="1">
        <v>4</v>
      </c>
      <c r="G2045" s="1">
        <v>7</v>
      </c>
      <c r="H2045" s="1">
        <v>1</v>
      </c>
      <c r="I2045" s="1">
        <v>3</v>
      </c>
      <c r="J2045" s="1">
        <v>5</v>
      </c>
    </row>
    <row r="2046" spans="1:10" x14ac:dyDescent="0.2">
      <c r="A2046" s="1">
        <v>359</v>
      </c>
      <c r="B2046" s="1">
        <v>0</v>
      </c>
      <c r="C2046" s="1">
        <v>9</v>
      </c>
      <c r="D2046" s="1">
        <v>1</v>
      </c>
      <c r="E2046" s="1">
        <v>3</v>
      </c>
      <c r="F2046" s="1">
        <v>5</v>
      </c>
      <c r="G2046" s="1">
        <v>7</v>
      </c>
      <c r="H2046" s="1">
        <v>0</v>
      </c>
      <c r="I2046" s="1">
        <v>3</v>
      </c>
      <c r="J2046" s="1">
        <v>5</v>
      </c>
    </row>
    <row r="2047" spans="1:10" x14ac:dyDescent="0.2">
      <c r="A2047" s="1">
        <v>1951</v>
      </c>
      <c r="B2047" s="1">
        <v>0</v>
      </c>
      <c r="C2047" s="1">
        <v>18</v>
      </c>
      <c r="D2047" s="1">
        <v>1</v>
      </c>
      <c r="E2047" s="1">
        <v>3</v>
      </c>
      <c r="F2047" s="1">
        <v>5</v>
      </c>
      <c r="G2047" s="1">
        <v>7</v>
      </c>
      <c r="H2047" s="1">
        <v>1</v>
      </c>
      <c r="I2047" s="1">
        <v>3</v>
      </c>
      <c r="J2047" s="1">
        <v>5</v>
      </c>
    </row>
    <row r="2048" spans="1:10" x14ac:dyDescent="0.2">
      <c r="A2048" s="1">
        <v>1374</v>
      </c>
      <c r="B2048" s="1">
        <v>0</v>
      </c>
      <c r="C2048" s="1">
        <v>6</v>
      </c>
      <c r="D2048" s="1">
        <v>4</v>
      </c>
      <c r="E2048" s="1">
        <v>3</v>
      </c>
      <c r="F2048" s="1">
        <v>6</v>
      </c>
      <c r="G2048" s="1">
        <v>7</v>
      </c>
      <c r="H2048" s="1">
        <v>0</v>
      </c>
      <c r="I2048" s="1">
        <v>3</v>
      </c>
      <c r="J2048" s="1">
        <v>5</v>
      </c>
    </row>
    <row r="2049" spans="1:10" x14ac:dyDescent="0.2">
      <c r="A2049" s="1">
        <v>1871</v>
      </c>
      <c r="B2049" s="1">
        <v>0</v>
      </c>
      <c r="C2049" s="1">
        <v>16</v>
      </c>
      <c r="D2049" s="1">
        <v>5</v>
      </c>
      <c r="E2049" s="1">
        <v>3</v>
      </c>
      <c r="F2049" s="1">
        <v>6</v>
      </c>
      <c r="G2049" s="1">
        <v>7</v>
      </c>
      <c r="H2049" s="1">
        <v>1</v>
      </c>
      <c r="I2049" s="1">
        <v>0</v>
      </c>
      <c r="J2049" s="1">
        <v>5</v>
      </c>
    </row>
    <row r="2050" spans="1:10" x14ac:dyDescent="0.2">
      <c r="A2050" s="1">
        <v>1966</v>
      </c>
      <c r="B2050" s="1">
        <v>0</v>
      </c>
      <c r="C2050" s="1">
        <v>19</v>
      </c>
      <c r="D2050" s="1">
        <v>4</v>
      </c>
      <c r="E2050" s="1">
        <v>3</v>
      </c>
      <c r="F2050" s="1">
        <v>6</v>
      </c>
      <c r="G2050" s="1">
        <v>7</v>
      </c>
      <c r="H2050" s="1">
        <v>0</v>
      </c>
      <c r="I2050" s="1">
        <v>1</v>
      </c>
      <c r="J2050" s="1">
        <v>5</v>
      </c>
    </row>
    <row r="2051" spans="1:10" x14ac:dyDescent="0.2">
      <c r="A2051" s="1">
        <v>127</v>
      </c>
      <c r="B2051" s="1">
        <v>0</v>
      </c>
      <c r="C2051" s="1">
        <v>7</v>
      </c>
      <c r="D2051" s="1">
        <v>3</v>
      </c>
      <c r="E2051" s="1">
        <v>3</v>
      </c>
      <c r="F2051" s="1">
        <v>7</v>
      </c>
      <c r="G2051" s="1">
        <v>7</v>
      </c>
      <c r="H2051" s="1">
        <v>1</v>
      </c>
      <c r="I2051" s="1">
        <v>2</v>
      </c>
      <c r="J2051" s="1">
        <v>5</v>
      </c>
    </row>
    <row r="2052" spans="1:10" x14ac:dyDescent="0.2">
      <c r="A2052" s="1">
        <v>929</v>
      </c>
      <c r="B2052" s="1">
        <v>0</v>
      </c>
      <c r="C2052" s="1">
        <v>9</v>
      </c>
      <c r="D2052" s="1">
        <v>2</v>
      </c>
      <c r="E2052" s="1">
        <v>3</v>
      </c>
      <c r="F2052" s="1">
        <v>9</v>
      </c>
      <c r="G2052" s="1">
        <v>7</v>
      </c>
      <c r="H2052" s="1">
        <v>1</v>
      </c>
      <c r="I2052" s="1">
        <v>0</v>
      </c>
      <c r="J2052" s="1">
        <v>5</v>
      </c>
    </row>
    <row r="2053" spans="1:10" x14ac:dyDescent="0.2">
      <c r="A2053" s="1">
        <v>1227</v>
      </c>
      <c r="B2053" s="1">
        <v>0</v>
      </c>
      <c r="C2053" s="1">
        <v>16</v>
      </c>
      <c r="D2053" s="1">
        <v>1</v>
      </c>
      <c r="E2053" s="1">
        <v>3</v>
      </c>
      <c r="F2053" s="1">
        <v>9</v>
      </c>
      <c r="G2053" s="1">
        <v>7</v>
      </c>
      <c r="H2053" s="1">
        <v>0</v>
      </c>
      <c r="I2053" s="1">
        <v>0</v>
      </c>
      <c r="J2053" s="1">
        <v>5</v>
      </c>
    </row>
    <row r="2054" spans="1:10" x14ac:dyDescent="0.2">
      <c r="A2054" s="1">
        <v>618</v>
      </c>
      <c r="B2054" s="1">
        <v>0</v>
      </c>
      <c r="C2054" s="1">
        <v>18</v>
      </c>
      <c r="D2054" s="1">
        <v>5</v>
      </c>
      <c r="E2054" s="1">
        <v>3</v>
      </c>
      <c r="F2054" s="1">
        <v>10</v>
      </c>
      <c r="G2054" s="1">
        <v>7</v>
      </c>
      <c r="H2054" s="1">
        <v>1</v>
      </c>
      <c r="I2054" s="1">
        <v>1</v>
      </c>
      <c r="J2054" s="1">
        <v>5</v>
      </c>
    </row>
    <row r="2055" spans="1:10" x14ac:dyDescent="0.2">
      <c r="A2055" s="1">
        <v>1728</v>
      </c>
      <c r="B2055" s="1">
        <v>0</v>
      </c>
      <c r="C2055" s="1">
        <v>20</v>
      </c>
      <c r="D2055" s="1">
        <v>5</v>
      </c>
      <c r="E2055" s="1">
        <v>3</v>
      </c>
      <c r="F2055" s="1">
        <v>10</v>
      </c>
      <c r="G2055" s="1">
        <v>7</v>
      </c>
      <c r="H2055" s="1">
        <v>1</v>
      </c>
      <c r="I2055" s="1">
        <v>0</v>
      </c>
      <c r="J2055" s="1">
        <v>5</v>
      </c>
    </row>
    <row r="2056" spans="1:10" x14ac:dyDescent="0.2">
      <c r="A2056" s="1">
        <v>225</v>
      </c>
      <c r="B2056" s="1">
        <v>0</v>
      </c>
      <c r="C2056" s="1">
        <v>9</v>
      </c>
      <c r="D2056" s="1">
        <v>1</v>
      </c>
      <c r="E2056" s="1">
        <v>3</v>
      </c>
      <c r="F2056" s="1">
        <v>1</v>
      </c>
      <c r="G2056" s="1">
        <v>8</v>
      </c>
      <c r="H2056" s="1">
        <v>1</v>
      </c>
      <c r="I2056" s="1">
        <v>0</v>
      </c>
      <c r="J2056" s="1">
        <v>5</v>
      </c>
    </row>
    <row r="2057" spans="1:10" x14ac:dyDescent="0.2">
      <c r="A2057" s="1">
        <v>202</v>
      </c>
      <c r="B2057" s="1">
        <v>0</v>
      </c>
      <c r="C2057" s="1">
        <v>16</v>
      </c>
      <c r="D2057" s="1">
        <v>4</v>
      </c>
      <c r="E2057" s="1">
        <v>3</v>
      </c>
      <c r="F2057" s="1">
        <v>1</v>
      </c>
      <c r="G2057" s="1">
        <v>8</v>
      </c>
      <c r="H2057" s="1">
        <v>1</v>
      </c>
      <c r="I2057" s="1">
        <v>2</v>
      </c>
      <c r="J2057" s="1">
        <v>5</v>
      </c>
    </row>
    <row r="2058" spans="1:10" x14ac:dyDescent="0.2">
      <c r="A2058" s="1">
        <v>463</v>
      </c>
      <c r="B2058" s="1">
        <v>0</v>
      </c>
      <c r="C2058" s="1">
        <v>16</v>
      </c>
      <c r="D2058" s="1">
        <v>2</v>
      </c>
      <c r="E2058" s="1">
        <v>3</v>
      </c>
      <c r="F2058" s="1">
        <v>1</v>
      </c>
      <c r="G2058" s="1">
        <v>8</v>
      </c>
      <c r="H2058" s="1">
        <v>0</v>
      </c>
      <c r="I2058" s="1">
        <v>0</v>
      </c>
      <c r="J2058" s="1">
        <v>5</v>
      </c>
    </row>
    <row r="2059" spans="1:10" x14ac:dyDescent="0.2">
      <c r="A2059" s="1">
        <v>578</v>
      </c>
      <c r="B2059" s="1">
        <v>0</v>
      </c>
      <c r="C2059" s="1">
        <v>16</v>
      </c>
      <c r="D2059" s="1">
        <v>3</v>
      </c>
      <c r="E2059" s="1">
        <v>3</v>
      </c>
      <c r="F2059" s="1">
        <v>1</v>
      </c>
      <c r="G2059" s="1">
        <v>8</v>
      </c>
      <c r="H2059" s="1">
        <v>1</v>
      </c>
      <c r="I2059" s="1">
        <v>2</v>
      </c>
      <c r="J2059" s="1">
        <v>5</v>
      </c>
    </row>
    <row r="2060" spans="1:10" x14ac:dyDescent="0.2">
      <c r="A2060" s="1">
        <v>920</v>
      </c>
      <c r="B2060" s="1">
        <v>0</v>
      </c>
      <c r="C2060" s="1">
        <v>18</v>
      </c>
      <c r="D2060" s="1">
        <v>5</v>
      </c>
      <c r="E2060" s="1">
        <v>3</v>
      </c>
      <c r="F2060" s="1">
        <v>1</v>
      </c>
      <c r="G2060" s="1">
        <v>8</v>
      </c>
      <c r="H2060" s="1">
        <v>0</v>
      </c>
      <c r="I2060" s="1">
        <v>3</v>
      </c>
      <c r="J2060" s="1">
        <v>5</v>
      </c>
    </row>
    <row r="2061" spans="1:10" x14ac:dyDescent="0.2">
      <c r="A2061" s="1">
        <v>46</v>
      </c>
      <c r="B2061" s="1">
        <v>0</v>
      </c>
      <c r="C2061" s="1">
        <v>13</v>
      </c>
      <c r="D2061" s="1">
        <v>4</v>
      </c>
      <c r="E2061" s="1">
        <v>3</v>
      </c>
      <c r="F2061" s="1">
        <v>2</v>
      </c>
      <c r="G2061" s="1">
        <v>8</v>
      </c>
      <c r="H2061" s="1">
        <v>0</v>
      </c>
      <c r="I2061" s="1">
        <v>0</v>
      </c>
      <c r="J2061" s="1">
        <v>5</v>
      </c>
    </row>
    <row r="2062" spans="1:10" x14ac:dyDescent="0.2">
      <c r="A2062" s="1">
        <v>1436</v>
      </c>
      <c r="B2062" s="1">
        <v>0</v>
      </c>
      <c r="C2062" s="1">
        <v>19</v>
      </c>
      <c r="D2062" s="1">
        <v>2</v>
      </c>
      <c r="E2062" s="1">
        <v>3</v>
      </c>
      <c r="F2062" s="1">
        <v>3</v>
      </c>
      <c r="G2062" s="1">
        <v>8</v>
      </c>
      <c r="H2062" s="1">
        <v>0</v>
      </c>
      <c r="I2062" s="1">
        <v>0</v>
      </c>
      <c r="J2062" s="1">
        <v>5</v>
      </c>
    </row>
    <row r="2063" spans="1:10" x14ac:dyDescent="0.2">
      <c r="A2063" s="1">
        <v>477</v>
      </c>
      <c r="B2063" s="1">
        <v>0</v>
      </c>
      <c r="C2063" s="1">
        <v>16</v>
      </c>
      <c r="D2063" s="1">
        <v>1</v>
      </c>
      <c r="E2063" s="1">
        <v>3</v>
      </c>
      <c r="F2063" s="1">
        <v>4</v>
      </c>
      <c r="G2063" s="1">
        <v>8</v>
      </c>
      <c r="H2063" s="1">
        <v>0</v>
      </c>
      <c r="I2063" s="1">
        <v>1</v>
      </c>
      <c r="J2063" s="1">
        <v>5</v>
      </c>
    </row>
    <row r="2064" spans="1:10" x14ac:dyDescent="0.2">
      <c r="A2064" s="1">
        <v>1536</v>
      </c>
      <c r="B2064" s="1">
        <v>0</v>
      </c>
      <c r="C2064" s="1">
        <v>8</v>
      </c>
      <c r="D2064" s="1">
        <v>3</v>
      </c>
      <c r="E2064" s="1">
        <v>3</v>
      </c>
      <c r="F2064" s="1">
        <v>5</v>
      </c>
      <c r="G2064" s="1">
        <v>8</v>
      </c>
      <c r="H2064" s="1">
        <v>1</v>
      </c>
      <c r="I2064" s="1">
        <v>1</v>
      </c>
      <c r="J2064" s="1">
        <v>5</v>
      </c>
    </row>
    <row r="2065" spans="1:10" x14ac:dyDescent="0.2">
      <c r="A2065" s="1">
        <v>887</v>
      </c>
      <c r="B2065" s="1">
        <v>0</v>
      </c>
      <c r="C2065" s="1">
        <v>11</v>
      </c>
      <c r="D2065" s="1">
        <v>1</v>
      </c>
      <c r="E2065" s="1">
        <v>3</v>
      </c>
      <c r="F2065" s="1">
        <v>5</v>
      </c>
      <c r="G2065" s="1">
        <v>8</v>
      </c>
      <c r="H2065" s="1">
        <v>1</v>
      </c>
      <c r="I2065" s="1">
        <v>2</v>
      </c>
      <c r="J2065" s="1">
        <v>5</v>
      </c>
    </row>
    <row r="2066" spans="1:10" x14ac:dyDescent="0.2">
      <c r="A2066" s="1">
        <v>649</v>
      </c>
      <c r="B2066" s="1">
        <v>0</v>
      </c>
      <c r="C2066" s="1">
        <v>12</v>
      </c>
      <c r="D2066" s="1">
        <v>3</v>
      </c>
      <c r="E2066" s="1">
        <v>3</v>
      </c>
      <c r="F2066" s="1">
        <v>5</v>
      </c>
      <c r="G2066" s="1">
        <v>8</v>
      </c>
      <c r="H2066" s="1">
        <v>0</v>
      </c>
      <c r="I2066" s="1">
        <v>1</v>
      </c>
      <c r="J2066" s="1">
        <v>5</v>
      </c>
    </row>
    <row r="2067" spans="1:10" x14ac:dyDescent="0.2">
      <c r="A2067" s="1">
        <v>2103</v>
      </c>
      <c r="B2067" s="1">
        <v>0</v>
      </c>
      <c r="C2067" s="1">
        <v>12</v>
      </c>
      <c r="D2067" s="1">
        <v>3</v>
      </c>
      <c r="E2067" s="1">
        <v>3</v>
      </c>
      <c r="F2067" s="1">
        <v>7</v>
      </c>
      <c r="G2067" s="1">
        <v>8</v>
      </c>
      <c r="H2067" s="1">
        <v>0</v>
      </c>
      <c r="I2067" s="1">
        <v>2</v>
      </c>
      <c r="J2067" s="1">
        <v>5</v>
      </c>
    </row>
    <row r="2068" spans="1:10" x14ac:dyDescent="0.2">
      <c r="A2068" s="1">
        <v>2386</v>
      </c>
      <c r="B2068" s="1">
        <v>0</v>
      </c>
      <c r="C2068" s="1">
        <v>15</v>
      </c>
      <c r="D2068" s="1">
        <v>1</v>
      </c>
      <c r="E2068" s="1">
        <v>3</v>
      </c>
      <c r="F2068" s="1">
        <v>7</v>
      </c>
      <c r="G2068" s="1">
        <v>8</v>
      </c>
      <c r="H2068" s="1">
        <v>0</v>
      </c>
      <c r="I2068" s="1">
        <v>2</v>
      </c>
      <c r="J2068" s="1">
        <v>5</v>
      </c>
    </row>
    <row r="2069" spans="1:10" x14ac:dyDescent="0.2">
      <c r="A2069" s="1">
        <v>1209</v>
      </c>
      <c r="B2069" s="1">
        <v>0</v>
      </c>
      <c r="C2069" s="1">
        <v>10</v>
      </c>
      <c r="D2069" s="1">
        <v>1</v>
      </c>
      <c r="E2069" s="1">
        <v>3</v>
      </c>
      <c r="F2069" s="1">
        <v>8</v>
      </c>
      <c r="G2069" s="1">
        <v>8</v>
      </c>
      <c r="H2069" s="1">
        <v>1</v>
      </c>
      <c r="I2069" s="1">
        <v>3</v>
      </c>
      <c r="J2069" s="1">
        <v>5</v>
      </c>
    </row>
    <row r="2070" spans="1:10" x14ac:dyDescent="0.2">
      <c r="A2070" s="1">
        <v>2451</v>
      </c>
      <c r="B2070" s="1">
        <v>0</v>
      </c>
      <c r="C2070" s="1">
        <v>11</v>
      </c>
      <c r="D2070" s="1">
        <v>3</v>
      </c>
      <c r="E2070" s="1">
        <v>3</v>
      </c>
      <c r="F2070" s="1">
        <v>8</v>
      </c>
      <c r="G2070" s="1">
        <v>8</v>
      </c>
      <c r="H2070" s="1">
        <v>0</v>
      </c>
      <c r="I2070" s="1">
        <v>3</v>
      </c>
      <c r="J2070" s="1">
        <v>5</v>
      </c>
    </row>
    <row r="2071" spans="1:10" x14ac:dyDescent="0.2">
      <c r="A2071" s="1">
        <v>2036</v>
      </c>
      <c r="B2071" s="1">
        <v>0</v>
      </c>
      <c r="C2071" s="1">
        <v>18</v>
      </c>
      <c r="D2071" s="1">
        <v>2</v>
      </c>
      <c r="E2071" s="1">
        <v>3</v>
      </c>
      <c r="F2071" s="1">
        <v>9</v>
      </c>
      <c r="G2071" s="1">
        <v>8</v>
      </c>
      <c r="H2071" s="1">
        <v>1</v>
      </c>
      <c r="I2071" s="1">
        <v>0</v>
      </c>
      <c r="J2071" s="1">
        <v>5</v>
      </c>
    </row>
    <row r="2072" spans="1:10" s="13" customFormat="1" x14ac:dyDescent="0.2">
      <c r="A2072" s="1">
        <v>1731</v>
      </c>
      <c r="B2072" s="1">
        <v>1</v>
      </c>
      <c r="C2072" s="1">
        <v>13</v>
      </c>
      <c r="D2072" s="1">
        <v>1</v>
      </c>
      <c r="E2072" s="1">
        <v>1</v>
      </c>
      <c r="F2072" s="1">
        <v>10</v>
      </c>
      <c r="G2072" s="1">
        <v>10</v>
      </c>
      <c r="H2072" s="1">
        <v>0</v>
      </c>
      <c r="I2072" s="1">
        <v>0</v>
      </c>
      <c r="J2072" s="1">
        <v>1</v>
      </c>
    </row>
    <row r="2073" spans="1:10" x14ac:dyDescent="0.2">
      <c r="A2073" s="1">
        <v>2464</v>
      </c>
      <c r="B2073" s="1">
        <v>1</v>
      </c>
      <c r="C2073" s="1">
        <v>8</v>
      </c>
      <c r="D2073" s="1">
        <v>2</v>
      </c>
      <c r="E2073" s="1">
        <v>1</v>
      </c>
      <c r="F2073" s="1">
        <v>10</v>
      </c>
      <c r="G2073" s="1">
        <v>4</v>
      </c>
      <c r="H2073" s="1">
        <v>0</v>
      </c>
      <c r="I2073" s="1">
        <v>1</v>
      </c>
      <c r="J2073" s="1">
        <v>2</v>
      </c>
    </row>
    <row r="2074" spans="1:10" x14ac:dyDescent="0.2">
      <c r="A2074" s="1">
        <v>2075</v>
      </c>
      <c r="B2074" s="1">
        <v>1</v>
      </c>
      <c r="C2074" s="1">
        <v>17</v>
      </c>
      <c r="D2074" s="1">
        <v>1</v>
      </c>
      <c r="E2074" s="1">
        <v>1</v>
      </c>
      <c r="F2074" s="1">
        <v>10</v>
      </c>
      <c r="G2074" s="1">
        <v>4</v>
      </c>
      <c r="H2074" s="1">
        <v>1</v>
      </c>
      <c r="I2074" s="1">
        <v>2</v>
      </c>
      <c r="J2074" s="1">
        <v>2</v>
      </c>
    </row>
    <row r="2075" spans="1:10" x14ac:dyDescent="0.2">
      <c r="A2075" s="1">
        <v>608</v>
      </c>
      <c r="B2075" s="1">
        <v>1</v>
      </c>
      <c r="C2075" s="1">
        <v>12</v>
      </c>
      <c r="D2075" s="1">
        <v>1</v>
      </c>
      <c r="E2075" s="1">
        <v>1</v>
      </c>
      <c r="F2075" s="1">
        <v>10</v>
      </c>
      <c r="G2075" s="1">
        <v>5</v>
      </c>
      <c r="H2075" s="1">
        <v>1</v>
      </c>
      <c r="I2075" s="1">
        <v>3</v>
      </c>
      <c r="J2075" s="1">
        <v>2</v>
      </c>
    </row>
    <row r="2076" spans="1:10" x14ac:dyDescent="0.2">
      <c r="A2076" s="1">
        <v>1168</v>
      </c>
      <c r="B2076" s="1">
        <v>1</v>
      </c>
      <c r="C2076" s="1">
        <v>13</v>
      </c>
      <c r="D2076" s="1">
        <v>5</v>
      </c>
      <c r="E2076" s="1">
        <v>1</v>
      </c>
      <c r="F2076" s="1">
        <v>10</v>
      </c>
      <c r="G2076" s="1">
        <v>5</v>
      </c>
      <c r="H2076" s="1">
        <v>1</v>
      </c>
      <c r="I2076" s="1">
        <v>1</v>
      </c>
      <c r="J2076" s="1">
        <v>2</v>
      </c>
    </row>
    <row r="2077" spans="1:10" x14ac:dyDescent="0.2">
      <c r="A2077" s="1">
        <v>2217</v>
      </c>
      <c r="B2077" s="1">
        <v>1</v>
      </c>
      <c r="C2077" s="1">
        <v>17</v>
      </c>
      <c r="D2077" s="1">
        <v>5</v>
      </c>
      <c r="E2077" s="1">
        <v>1</v>
      </c>
      <c r="F2077" s="1">
        <v>10</v>
      </c>
      <c r="G2077" s="1">
        <v>5</v>
      </c>
      <c r="H2077" s="1">
        <v>0</v>
      </c>
      <c r="I2077" s="1">
        <v>2</v>
      </c>
      <c r="J2077" s="1">
        <v>2</v>
      </c>
    </row>
    <row r="2078" spans="1:10" x14ac:dyDescent="0.2">
      <c r="A2078" s="1">
        <v>689</v>
      </c>
      <c r="B2078" s="1">
        <v>1</v>
      </c>
      <c r="C2078" s="1">
        <v>19</v>
      </c>
      <c r="D2078" s="1">
        <v>2</v>
      </c>
      <c r="E2078" s="1">
        <v>1</v>
      </c>
      <c r="F2078" s="1">
        <v>10</v>
      </c>
      <c r="G2078" s="1">
        <v>5</v>
      </c>
      <c r="H2078" s="1">
        <v>0</v>
      </c>
      <c r="I2078" s="1">
        <v>3</v>
      </c>
      <c r="J2078" s="1">
        <v>2</v>
      </c>
    </row>
    <row r="2079" spans="1:10" x14ac:dyDescent="0.2">
      <c r="A2079" s="1">
        <v>1596</v>
      </c>
      <c r="B2079" s="1">
        <v>1</v>
      </c>
      <c r="C2079" s="1">
        <v>8</v>
      </c>
      <c r="D2079" s="1">
        <v>3</v>
      </c>
      <c r="E2079" s="1">
        <v>1</v>
      </c>
      <c r="F2079" s="1">
        <v>9</v>
      </c>
      <c r="G2079" s="1">
        <v>6</v>
      </c>
      <c r="H2079" s="1">
        <v>0</v>
      </c>
      <c r="I2079" s="1">
        <v>3</v>
      </c>
      <c r="J2079" s="1">
        <v>2</v>
      </c>
    </row>
    <row r="2080" spans="1:10" x14ac:dyDescent="0.2">
      <c r="A2080" s="1">
        <v>1703</v>
      </c>
      <c r="B2080" s="1">
        <v>1</v>
      </c>
      <c r="C2080" s="1">
        <v>7</v>
      </c>
      <c r="D2080" s="1">
        <v>5</v>
      </c>
      <c r="E2080" s="1">
        <v>1</v>
      </c>
      <c r="F2080" s="1">
        <v>10</v>
      </c>
      <c r="G2080" s="1">
        <v>6</v>
      </c>
      <c r="H2080" s="1">
        <v>0</v>
      </c>
      <c r="I2080" s="1">
        <v>0</v>
      </c>
      <c r="J2080" s="1">
        <v>2</v>
      </c>
    </row>
    <row r="2081" spans="1:10" x14ac:dyDescent="0.2">
      <c r="A2081" s="1">
        <v>1910</v>
      </c>
      <c r="B2081" s="1">
        <v>1</v>
      </c>
      <c r="C2081" s="1">
        <v>14</v>
      </c>
      <c r="D2081" s="1">
        <v>3</v>
      </c>
      <c r="E2081" s="1">
        <v>1</v>
      </c>
      <c r="F2081" s="1">
        <v>10</v>
      </c>
      <c r="G2081" s="1">
        <v>6</v>
      </c>
      <c r="H2081" s="1">
        <v>1</v>
      </c>
      <c r="I2081" s="1">
        <v>2</v>
      </c>
      <c r="J2081" s="1">
        <v>2</v>
      </c>
    </row>
    <row r="2082" spans="1:10" x14ac:dyDescent="0.2">
      <c r="A2082" s="1">
        <v>1320</v>
      </c>
      <c r="B2082" s="1">
        <v>1</v>
      </c>
      <c r="C2082" s="1">
        <v>12</v>
      </c>
      <c r="D2082" s="1">
        <v>2</v>
      </c>
      <c r="E2082" s="1">
        <v>1</v>
      </c>
      <c r="F2082" s="1">
        <v>8</v>
      </c>
      <c r="G2082" s="1">
        <v>7</v>
      </c>
      <c r="H2082" s="1">
        <v>1</v>
      </c>
      <c r="I2082" s="1">
        <v>1</v>
      </c>
      <c r="J2082" s="1">
        <v>2</v>
      </c>
    </row>
    <row r="2083" spans="1:10" x14ac:dyDescent="0.2">
      <c r="A2083" s="1">
        <v>102</v>
      </c>
      <c r="B2083" s="1">
        <v>1</v>
      </c>
      <c r="C2083" s="1">
        <v>15</v>
      </c>
      <c r="D2083" s="1">
        <v>2</v>
      </c>
      <c r="E2083" s="1">
        <v>1</v>
      </c>
      <c r="F2083" s="1">
        <v>8</v>
      </c>
      <c r="G2083" s="1">
        <v>7</v>
      </c>
      <c r="H2083" s="1">
        <v>1</v>
      </c>
      <c r="I2083" s="1">
        <v>0</v>
      </c>
      <c r="J2083" s="1">
        <v>2</v>
      </c>
    </row>
    <row r="2084" spans="1:10" x14ac:dyDescent="0.2">
      <c r="A2084" s="1">
        <v>1844</v>
      </c>
      <c r="B2084" s="1">
        <v>1</v>
      </c>
      <c r="C2084" s="1">
        <v>15</v>
      </c>
      <c r="D2084" s="1">
        <v>1</v>
      </c>
      <c r="E2084" s="1">
        <v>1</v>
      </c>
      <c r="F2084" s="1">
        <v>8</v>
      </c>
      <c r="G2084" s="1">
        <v>7</v>
      </c>
      <c r="H2084" s="1">
        <v>1</v>
      </c>
      <c r="I2084" s="1">
        <v>0</v>
      </c>
      <c r="J2084" s="1">
        <v>2</v>
      </c>
    </row>
    <row r="2085" spans="1:10" x14ac:dyDescent="0.2">
      <c r="A2085" s="1">
        <v>337</v>
      </c>
      <c r="B2085" s="1">
        <v>1</v>
      </c>
      <c r="C2085" s="1">
        <v>14</v>
      </c>
      <c r="D2085" s="1">
        <v>2</v>
      </c>
      <c r="E2085" s="1">
        <v>1</v>
      </c>
      <c r="F2085" s="1">
        <v>9</v>
      </c>
      <c r="G2085" s="1">
        <v>7</v>
      </c>
      <c r="H2085" s="1">
        <v>1</v>
      </c>
      <c r="I2085" s="1">
        <v>2</v>
      </c>
      <c r="J2085" s="1">
        <v>2</v>
      </c>
    </row>
    <row r="2086" spans="1:10" x14ac:dyDescent="0.2">
      <c r="A2086" s="1">
        <v>694</v>
      </c>
      <c r="B2086" s="1">
        <v>1</v>
      </c>
      <c r="C2086" s="1">
        <v>5</v>
      </c>
      <c r="D2086" s="1">
        <v>3</v>
      </c>
      <c r="E2086" s="1">
        <v>1</v>
      </c>
      <c r="F2086" s="1">
        <v>10</v>
      </c>
      <c r="G2086" s="1">
        <v>7</v>
      </c>
      <c r="H2086" s="1">
        <v>0</v>
      </c>
      <c r="I2086" s="1">
        <v>0</v>
      </c>
      <c r="J2086" s="1">
        <v>2</v>
      </c>
    </row>
    <row r="2087" spans="1:10" x14ac:dyDescent="0.2">
      <c r="A2087" s="1">
        <v>801</v>
      </c>
      <c r="B2087" s="1">
        <v>1</v>
      </c>
      <c r="C2087" s="1">
        <v>10</v>
      </c>
      <c r="D2087" s="1">
        <v>1</v>
      </c>
      <c r="E2087" s="1">
        <v>1</v>
      </c>
      <c r="F2087" s="1">
        <v>10</v>
      </c>
      <c r="G2087" s="1">
        <v>7</v>
      </c>
      <c r="H2087" s="1">
        <v>1</v>
      </c>
      <c r="I2087" s="1">
        <v>3</v>
      </c>
      <c r="J2087" s="1">
        <v>2</v>
      </c>
    </row>
    <row r="2088" spans="1:10" x14ac:dyDescent="0.2">
      <c r="A2088" s="1">
        <v>1228</v>
      </c>
      <c r="B2088" s="1">
        <v>1</v>
      </c>
      <c r="C2088" s="1">
        <v>14</v>
      </c>
      <c r="D2088" s="1">
        <v>3</v>
      </c>
      <c r="E2088" s="1">
        <v>1</v>
      </c>
      <c r="F2088" s="1">
        <v>10</v>
      </c>
      <c r="G2088" s="1">
        <v>7</v>
      </c>
      <c r="H2088" s="1">
        <v>0</v>
      </c>
      <c r="I2088" s="1">
        <v>0</v>
      </c>
      <c r="J2088" s="1">
        <v>2</v>
      </c>
    </row>
    <row r="2089" spans="1:10" x14ac:dyDescent="0.2">
      <c r="A2089" s="1">
        <v>2368</v>
      </c>
      <c r="B2089" s="1">
        <v>1</v>
      </c>
      <c r="C2089" s="1">
        <v>20</v>
      </c>
      <c r="D2089" s="1">
        <v>4</v>
      </c>
      <c r="E2089" s="1">
        <v>1</v>
      </c>
      <c r="F2089" s="1">
        <v>8</v>
      </c>
      <c r="G2089" s="1">
        <v>8</v>
      </c>
      <c r="H2089" s="1">
        <v>0</v>
      </c>
      <c r="I2089" s="1">
        <v>2</v>
      </c>
      <c r="J2089" s="1">
        <v>2</v>
      </c>
    </row>
    <row r="2090" spans="1:10" x14ac:dyDescent="0.2">
      <c r="A2090" s="1">
        <v>746</v>
      </c>
      <c r="B2090" s="1">
        <v>1</v>
      </c>
      <c r="C2090" s="1">
        <v>7</v>
      </c>
      <c r="D2090" s="1">
        <v>4</v>
      </c>
      <c r="E2090" s="1">
        <v>1</v>
      </c>
      <c r="F2090" s="1">
        <v>9</v>
      </c>
      <c r="G2090" s="1">
        <v>8</v>
      </c>
      <c r="H2090" s="1">
        <v>0</v>
      </c>
      <c r="I2090" s="1">
        <v>0</v>
      </c>
      <c r="J2090" s="1">
        <v>2</v>
      </c>
    </row>
    <row r="2091" spans="1:10" x14ac:dyDescent="0.2">
      <c r="A2091" s="1">
        <v>209</v>
      </c>
      <c r="B2091" s="1">
        <v>1</v>
      </c>
      <c r="C2091" s="1">
        <v>14</v>
      </c>
      <c r="D2091" s="1">
        <v>2</v>
      </c>
      <c r="E2091" s="1">
        <v>1</v>
      </c>
      <c r="F2091" s="1">
        <v>9</v>
      </c>
      <c r="G2091" s="1">
        <v>8</v>
      </c>
      <c r="H2091" s="1">
        <v>0</v>
      </c>
      <c r="I2091" s="1">
        <v>2</v>
      </c>
      <c r="J2091" s="1">
        <v>2</v>
      </c>
    </row>
    <row r="2092" spans="1:10" x14ac:dyDescent="0.2">
      <c r="A2092" s="1">
        <v>2353</v>
      </c>
      <c r="B2092" s="1">
        <v>1</v>
      </c>
      <c r="C2092" s="1">
        <v>7</v>
      </c>
      <c r="D2092" s="1">
        <v>2</v>
      </c>
      <c r="E2092" s="1">
        <v>1</v>
      </c>
      <c r="F2092" s="1">
        <v>10</v>
      </c>
      <c r="G2092" s="1">
        <v>8</v>
      </c>
      <c r="H2092" s="1">
        <v>0</v>
      </c>
      <c r="I2092" s="1">
        <v>2</v>
      </c>
      <c r="J2092" s="1">
        <v>2</v>
      </c>
    </row>
    <row r="2093" spans="1:10" x14ac:dyDescent="0.2">
      <c r="A2093" s="1">
        <v>1562</v>
      </c>
      <c r="B2093" s="1">
        <v>1</v>
      </c>
      <c r="C2093" s="1">
        <v>17</v>
      </c>
      <c r="D2093" s="1">
        <v>2</v>
      </c>
      <c r="E2093" s="1">
        <v>1</v>
      </c>
      <c r="F2093" s="1">
        <v>10</v>
      </c>
      <c r="G2093" s="1">
        <v>8</v>
      </c>
      <c r="H2093" s="1">
        <v>0</v>
      </c>
      <c r="I2093" s="1">
        <v>0</v>
      </c>
      <c r="J2093" s="1">
        <v>2</v>
      </c>
    </row>
    <row r="2094" spans="1:10" x14ac:dyDescent="0.2">
      <c r="A2094" s="1">
        <v>1639</v>
      </c>
      <c r="B2094" s="1">
        <v>1</v>
      </c>
      <c r="C2094" s="1">
        <v>15</v>
      </c>
      <c r="D2094" s="1">
        <v>5</v>
      </c>
      <c r="E2094" s="1">
        <v>1</v>
      </c>
      <c r="F2094" s="1">
        <v>7</v>
      </c>
      <c r="G2094" s="1">
        <v>9</v>
      </c>
      <c r="H2094" s="1">
        <v>1</v>
      </c>
      <c r="I2094" s="1">
        <v>1</v>
      </c>
      <c r="J2094" s="1">
        <v>2</v>
      </c>
    </row>
    <row r="2095" spans="1:10" x14ac:dyDescent="0.2">
      <c r="A2095" s="1">
        <v>685</v>
      </c>
      <c r="B2095" s="1">
        <v>1</v>
      </c>
      <c r="C2095" s="1">
        <v>17</v>
      </c>
      <c r="D2095" s="1">
        <v>5</v>
      </c>
      <c r="E2095" s="1">
        <v>1</v>
      </c>
      <c r="F2095" s="1">
        <v>7</v>
      </c>
      <c r="G2095" s="1">
        <v>9</v>
      </c>
      <c r="H2095" s="1">
        <v>0</v>
      </c>
      <c r="I2095" s="1">
        <v>3</v>
      </c>
      <c r="J2095" s="1">
        <v>2</v>
      </c>
    </row>
    <row r="2096" spans="1:10" x14ac:dyDescent="0.2">
      <c r="A2096" s="1">
        <v>1026</v>
      </c>
      <c r="B2096" s="1">
        <v>1</v>
      </c>
      <c r="C2096" s="1">
        <v>17</v>
      </c>
      <c r="D2096" s="1">
        <v>2</v>
      </c>
      <c r="E2096" s="1">
        <v>1</v>
      </c>
      <c r="F2096" s="1">
        <v>7</v>
      </c>
      <c r="G2096" s="1">
        <v>9</v>
      </c>
      <c r="H2096" s="1">
        <v>1</v>
      </c>
      <c r="I2096" s="1">
        <v>0</v>
      </c>
      <c r="J2096" s="1">
        <v>2</v>
      </c>
    </row>
    <row r="2097" spans="1:10" x14ac:dyDescent="0.2">
      <c r="A2097" s="1">
        <v>1186</v>
      </c>
      <c r="B2097" s="1">
        <v>1</v>
      </c>
      <c r="C2097" s="1">
        <v>10</v>
      </c>
      <c r="D2097" s="1">
        <v>5</v>
      </c>
      <c r="E2097" s="1">
        <v>1</v>
      </c>
      <c r="F2097" s="1">
        <v>8</v>
      </c>
      <c r="G2097" s="1">
        <v>9</v>
      </c>
      <c r="H2097" s="1">
        <v>0</v>
      </c>
      <c r="I2097" s="1">
        <v>1</v>
      </c>
      <c r="J2097" s="1">
        <v>2</v>
      </c>
    </row>
    <row r="2098" spans="1:10" x14ac:dyDescent="0.2">
      <c r="A2098" s="1">
        <v>1327</v>
      </c>
      <c r="B2098" s="1">
        <v>1</v>
      </c>
      <c r="C2098" s="1">
        <v>6</v>
      </c>
      <c r="D2098" s="1">
        <v>2</v>
      </c>
      <c r="E2098" s="1">
        <v>1</v>
      </c>
      <c r="F2098" s="1">
        <v>9</v>
      </c>
      <c r="G2098" s="1">
        <v>9</v>
      </c>
      <c r="H2098" s="1">
        <v>0</v>
      </c>
      <c r="I2098" s="1">
        <v>1</v>
      </c>
      <c r="J2098" s="1">
        <v>2</v>
      </c>
    </row>
    <row r="2099" spans="1:10" x14ac:dyDescent="0.2">
      <c r="A2099" s="1">
        <v>2276</v>
      </c>
      <c r="B2099" s="1">
        <v>1</v>
      </c>
      <c r="C2099" s="1">
        <v>14</v>
      </c>
      <c r="D2099" s="1">
        <v>2</v>
      </c>
      <c r="E2099" s="1">
        <v>1</v>
      </c>
      <c r="F2099" s="1">
        <v>9</v>
      </c>
      <c r="G2099" s="1">
        <v>9</v>
      </c>
      <c r="H2099" s="1">
        <v>1</v>
      </c>
      <c r="I2099" s="1">
        <v>3</v>
      </c>
      <c r="J2099" s="1">
        <v>2</v>
      </c>
    </row>
    <row r="2100" spans="1:10" x14ac:dyDescent="0.2">
      <c r="A2100" s="1">
        <v>1894</v>
      </c>
      <c r="B2100" s="1">
        <v>1</v>
      </c>
      <c r="C2100" s="1">
        <v>20</v>
      </c>
      <c r="D2100" s="1">
        <v>4</v>
      </c>
      <c r="E2100" s="1">
        <v>1</v>
      </c>
      <c r="F2100" s="1">
        <v>9</v>
      </c>
      <c r="G2100" s="1">
        <v>9</v>
      </c>
      <c r="H2100" s="1">
        <v>1</v>
      </c>
      <c r="I2100" s="1">
        <v>0</v>
      </c>
      <c r="J2100" s="1">
        <v>2</v>
      </c>
    </row>
    <row r="2101" spans="1:10" x14ac:dyDescent="0.2">
      <c r="A2101" s="1">
        <v>2012</v>
      </c>
      <c r="B2101" s="1">
        <v>1</v>
      </c>
      <c r="C2101" s="1">
        <v>13</v>
      </c>
      <c r="D2101" s="1">
        <v>3</v>
      </c>
      <c r="E2101" s="1">
        <v>1</v>
      </c>
      <c r="F2101" s="1">
        <v>10</v>
      </c>
      <c r="G2101" s="1">
        <v>9</v>
      </c>
      <c r="H2101" s="1">
        <v>0</v>
      </c>
      <c r="I2101" s="1">
        <v>1</v>
      </c>
      <c r="J2101" s="1">
        <v>2</v>
      </c>
    </row>
    <row r="2102" spans="1:10" x14ac:dyDescent="0.2">
      <c r="A2102" s="1">
        <v>644</v>
      </c>
      <c r="B2102" s="1">
        <v>1</v>
      </c>
      <c r="C2102" s="1">
        <v>14</v>
      </c>
      <c r="D2102" s="1">
        <v>1</v>
      </c>
      <c r="E2102" s="1">
        <v>1</v>
      </c>
      <c r="F2102" s="1">
        <v>10</v>
      </c>
      <c r="G2102" s="1">
        <v>9</v>
      </c>
      <c r="H2102" s="1">
        <v>0</v>
      </c>
      <c r="I2102" s="1">
        <v>2</v>
      </c>
      <c r="J2102" s="1">
        <v>2</v>
      </c>
    </row>
    <row r="2103" spans="1:10" x14ac:dyDescent="0.2">
      <c r="A2103" s="1">
        <v>128</v>
      </c>
      <c r="B2103" s="1">
        <v>1</v>
      </c>
      <c r="C2103" s="1">
        <v>17</v>
      </c>
      <c r="D2103" s="1">
        <v>1</v>
      </c>
      <c r="E2103" s="1">
        <v>1</v>
      </c>
      <c r="F2103" s="1">
        <v>10</v>
      </c>
      <c r="G2103" s="1">
        <v>9</v>
      </c>
      <c r="H2103" s="1">
        <v>0</v>
      </c>
      <c r="I2103" s="1">
        <v>0</v>
      </c>
      <c r="J2103" s="1">
        <v>2</v>
      </c>
    </row>
    <row r="2104" spans="1:10" x14ac:dyDescent="0.2">
      <c r="A2104" s="1">
        <v>476</v>
      </c>
      <c r="B2104" s="1">
        <v>1</v>
      </c>
      <c r="C2104" s="1">
        <v>15</v>
      </c>
      <c r="D2104" s="1">
        <v>1</v>
      </c>
      <c r="E2104" s="1">
        <v>1</v>
      </c>
      <c r="F2104" s="1">
        <v>7</v>
      </c>
      <c r="G2104" s="1">
        <v>10</v>
      </c>
      <c r="H2104" s="1">
        <v>0</v>
      </c>
      <c r="I2104" s="1">
        <v>0</v>
      </c>
      <c r="J2104" s="1">
        <v>2</v>
      </c>
    </row>
    <row r="2105" spans="1:10" x14ac:dyDescent="0.2">
      <c r="A2105" s="1">
        <v>901</v>
      </c>
      <c r="B2105" s="1">
        <v>1</v>
      </c>
      <c r="C2105" s="1">
        <v>6</v>
      </c>
      <c r="D2105" s="1">
        <v>4</v>
      </c>
      <c r="E2105" s="1">
        <v>1</v>
      </c>
      <c r="F2105" s="1">
        <v>8</v>
      </c>
      <c r="G2105" s="1">
        <v>10</v>
      </c>
      <c r="H2105" s="1">
        <v>1</v>
      </c>
      <c r="I2105" s="1">
        <v>2</v>
      </c>
      <c r="J2105" s="1">
        <v>2</v>
      </c>
    </row>
    <row r="2106" spans="1:10" x14ac:dyDescent="0.2">
      <c r="A2106" s="1">
        <v>176</v>
      </c>
      <c r="B2106" s="1">
        <v>1</v>
      </c>
      <c r="C2106" s="1">
        <v>10</v>
      </c>
      <c r="D2106" s="1">
        <v>1</v>
      </c>
      <c r="E2106" s="1">
        <v>1</v>
      </c>
      <c r="F2106" s="1">
        <v>8</v>
      </c>
      <c r="G2106" s="1">
        <v>10</v>
      </c>
      <c r="H2106" s="1">
        <v>0</v>
      </c>
      <c r="I2106" s="1">
        <v>0</v>
      </c>
      <c r="J2106" s="1">
        <v>2</v>
      </c>
    </row>
    <row r="2107" spans="1:10" x14ac:dyDescent="0.2">
      <c r="A2107" s="1">
        <v>2111</v>
      </c>
      <c r="B2107" s="1">
        <v>1</v>
      </c>
      <c r="C2107" s="1">
        <v>13</v>
      </c>
      <c r="D2107" s="1">
        <v>2</v>
      </c>
      <c r="E2107" s="1">
        <v>1</v>
      </c>
      <c r="F2107" s="1">
        <v>8</v>
      </c>
      <c r="G2107" s="1">
        <v>10</v>
      </c>
      <c r="H2107" s="1">
        <v>0</v>
      </c>
      <c r="I2107" s="1">
        <v>1</v>
      </c>
      <c r="J2107" s="1">
        <v>2</v>
      </c>
    </row>
    <row r="2108" spans="1:10" x14ac:dyDescent="0.2">
      <c r="A2108" s="1">
        <v>146</v>
      </c>
      <c r="B2108" s="1">
        <v>1</v>
      </c>
      <c r="C2108" s="1">
        <v>17</v>
      </c>
      <c r="D2108" s="1">
        <v>4</v>
      </c>
      <c r="E2108" s="1">
        <v>1</v>
      </c>
      <c r="F2108" s="1">
        <v>8</v>
      </c>
      <c r="G2108" s="1">
        <v>10</v>
      </c>
      <c r="H2108" s="1">
        <v>0</v>
      </c>
      <c r="I2108" s="1">
        <v>0</v>
      </c>
      <c r="J2108" s="1">
        <v>2</v>
      </c>
    </row>
    <row r="2109" spans="1:10" x14ac:dyDescent="0.2">
      <c r="A2109" s="1">
        <v>2398</v>
      </c>
      <c r="B2109" s="1">
        <v>1</v>
      </c>
      <c r="C2109" s="1">
        <v>12</v>
      </c>
      <c r="D2109" s="1">
        <v>4</v>
      </c>
      <c r="E2109" s="1">
        <v>1</v>
      </c>
      <c r="F2109" s="1">
        <v>9</v>
      </c>
      <c r="G2109" s="1">
        <v>10</v>
      </c>
      <c r="H2109" s="1">
        <v>0</v>
      </c>
      <c r="I2109" s="1">
        <v>1</v>
      </c>
      <c r="J2109" s="1">
        <v>2</v>
      </c>
    </row>
    <row r="2110" spans="1:10" x14ac:dyDescent="0.2">
      <c r="A2110" s="1">
        <v>422</v>
      </c>
      <c r="B2110" s="1">
        <v>1</v>
      </c>
      <c r="C2110" s="1">
        <v>17</v>
      </c>
      <c r="D2110" s="1">
        <v>2</v>
      </c>
      <c r="E2110" s="1">
        <v>1</v>
      </c>
      <c r="F2110" s="1">
        <v>9</v>
      </c>
      <c r="G2110" s="1">
        <v>10</v>
      </c>
      <c r="H2110" s="1">
        <v>1</v>
      </c>
      <c r="I2110" s="1">
        <v>1</v>
      </c>
      <c r="J2110" s="1">
        <v>2</v>
      </c>
    </row>
    <row r="2111" spans="1:10" x14ac:dyDescent="0.2">
      <c r="A2111" s="1">
        <v>184</v>
      </c>
      <c r="B2111" s="1">
        <v>1</v>
      </c>
      <c r="C2111" s="1">
        <v>19</v>
      </c>
      <c r="D2111" s="1">
        <v>1</v>
      </c>
      <c r="E2111" s="1">
        <v>1</v>
      </c>
      <c r="F2111" s="1">
        <v>9</v>
      </c>
      <c r="G2111" s="1">
        <v>10</v>
      </c>
      <c r="H2111" s="1">
        <v>1</v>
      </c>
      <c r="I2111" s="1">
        <v>1</v>
      </c>
      <c r="J2111" s="1">
        <v>2</v>
      </c>
    </row>
    <row r="2112" spans="1:10" x14ac:dyDescent="0.2">
      <c r="A2112" s="1">
        <v>1184</v>
      </c>
      <c r="B2112" s="1">
        <v>1</v>
      </c>
      <c r="C2112" s="1">
        <v>6</v>
      </c>
      <c r="D2112" s="1">
        <v>5</v>
      </c>
      <c r="E2112" s="1">
        <v>1</v>
      </c>
      <c r="F2112" s="1">
        <v>10</v>
      </c>
      <c r="G2112" s="1">
        <v>10</v>
      </c>
      <c r="H2112" s="1">
        <v>1</v>
      </c>
      <c r="I2112" s="1">
        <v>1</v>
      </c>
      <c r="J2112" s="1">
        <v>2</v>
      </c>
    </row>
    <row r="2113" spans="1:10" x14ac:dyDescent="0.2">
      <c r="A2113" s="1">
        <v>1404</v>
      </c>
      <c r="B2113" s="1">
        <v>1</v>
      </c>
      <c r="C2113" s="1">
        <v>8</v>
      </c>
      <c r="D2113" s="1">
        <v>3</v>
      </c>
      <c r="E2113" s="1">
        <v>1</v>
      </c>
      <c r="F2113" s="1">
        <v>10</v>
      </c>
      <c r="G2113" s="1">
        <v>10</v>
      </c>
      <c r="H2113" s="1">
        <v>1</v>
      </c>
      <c r="I2113" s="1">
        <v>2</v>
      </c>
      <c r="J2113" s="1">
        <v>2</v>
      </c>
    </row>
    <row r="2114" spans="1:10" x14ac:dyDescent="0.2">
      <c r="A2114" s="12">
        <v>970</v>
      </c>
      <c r="B2114" s="12">
        <v>1</v>
      </c>
      <c r="C2114" s="12">
        <v>5</v>
      </c>
      <c r="D2114" s="12">
        <v>3</v>
      </c>
      <c r="E2114" s="12">
        <v>1</v>
      </c>
      <c r="F2114" s="12">
        <v>10</v>
      </c>
      <c r="G2114" s="12">
        <v>3</v>
      </c>
      <c r="H2114" s="12">
        <v>0</v>
      </c>
      <c r="I2114" s="12">
        <v>3</v>
      </c>
      <c r="J2114" s="12">
        <v>3</v>
      </c>
    </row>
    <row r="2115" spans="1:10" x14ac:dyDescent="0.2">
      <c r="A2115" s="1">
        <v>2121</v>
      </c>
      <c r="B2115" s="1">
        <v>1</v>
      </c>
      <c r="C2115" s="1">
        <v>20</v>
      </c>
      <c r="D2115" s="1">
        <v>4</v>
      </c>
      <c r="E2115" s="1">
        <v>1</v>
      </c>
      <c r="F2115" s="1">
        <v>10</v>
      </c>
      <c r="G2115" s="1">
        <v>3</v>
      </c>
      <c r="H2115" s="1">
        <v>0</v>
      </c>
      <c r="I2115" s="1">
        <v>1</v>
      </c>
      <c r="J2115" s="1">
        <v>3</v>
      </c>
    </row>
    <row r="2116" spans="1:10" x14ac:dyDescent="0.2">
      <c r="A2116" s="1">
        <v>1816</v>
      </c>
      <c r="B2116" s="1">
        <v>1</v>
      </c>
      <c r="C2116" s="1">
        <v>16</v>
      </c>
      <c r="D2116" s="1">
        <v>2</v>
      </c>
      <c r="E2116" s="1">
        <v>1</v>
      </c>
      <c r="F2116" s="1">
        <v>10</v>
      </c>
      <c r="G2116" s="1">
        <v>4</v>
      </c>
      <c r="H2116" s="1">
        <v>1</v>
      </c>
      <c r="I2116" s="1">
        <v>0</v>
      </c>
      <c r="J2116" s="1">
        <v>3</v>
      </c>
    </row>
    <row r="2117" spans="1:10" x14ac:dyDescent="0.2">
      <c r="A2117" s="1">
        <v>673</v>
      </c>
      <c r="B2117" s="1">
        <v>1</v>
      </c>
      <c r="C2117" s="1">
        <v>20</v>
      </c>
      <c r="D2117" s="1">
        <v>1</v>
      </c>
      <c r="E2117" s="1">
        <v>1</v>
      </c>
      <c r="F2117" s="1">
        <v>10</v>
      </c>
      <c r="G2117" s="1">
        <v>4</v>
      </c>
      <c r="H2117" s="1">
        <v>0</v>
      </c>
      <c r="I2117" s="1">
        <v>2</v>
      </c>
      <c r="J2117" s="1">
        <v>3</v>
      </c>
    </row>
    <row r="2118" spans="1:10" x14ac:dyDescent="0.2">
      <c r="A2118" s="1">
        <v>615</v>
      </c>
      <c r="B2118" s="1">
        <v>1</v>
      </c>
      <c r="C2118" s="1">
        <v>17</v>
      </c>
      <c r="D2118" s="1">
        <v>5</v>
      </c>
      <c r="E2118" s="1">
        <v>1</v>
      </c>
      <c r="F2118" s="1">
        <v>8</v>
      </c>
      <c r="G2118" s="1">
        <v>5</v>
      </c>
      <c r="H2118" s="1">
        <v>1</v>
      </c>
      <c r="I2118" s="1">
        <v>0</v>
      </c>
      <c r="J2118" s="1">
        <v>3</v>
      </c>
    </row>
    <row r="2119" spans="1:10" x14ac:dyDescent="0.2">
      <c r="A2119" s="1">
        <v>1786</v>
      </c>
      <c r="B2119" s="1">
        <v>1</v>
      </c>
      <c r="C2119" s="1">
        <v>20</v>
      </c>
      <c r="D2119" s="1">
        <v>4</v>
      </c>
      <c r="E2119" s="1">
        <v>1</v>
      </c>
      <c r="F2119" s="1">
        <v>8</v>
      </c>
      <c r="G2119" s="1">
        <v>5</v>
      </c>
      <c r="H2119" s="1">
        <v>1</v>
      </c>
      <c r="I2119" s="1">
        <v>0</v>
      </c>
      <c r="J2119" s="1">
        <v>3</v>
      </c>
    </row>
    <row r="2120" spans="1:10" x14ac:dyDescent="0.2">
      <c r="A2120" s="1">
        <v>1889</v>
      </c>
      <c r="B2120" s="1">
        <v>1</v>
      </c>
      <c r="C2120" s="1">
        <v>5</v>
      </c>
      <c r="D2120" s="1">
        <v>3</v>
      </c>
      <c r="E2120" s="1">
        <v>1</v>
      </c>
      <c r="F2120" s="1">
        <v>9</v>
      </c>
      <c r="G2120" s="1">
        <v>5</v>
      </c>
      <c r="H2120" s="1">
        <v>1</v>
      </c>
      <c r="I2120" s="1">
        <v>1</v>
      </c>
      <c r="J2120" s="1">
        <v>3</v>
      </c>
    </row>
    <row r="2121" spans="1:10" x14ac:dyDescent="0.2">
      <c r="A2121" s="1">
        <v>2400</v>
      </c>
      <c r="B2121" s="1">
        <v>1</v>
      </c>
      <c r="C2121" s="1">
        <v>20</v>
      </c>
      <c r="D2121" s="1">
        <v>3</v>
      </c>
      <c r="E2121" s="1">
        <v>1</v>
      </c>
      <c r="F2121" s="1">
        <v>9</v>
      </c>
      <c r="G2121" s="1">
        <v>5</v>
      </c>
      <c r="H2121" s="1">
        <v>1</v>
      </c>
      <c r="I2121" s="1">
        <v>2</v>
      </c>
      <c r="J2121" s="1">
        <v>3</v>
      </c>
    </row>
    <row r="2122" spans="1:10" x14ac:dyDescent="0.2">
      <c r="A2122" s="1">
        <v>772</v>
      </c>
      <c r="B2122" s="1">
        <v>1</v>
      </c>
      <c r="C2122" s="1">
        <v>6</v>
      </c>
      <c r="D2122" s="1">
        <v>1</v>
      </c>
      <c r="E2122" s="1">
        <v>1</v>
      </c>
      <c r="F2122" s="1">
        <v>10</v>
      </c>
      <c r="G2122" s="1">
        <v>5</v>
      </c>
      <c r="H2122" s="1">
        <v>0</v>
      </c>
      <c r="I2122" s="1">
        <v>1</v>
      </c>
      <c r="J2122" s="1">
        <v>3</v>
      </c>
    </row>
    <row r="2123" spans="1:10" x14ac:dyDescent="0.2">
      <c r="A2123" s="1">
        <v>1296</v>
      </c>
      <c r="B2123" s="1">
        <v>1</v>
      </c>
      <c r="C2123" s="1">
        <v>15</v>
      </c>
      <c r="D2123" s="1">
        <v>3</v>
      </c>
      <c r="E2123" s="1">
        <v>1</v>
      </c>
      <c r="F2123" s="1">
        <v>10</v>
      </c>
      <c r="G2123" s="1">
        <v>5</v>
      </c>
      <c r="H2123" s="1">
        <v>0</v>
      </c>
      <c r="I2123" s="1">
        <v>3</v>
      </c>
      <c r="J2123" s="1">
        <v>3</v>
      </c>
    </row>
    <row r="2124" spans="1:10" x14ac:dyDescent="0.2">
      <c r="A2124" s="1">
        <v>1500</v>
      </c>
      <c r="B2124" s="1">
        <v>1</v>
      </c>
      <c r="C2124" s="1">
        <v>6</v>
      </c>
      <c r="D2124" s="1">
        <v>4</v>
      </c>
      <c r="E2124" s="1">
        <v>1</v>
      </c>
      <c r="F2124" s="1">
        <v>7</v>
      </c>
      <c r="G2124" s="1">
        <v>6</v>
      </c>
      <c r="H2124" s="1">
        <v>1</v>
      </c>
      <c r="I2124" s="1">
        <v>1</v>
      </c>
      <c r="J2124" s="1">
        <v>3</v>
      </c>
    </row>
    <row r="2125" spans="1:10" x14ac:dyDescent="0.2">
      <c r="A2125" s="1">
        <v>47</v>
      </c>
      <c r="B2125" s="1">
        <v>1</v>
      </c>
      <c r="C2125" s="1">
        <v>12</v>
      </c>
      <c r="D2125" s="1">
        <v>3</v>
      </c>
      <c r="E2125" s="1">
        <v>1</v>
      </c>
      <c r="F2125" s="1">
        <v>7</v>
      </c>
      <c r="G2125" s="1">
        <v>6</v>
      </c>
      <c r="H2125" s="1">
        <v>0</v>
      </c>
      <c r="I2125" s="1">
        <v>1</v>
      </c>
      <c r="J2125" s="1">
        <v>3</v>
      </c>
    </row>
    <row r="2126" spans="1:10" x14ac:dyDescent="0.2">
      <c r="A2126" s="1">
        <v>2196</v>
      </c>
      <c r="B2126" s="1">
        <v>1</v>
      </c>
      <c r="C2126" s="1">
        <v>12</v>
      </c>
      <c r="D2126" s="1">
        <v>2</v>
      </c>
      <c r="E2126" s="1">
        <v>1</v>
      </c>
      <c r="F2126" s="1">
        <v>7</v>
      </c>
      <c r="G2126" s="1">
        <v>6</v>
      </c>
      <c r="H2126" s="1">
        <v>0</v>
      </c>
      <c r="I2126" s="1">
        <v>1</v>
      </c>
      <c r="J2126" s="1">
        <v>3</v>
      </c>
    </row>
    <row r="2127" spans="1:10" x14ac:dyDescent="0.2">
      <c r="A2127" s="1">
        <v>1742</v>
      </c>
      <c r="B2127" s="1">
        <v>1</v>
      </c>
      <c r="C2127" s="1">
        <v>19</v>
      </c>
      <c r="D2127" s="1">
        <v>1</v>
      </c>
      <c r="E2127" s="1">
        <v>1</v>
      </c>
      <c r="F2127" s="1">
        <v>7</v>
      </c>
      <c r="G2127" s="1">
        <v>6</v>
      </c>
      <c r="H2127" s="1">
        <v>0</v>
      </c>
      <c r="I2127" s="1">
        <v>2</v>
      </c>
      <c r="J2127" s="1">
        <v>3</v>
      </c>
    </row>
    <row r="2128" spans="1:10" x14ac:dyDescent="0.2">
      <c r="A2128" s="1">
        <v>2327</v>
      </c>
      <c r="B2128" s="1">
        <v>1</v>
      </c>
      <c r="C2128" s="1">
        <v>6</v>
      </c>
      <c r="D2128" s="1">
        <v>2</v>
      </c>
      <c r="E2128" s="1">
        <v>1</v>
      </c>
      <c r="F2128" s="1">
        <v>8</v>
      </c>
      <c r="G2128" s="1">
        <v>6</v>
      </c>
      <c r="H2128" s="1">
        <v>0</v>
      </c>
      <c r="I2128" s="1">
        <v>2</v>
      </c>
      <c r="J2128" s="1">
        <v>3</v>
      </c>
    </row>
    <row r="2129" spans="1:10" x14ac:dyDescent="0.2">
      <c r="A2129" s="1">
        <v>1448</v>
      </c>
      <c r="B2129" s="1">
        <v>1</v>
      </c>
      <c r="C2129" s="1">
        <v>12</v>
      </c>
      <c r="D2129" s="1">
        <v>3</v>
      </c>
      <c r="E2129" s="1">
        <v>1</v>
      </c>
      <c r="F2129" s="1">
        <v>8</v>
      </c>
      <c r="G2129" s="1">
        <v>6</v>
      </c>
      <c r="H2129" s="1">
        <v>0</v>
      </c>
      <c r="I2129" s="1">
        <v>3</v>
      </c>
      <c r="J2129" s="1">
        <v>3</v>
      </c>
    </row>
    <row r="2130" spans="1:10" x14ac:dyDescent="0.2">
      <c r="A2130" s="1">
        <v>545</v>
      </c>
      <c r="B2130" s="1">
        <v>1</v>
      </c>
      <c r="C2130" s="1">
        <v>6</v>
      </c>
      <c r="D2130" s="1">
        <v>4</v>
      </c>
      <c r="E2130" s="1">
        <v>1</v>
      </c>
      <c r="F2130" s="1">
        <v>9</v>
      </c>
      <c r="G2130" s="1">
        <v>6</v>
      </c>
      <c r="H2130" s="1">
        <v>0</v>
      </c>
      <c r="I2130" s="1">
        <v>3</v>
      </c>
      <c r="J2130" s="1">
        <v>3</v>
      </c>
    </row>
    <row r="2131" spans="1:10" x14ac:dyDescent="0.2">
      <c r="A2131" s="1">
        <v>1725</v>
      </c>
      <c r="B2131" s="1">
        <v>1</v>
      </c>
      <c r="C2131" s="1">
        <v>11</v>
      </c>
      <c r="D2131" s="1">
        <v>1</v>
      </c>
      <c r="E2131" s="1">
        <v>1</v>
      </c>
      <c r="F2131" s="1">
        <v>6</v>
      </c>
      <c r="G2131" s="1">
        <v>7</v>
      </c>
      <c r="H2131" s="1">
        <v>1</v>
      </c>
      <c r="I2131" s="1">
        <v>0</v>
      </c>
      <c r="J2131" s="1">
        <v>3</v>
      </c>
    </row>
    <row r="2132" spans="1:10" x14ac:dyDescent="0.2">
      <c r="A2132" s="1">
        <v>272</v>
      </c>
      <c r="B2132" s="1">
        <v>1</v>
      </c>
      <c r="C2132" s="1">
        <v>13</v>
      </c>
      <c r="D2132" s="1">
        <v>5</v>
      </c>
      <c r="E2132" s="1">
        <v>1</v>
      </c>
      <c r="F2132" s="1">
        <v>7</v>
      </c>
      <c r="G2132" s="1">
        <v>7</v>
      </c>
      <c r="H2132" s="1">
        <v>0</v>
      </c>
      <c r="I2132" s="1">
        <v>3</v>
      </c>
      <c r="J2132" s="1">
        <v>3</v>
      </c>
    </row>
    <row r="2133" spans="1:10" x14ac:dyDescent="0.2">
      <c r="A2133" s="1">
        <v>841</v>
      </c>
      <c r="B2133" s="1">
        <v>1</v>
      </c>
      <c r="C2133" s="1">
        <v>13</v>
      </c>
      <c r="D2133" s="1">
        <v>4</v>
      </c>
      <c r="E2133" s="1">
        <v>1</v>
      </c>
      <c r="F2133" s="1">
        <v>7</v>
      </c>
      <c r="G2133" s="1">
        <v>7</v>
      </c>
      <c r="H2133" s="1">
        <v>1</v>
      </c>
      <c r="I2133" s="1">
        <v>1</v>
      </c>
      <c r="J2133" s="1">
        <v>3</v>
      </c>
    </row>
    <row r="2134" spans="1:10" x14ac:dyDescent="0.2">
      <c r="A2134" s="1">
        <v>1885</v>
      </c>
      <c r="B2134" s="1">
        <v>1</v>
      </c>
      <c r="C2134" s="1">
        <v>10</v>
      </c>
      <c r="D2134" s="1">
        <v>1</v>
      </c>
      <c r="E2134" s="1">
        <v>1</v>
      </c>
      <c r="F2134" s="1">
        <v>8</v>
      </c>
      <c r="G2134" s="1">
        <v>7</v>
      </c>
      <c r="H2134" s="1">
        <v>0</v>
      </c>
      <c r="I2134" s="1">
        <v>0</v>
      </c>
      <c r="J2134" s="1">
        <v>3</v>
      </c>
    </row>
    <row r="2135" spans="1:10" x14ac:dyDescent="0.2">
      <c r="A2135" s="1">
        <v>1640</v>
      </c>
      <c r="B2135" s="1">
        <v>1</v>
      </c>
      <c r="C2135" s="1">
        <v>18</v>
      </c>
      <c r="D2135" s="1">
        <v>4</v>
      </c>
      <c r="E2135" s="1">
        <v>1</v>
      </c>
      <c r="F2135" s="1">
        <v>9</v>
      </c>
      <c r="G2135" s="1">
        <v>7</v>
      </c>
      <c r="H2135" s="1">
        <v>1</v>
      </c>
      <c r="I2135" s="1">
        <v>0</v>
      </c>
      <c r="J2135" s="1">
        <v>3</v>
      </c>
    </row>
    <row r="2136" spans="1:10" x14ac:dyDescent="0.2">
      <c r="A2136" s="1">
        <v>542</v>
      </c>
      <c r="B2136" s="1">
        <v>1</v>
      </c>
      <c r="C2136" s="1">
        <v>17</v>
      </c>
      <c r="D2136" s="1">
        <v>5</v>
      </c>
      <c r="E2136" s="1">
        <v>1</v>
      </c>
      <c r="F2136" s="1">
        <v>10</v>
      </c>
      <c r="G2136" s="1">
        <v>7</v>
      </c>
      <c r="H2136" s="1">
        <v>1</v>
      </c>
      <c r="I2136" s="1">
        <v>2</v>
      </c>
      <c r="J2136" s="1">
        <v>3</v>
      </c>
    </row>
    <row r="2137" spans="1:10" x14ac:dyDescent="0.2">
      <c r="A2137" s="1">
        <v>1709</v>
      </c>
      <c r="B2137" s="1">
        <v>1</v>
      </c>
      <c r="C2137" s="1">
        <v>5</v>
      </c>
      <c r="D2137" s="1">
        <v>3</v>
      </c>
      <c r="E2137" s="1">
        <v>1</v>
      </c>
      <c r="F2137" s="1">
        <v>5</v>
      </c>
      <c r="G2137" s="1">
        <v>8</v>
      </c>
      <c r="H2137" s="1">
        <v>0</v>
      </c>
      <c r="I2137" s="1">
        <v>1</v>
      </c>
      <c r="J2137" s="1">
        <v>3</v>
      </c>
    </row>
    <row r="2138" spans="1:10" x14ac:dyDescent="0.2">
      <c r="A2138" s="1">
        <v>2500</v>
      </c>
      <c r="B2138" s="1">
        <v>1</v>
      </c>
      <c r="C2138" s="1">
        <v>6</v>
      </c>
      <c r="D2138" s="1">
        <v>1</v>
      </c>
      <c r="E2138" s="1">
        <v>1</v>
      </c>
      <c r="F2138" s="1">
        <v>5</v>
      </c>
      <c r="G2138" s="1">
        <v>8</v>
      </c>
      <c r="H2138" s="1">
        <v>1</v>
      </c>
      <c r="I2138" s="1">
        <v>2</v>
      </c>
      <c r="J2138" s="1">
        <v>3</v>
      </c>
    </row>
    <row r="2139" spans="1:10" x14ac:dyDescent="0.2">
      <c r="A2139" s="1">
        <v>1273</v>
      </c>
      <c r="B2139" s="1">
        <v>1</v>
      </c>
      <c r="C2139" s="1">
        <v>13</v>
      </c>
      <c r="D2139" s="1">
        <v>2</v>
      </c>
      <c r="E2139" s="1">
        <v>1</v>
      </c>
      <c r="F2139" s="1">
        <v>5</v>
      </c>
      <c r="G2139" s="1">
        <v>8</v>
      </c>
      <c r="H2139" s="1">
        <v>1</v>
      </c>
      <c r="I2139" s="1">
        <v>3</v>
      </c>
      <c r="J2139" s="1">
        <v>3</v>
      </c>
    </row>
    <row r="2140" spans="1:10" x14ac:dyDescent="0.2">
      <c r="A2140" s="1">
        <v>543</v>
      </c>
      <c r="B2140" s="1">
        <v>1</v>
      </c>
      <c r="C2140" s="1">
        <v>15</v>
      </c>
      <c r="D2140" s="1">
        <v>2</v>
      </c>
      <c r="E2140" s="1">
        <v>1</v>
      </c>
      <c r="F2140" s="1">
        <v>8</v>
      </c>
      <c r="G2140" s="1">
        <v>8</v>
      </c>
      <c r="H2140" s="1">
        <v>1</v>
      </c>
      <c r="I2140" s="1">
        <v>1</v>
      </c>
      <c r="J2140" s="1">
        <v>3</v>
      </c>
    </row>
    <row r="2141" spans="1:10" x14ac:dyDescent="0.2">
      <c r="A2141" s="1">
        <v>48</v>
      </c>
      <c r="B2141" s="1">
        <v>1</v>
      </c>
      <c r="C2141" s="1">
        <v>12</v>
      </c>
      <c r="D2141" s="1">
        <v>1</v>
      </c>
      <c r="E2141" s="1">
        <v>1</v>
      </c>
      <c r="F2141" s="1">
        <v>9</v>
      </c>
      <c r="G2141" s="1">
        <v>8</v>
      </c>
      <c r="H2141" s="1">
        <v>1</v>
      </c>
      <c r="I2141" s="1">
        <v>2</v>
      </c>
      <c r="J2141" s="1">
        <v>3</v>
      </c>
    </row>
    <row r="2142" spans="1:10" x14ac:dyDescent="0.2">
      <c r="A2142" s="1">
        <v>1574</v>
      </c>
      <c r="B2142" s="1">
        <v>1</v>
      </c>
      <c r="C2142" s="1">
        <v>19</v>
      </c>
      <c r="D2142" s="1">
        <v>2</v>
      </c>
      <c r="E2142" s="1">
        <v>1</v>
      </c>
      <c r="F2142" s="1">
        <v>9</v>
      </c>
      <c r="G2142" s="1">
        <v>8</v>
      </c>
      <c r="H2142" s="1">
        <v>0</v>
      </c>
      <c r="I2142" s="1">
        <v>3</v>
      </c>
      <c r="J2142" s="1">
        <v>3</v>
      </c>
    </row>
    <row r="2143" spans="1:10" x14ac:dyDescent="0.2">
      <c r="A2143" s="1">
        <v>34</v>
      </c>
      <c r="B2143" s="1">
        <v>1</v>
      </c>
      <c r="C2143" s="1">
        <v>8</v>
      </c>
      <c r="D2143" s="1">
        <v>4</v>
      </c>
      <c r="E2143" s="1">
        <v>2</v>
      </c>
      <c r="F2143" s="1">
        <v>10</v>
      </c>
      <c r="G2143" s="1">
        <v>8</v>
      </c>
      <c r="H2143" s="1">
        <v>0</v>
      </c>
      <c r="I2143" s="1">
        <v>2</v>
      </c>
      <c r="J2143" s="1">
        <v>3</v>
      </c>
    </row>
    <row r="2144" spans="1:10" x14ac:dyDescent="0.2">
      <c r="A2144" s="1">
        <v>1106</v>
      </c>
      <c r="B2144" s="1">
        <v>1</v>
      </c>
      <c r="C2144" s="1">
        <v>18</v>
      </c>
      <c r="D2144" s="1">
        <v>2</v>
      </c>
      <c r="E2144" s="1">
        <v>2</v>
      </c>
      <c r="F2144" s="1">
        <v>10</v>
      </c>
      <c r="G2144" s="1">
        <v>8</v>
      </c>
      <c r="H2144" s="1">
        <v>0</v>
      </c>
      <c r="I2144" s="1">
        <v>2</v>
      </c>
      <c r="J2144" s="1">
        <v>3</v>
      </c>
    </row>
    <row r="2145" spans="1:10" x14ac:dyDescent="0.2">
      <c r="A2145" s="1">
        <v>2485</v>
      </c>
      <c r="B2145" s="1">
        <v>1</v>
      </c>
      <c r="C2145" s="1">
        <v>12</v>
      </c>
      <c r="D2145" s="1">
        <v>2</v>
      </c>
      <c r="E2145" s="1">
        <v>1</v>
      </c>
      <c r="F2145" s="1">
        <v>4</v>
      </c>
      <c r="G2145" s="1">
        <v>9</v>
      </c>
      <c r="H2145" s="1">
        <v>1</v>
      </c>
      <c r="I2145" s="1">
        <v>3</v>
      </c>
      <c r="J2145" s="1">
        <v>3</v>
      </c>
    </row>
    <row r="2146" spans="1:10" x14ac:dyDescent="0.2">
      <c r="A2146" s="1">
        <v>1935</v>
      </c>
      <c r="B2146" s="1">
        <v>1</v>
      </c>
      <c r="C2146" s="1">
        <v>16</v>
      </c>
      <c r="D2146" s="1">
        <v>3</v>
      </c>
      <c r="E2146" s="1">
        <v>1</v>
      </c>
      <c r="F2146" s="1">
        <v>4</v>
      </c>
      <c r="G2146" s="1">
        <v>9</v>
      </c>
      <c r="H2146" s="1">
        <v>0</v>
      </c>
      <c r="I2146" s="1">
        <v>3</v>
      </c>
      <c r="J2146" s="1">
        <v>3</v>
      </c>
    </row>
    <row r="2147" spans="1:10" x14ac:dyDescent="0.2">
      <c r="A2147" s="1">
        <v>178</v>
      </c>
      <c r="B2147" s="1">
        <v>1</v>
      </c>
      <c r="C2147" s="1">
        <v>11</v>
      </c>
      <c r="D2147" s="1">
        <v>4</v>
      </c>
      <c r="E2147" s="1">
        <v>1</v>
      </c>
      <c r="F2147" s="1">
        <v>5</v>
      </c>
      <c r="G2147" s="1">
        <v>9</v>
      </c>
      <c r="H2147" s="1">
        <v>0</v>
      </c>
      <c r="I2147" s="1">
        <v>2</v>
      </c>
      <c r="J2147" s="1">
        <v>3</v>
      </c>
    </row>
    <row r="2148" spans="1:10" x14ac:dyDescent="0.2">
      <c r="A2148" s="1">
        <v>1462</v>
      </c>
      <c r="B2148" s="1">
        <v>1</v>
      </c>
      <c r="C2148" s="1">
        <v>18</v>
      </c>
      <c r="D2148" s="1">
        <v>5</v>
      </c>
      <c r="E2148" s="1">
        <v>1</v>
      </c>
      <c r="F2148" s="1">
        <v>5</v>
      </c>
      <c r="G2148" s="1">
        <v>9</v>
      </c>
      <c r="H2148" s="1">
        <v>1</v>
      </c>
      <c r="I2148" s="1">
        <v>2</v>
      </c>
      <c r="J2148" s="1">
        <v>3</v>
      </c>
    </row>
    <row r="2149" spans="1:10" x14ac:dyDescent="0.2">
      <c r="A2149" s="1">
        <v>1299</v>
      </c>
      <c r="B2149" s="1">
        <v>1</v>
      </c>
      <c r="C2149" s="1">
        <v>13</v>
      </c>
      <c r="D2149" s="1">
        <v>1</v>
      </c>
      <c r="E2149" s="1">
        <v>1</v>
      </c>
      <c r="F2149" s="1">
        <v>6</v>
      </c>
      <c r="G2149" s="1">
        <v>9</v>
      </c>
      <c r="H2149" s="1">
        <v>0</v>
      </c>
      <c r="I2149" s="1">
        <v>3</v>
      </c>
      <c r="J2149" s="1">
        <v>3</v>
      </c>
    </row>
    <row r="2150" spans="1:10" x14ac:dyDescent="0.2">
      <c r="A2150" s="1">
        <v>58</v>
      </c>
      <c r="B2150" s="1">
        <v>1</v>
      </c>
      <c r="C2150" s="1">
        <v>8</v>
      </c>
      <c r="D2150" s="1">
        <v>5</v>
      </c>
      <c r="E2150" s="1">
        <v>1</v>
      </c>
      <c r="F2150" s="1">
        <v>7</v>
      </c>
      <c r="G2150" s="1">
        <v>9</v>
      </c>
      <c r="H2150" s="1">
        <v>1</v>
      </c>
      <c r="I2150" s="1">
        <v>0</v>
      </c>
      <c r="J2150" s="1">
        <v>3</v>
      </c>
    </row>
    <row r="2151" spans="1:10" x14ac:dyDescent="0.2">
      <c r="A2151" s="1">
        <v>423</v>
      </c>
      <c r="B2151" s="1">
        <v>1</v>
      </c>
      <c r="C2151" s="1">
        <v>6</v>
      </c>
      <c r="D2151" s="1">
        <v>1</v>
      </c>
      <c r="E2151" s="1">
        <v>2</v>
      </c>
      <c r="F2151" s="1">
        <v>8</v>
      </c>
      <c r="G2151" s="1">
        <v>9</v>
      </c>
      <c r="H2151" s="1">
        <v>0</v>
      </c>
      <c r="I2151" s="1">
        <v>0</v>
      </c>
      <c r="J2151" s="1">
        <v>3</v>
      </c>
    </row>
    <row r="2152" spans="1:10" x14ac:dyDescent="0.2">
      <c r="A2152" s="1">
        <v>1796</v>
      </c>
      <c r="B2152" s="1">
        <v>1</v>
      </c>
      <c r="C2152" s="1">
        <v>8</v>
      </c>
      <c r="D2152" s="1">
        <v>1</v>
      </c>
      <c r="E2152" s="1">
        <v>2</v>
      </c>
      <c r="F2152" s="1">
        <v>8</v>
      </c>
      <c r="G2152" s="1">
        <v>9</v>
      </c>
      <c r="H2152" s="1">
        <v>1</v>
      </c>
      <c r="I2152" s="1">
        <v>2</v>
      </c>
      <c r="J2152" s="1">
        <v>3</v>
      </c>
    </row>
    <row r="2153" spans="1:10" x14ac:dyDescent="0.2">
      <c r="A2153" s="1">
        <v>105</v>
      </c>
      <c r="B2153" s="1">
        <v>1</v>
      </c>
      <c r="C2153" s="1">
        <v>19</v>
      </c>
      <c r="D2153" s="1">
        <v>5</v>
      </c>
      <c r="E2153" s="1">
        <v>2</v>
      </c>
      <c r="F2153" s="1">
        <v>8</v>
      </c>
      <c r="G2153" s="1">
        <v>9</v>
      </c>
      <c r="H2153" s="1">
        <v>1</v>
      </c>
      <c r="I2153" s="1">
        <v>3</v>
      </c>
      <c r="J2153" s="1">
        <v>3</v>
      </c>
    </row>
    <row r="2154" spans="1:10" x14ac:dyDescent="0.2">
      <c r="A2154" s="1">
        <v>2312</v>
      </c>
      <c r="B2154" s="1">
        <v>1</v>
      </c>
      <c r="C2154" s="1">
        <v>6</v>
      </c>
      <c r="D2154" s="1">
        <v>2</v>
      </c>
      <c r="E2154" s="1">
        <v>1</v>
      </c>
      <c r="F2154" s="1">
        <v>9</v>
      </c>
      <c r="G2154" s="1">
        <v>9</v>
      </c>
      <c r="H2154" s="1">
        <v>1</v>
      </c>
      <c r="I2154" s="1">
        <v>3</v>
      </c>
      <c r="J2154" s="1">
        <v>3</v>
      </c>
    </row>
    <row r="2155" spans="1:10" x14ac:dyDescent="0.2">
      <c r="A2155" s="1">
        <v>2080</v>
      </c>
      <c r="B2155" s="1">
        <v>1</v>
      </c>
      <c r="C2155" s="1">
        <v>7</v>
      </c>
      <c r="D2155" s="1">
        <v>4</v>
      </c>
      <c r="E2155" s="1">
        <v>2</v>
      </c>
      <c r="F2155" s="1">
        <v>10</v>
      </c>
      <c r="G2155" s="1">
        <v>9</v>
      </c>
      <c r="H2155" s="1">
        <v>1</v>
      </c>
      <c r="I2155" s="1">
        <v>2</v>
      </c>
      <c r="J2155" s="1">
        <v>3</v>
      </c>
    </row>
    <row r="2156" spans="1:10" x14ac:dyDescent="0.2">
      <c r="A2156" s="1">
        <v>1661</v>
      </c>
      <c r="B2156" s="1">
        <v>1</v>
      </c>
      <c r="C2156" s="1">
        <v>18</v>
      </c>
      <c r="D2156" s="1">
        <v>4</v>
      </c>
      <c r="E2156" s="1">
        <v>2</v>
      </c>
      <c r="F2156" s="1">
        <v>10</v>
      </c>
      <c r="G2156" s="1">
        <v>9</v>
      </c>
      <c r="H2156" s="1">
        <v>0</v>
      </c>
      <c r="I2156" s="1">
        <v>1</v>
      </c>
      <c r="J2156" s="1">
        <v>3</v>
      </c>
    </row>
    <row r="2157" spans="1:10" x14ac:dyDescent="0.2">
      <c r="A2157" s="1">
        <v>2152</v>
      </c>
      <c r="B2157" s="1">
        <v>1</v>
      </c>
      <c r="C2157" s="1">
        <v>19</v>
      </c>
      <c r="D2157" s="1">
        <v>5</v>
      </c>
      <c r="E2157" s="1">
        <v>2</v>
      </c>
      <c r="F2157" s="1">
        <v>10</v>
      </c>
      <c r="G2157" s="1">
        <v>9</v>
      </c>
      <c r="H2157" s="1">
        <v>0</v>
      </c>
      <c r="I2157" s="1">
        <v>1</v>
      </c>
      <c r="J2157" s="1">
        <v>3</v>
      </c>
    </row>
    <row r="2158" spans="1:10" x14ac:dyDescent="0.2">
      <c r="A2158" s="1">
        <v>293</v>
      </c>
      <c r="B2158" s="1">
        <v>1</v>
      </c>
      <c r="C2158" s="1">
        <v>6</v>
      </c>
      <c r="D2158" s="1">
        <v>4</v>
      </c>
      <c r="E2158" s="1">
        <v>1</v>
      </c>
      <c r="F2158" s="1">
        <v>4</v>
      </c>
      <c r="G2158" s="1">
        <v>10</v>
      </c>
      <c r="H2158" s="1">
        <v>1</v>
      </c>
      <c r="I2158" s="1">
        <v>3</v>
      </c>
      <c r="J2158" s="1">
        <v>3</v>
      </c>
    </row>
    <row r="2159" spans="1:10" x14ac:dyDescent="0.2">
      <c r="A2159" s="1">
        <v>2320</v>
      </c>
      <c r="B2159" s="1">
        <v>1</v>
      </c>
      <c r="C2159" s="1">
        <v>13</v>
      </c>
      <c r="D2159" s="1">
        <v>3</v>
      </c>
      <c r="E2159" s="1">
        <v>1</v>
      </c>
      <c r="F2159" s="1">
        <v>6</v>
      </c>
      <c r="G2159" s="1">
        <v>10</v>
      </c>
      <c r="H2159" s="1">
        <v>1</v>
      </c>
      <c r="I2159" s="1">
        <v>1</v>
      </c>
      <c r="J2159" s="1">
        <v>3</v>
      </c>
    </row>
    <row r="2160" spans="1:10" x14ac:dyDescent="0.2">
      <c r="A2160" s="1">
        <v>2438</v>
      </c>
      <c r="B2160" s="1">
        <v>1</v>
      </c>
      <c r="C2160" s="1">
        <v>9</v>
      </c>
      <c r="D2160" s="1">
        <v>4</v>
      </c>
      <c r="E2160" s="1">
        <v>1</v>
      </c>
      <c r="F2160" s="1">
        <v>7</v>
      </c>
      <c r="G2160" s="1">
        <v>10</v>
      </c>
      <c r="H2160" s="1">
        <v>1</v>
      </c>
      <c r="I2160" s="1">
        <v>2</v>
      </c>
      <c r="J2160" s="1">
        <v>3</v>
      </c>
    </row>
    <row r="2161" spans="1:10" x14ac:dyDescent="0.2">
      <c r="A2161" s="1">
        <v>2296</v>
      </c>
      <c r="B2161" s="1">
        <v>1</v>
      </c>
      <c r="C2161" s="1">
        <v>16</v>
      </c>
      <c r="D2161" s="1">
        <v>4</v>
      </c>
      <c r="E2161" s="1">
        <v>1</v>
      </c>
      <c r="F2161" s="1">
        <v>7</v>
      </c>
      <c r="G2161" s="1">
        <v>10</v>
      </c>
      <c r="H2161" s="1">
        <v>1</v>
      </c>
      <c r="I2161" s="1">
        <v>2</v>
      </c>
      <c r="J2161" s="1">
        <v>3</v>
      </c>
    </row>
    <row r="2162" spans="1:10" x14ac:dyDescent="0.2">
      <c r="A2162" s="1">
        <v>2432</v>
      </c>
      <c r="B2162" s="1">
        <v>1</v>
      </c>
      <c r="C2162" s="1">
        <v>7</v>
      </c>
      <c r="D2162" s="1">
        <v>1</v>
      </c>
      <c r="E2162" s="1">
        <v>2</v>
      </c>
      <c r="F2162" s="1">
        <v>7</v>
      </c>
      <c r="G2162" s="1">
        <v>10</v>
      </c>
      <c r="H2162" s="1">
        <v>0</v>
      </c>
      <c r="I2162" s="1">
        <v>3</v>
      </c>
      <c r="J2162" s="1">
        <v>3</v>
      </c>
    </row>
    <row r="2163" spans="1:10" x14ac:dyDescent="0.2">
      <c r="A2163" s="1">
        <v>2006</v>
      </c>
      <c r="B2163" s="1">
        <v>1</v>
      </c>
      <c r="C2163" s="1">
        <v>12</v>
      </c>
      <c r="D2163" s="1">
        <v>4</v>
      </c>
      <c r="E2163" s="1">
        <v>2</v>
      </c>
      <c r="F2163" s="1">
        <v>7</v>
      </c>
      <c r="G2163" s="1">
        <v>10</v>
      </c>
      <c r="H2163" s="1">
        <v>1</v>
      </c>
      <c r="I2163" s="1">
        <v>0</v>
      </c>
      <c r="J2163" s="1">
        <v>3</v>
      </c>
    </row>
    <row r="2164" spans="1:10" x14ac:dyDescent="0.2">
      <c r="A2164" s="1">
        <v>1061</v>
      </c>
      <c r="B2164" s="1">
        <v>1</v>
      </c>
      <c r="C2164" s="1">
        <v>13</v>
      </c>
      <c r="D2164" s="1">
        <v>2</v>
      </c>
      <c r="E2164" s="1">
        <v>2</v>
      </c>
      <c r="F2164" s="1">
        <v>7</v>
      </c>
      <c r="G2164" s="1">
        <v>10</v>
      </c>
      <c r="H2164" s="1">
        <v>0</v>
      </c>
      <c r="I2164" s="1">
        <v>3</v>
      </c>
      <c r="J2164" s="1">
        <v>3</v>
      </c>
    </row>
    <row r="2165" spans="1:10" x14ac:dyDescent="0.2">
      <c r="A2165" s="1">
        <v>1230</v>
      </c>
      <c r="B2165" s="1">
        <v>1</v>
      </c>
      <c r="C2165" s="1">
        <v>13</v>
      </c>
      <c r="D2165" s="1">
        <v>1</v>
      </c>
      <c r="E2165" s="1">
        <v>2</v>
      </c>
      <c r="F2165" s="1">
        <v>7</v>
      </c>
      <c r="G2165" s="1">
        <v>10</v>
      </c>
      <c r="H2165" s="1">
        <v>1</v>
      </c>
      <c r="I2165" s="1">
        <v>2</v>
      </c>
      <c r="J2165" s="1">
        <v>3</v>
      </c>
    </row>
    <row r="2166" spans="1:10" x14ac:dyDescent="0.2">
      <c r="A2166" s="1">
        <v>2091</v>
      </c>
      <c r="B2166" s="1">
        <v>1</v>
      </c>
      <c r="C2166" s="1">
        <v>13</v>
      </c>
      <c r="D2166" s="1">
        <v>4</v>
      </c>
      <c r="E2166" s="1">
        <v>2</v>
      </c>
      <c r="F2166" s="1">
        <v>7</v>
      </c>
      <c r="G2166" s="1">
        <v>10</v>
      </c>
      <c r="H2166" s="1">
        <v>1</v>
      </c>
      <c r="I2166" s="1">
        <v>3</v>
      </c>
      <c r="J2166" s="1">
        <v>3</v>
      </c>
    </row>
    <row r="2167" spans="1:10" x14ac:dyDescent="0.2">
      <c r="A2167" s="1">
        <v>1181</v>
      </c>
      <c r="B2167" s="1">
        <v>1</v>
      </c>
      <c r="C2167" s="1">
        <v>20</v>
      </c>
      <c r="D2167" s="1">
        <v>1</v>
      </c>
      <c r="E2167" s="1">
        <v>2</v>
      </c>
      <c r="F2167" s="1">
        <v>7</v>
      </c>
      <c r="G2167" s="1">
        <v>10</v>
      </c>
      <c r="H2167" s="1">
        <v>0</v>
      </c>
      <c r="I2167" s="1">
        <v>0</v>
      </c>
      <c r="J2167" s="1">
        <v>3</v>
      </c>
    </row>
    <row r="2168" spans="1:10" x14ac:dyDescent="0.2">
      <c r="A2168" s="1">
        <v>514</v>
      </c>
      <c r="B2168" s="1">
        <v>1</v>
      </c>
      <c r="C2168" s="1">
        <v>12</v>
      </c>
      <c r="D2168" s="1">
        <v>2</v>
      </c>
      <c r="E2168" s="1">
        <v>1</v>
      </c>
      <c r="F2168" s="1">
        <v>8</v>
      </c>
      <c r="G2168" s="1">
        <v>10</v>
      </c>
      <c r="H2168" s="1">
        <v>1</v>
      </c>
      <c r="I2168" s="1">
        <v>1</v>
      </c>
      <c r="J2168" s="1">
        <v>3</v>
      </c>
    </row>
    <row r="2169" spans="1:10" x14ac:dyDescent="0.2">
      <c r="A2169" s="1">
        <v>1535</v>
      </c>
      <c r="B2169" s="1">
        <v>1</v>
      </c>
      <c r="C2169" s="1">
        <v>15</v>
      </c>
      <c r="D2169" s="1">
        <v>1</v>
      </c>
      <c r="E2169" s="1">
        <v>1</v>
      </c>
      <c r="F2169" s="1">
        <v>8</v>
      </c>
      <c r="G2169" s="1">
        <v>10</v>
      </c>
      <c r="H2169" s="1">
        <v>0</v>
      </c>
      <c r="I2169" s="1">
        <v>2</v>
      </c>
      <c r="J2169" s="1">
        <v>3</v>
      </c>
    </row>
    <row r="2170" spans="1:10" x14ac:dyDescent="0.2">
      <c r="A2170" s="1">
        <v>1950</v>
      </c>
      <c r="B2170" s="1">
        <v>1</v>
      </c>
      <c r="C2170" s="1">
        <v>14</v>
      </c>
      <c r="D2170" s="1">
        <v>5</v>
      </c>
      <c r="E2170" s="1">
        <v>2</v>
      </c>
      <c r="F2170" s="1">
        <v>8</v>
      </c>
      <c r="G2170" s="1">
        <v>10</v>
      </c>
      <c r="H2170" s="1">
        <v>1</v>
      </c>
      <c r="I2170" s="1">
        <v>0</v>
      </c>
      <c r="J2170" s="1">
        <v>3</v>
      </c>
    </row>
    <row r="2171" spans="1:10" x14ac:dyDescent="0.2">
      <c r="A2171" s="1">
        <v>49</v>
      </c>
      <c r="B2171" s="1">
        <v>1</v>
      </c>
      <c r="C2171" s="1">
        <v>14</v>
      </c>
      <c r="D2171" s="1">
        <v>1</v>
      </c>
      <c r="E2171" s="1">
        <v>2</v>
      </c>
      <c r="F2171" s="1">
        <v>9</v>
      </c>
      <c r="G2171" s="1">
        <v>10</v>
      </c>
      <c r="H2171" s="1">
        <v>1</v>
      </c>
      <c r="I2171" s="1">
        <v>2</v>
      </c>
      <c r="J2171" s="1">
        <v>3</v>
      </c>
    </row>
    <row r="2172" spans="1:10" x14ac:dyDescent="0.2">
      <c r="A2172" s="1">
        <v>1672</v>
      </c>
      <c r="B2172" s="1">
        <v>1</v>
      </c>
      <c r="C2172" s="1">
        <v>18</v>
      </c>
      <c r="D2172" s="1">
        <v>1</v>
      </c>
      <c r="E2172" s="1">
        <v>2</v>
      </c>
      <c r="F2172" s="1">
        <v>9</v>
      </c>
      <c r="G2172" s="1">
        <v>10</v>
      </c>
      <c r="H2172" s="1">
        <v>1</v>
      </c>
      <c r="I2172" s="1">
        <v>0</v>
      </c>
      <c r="J2172" s="1">
        <v>3</v>
      </c>
    </row>
    <row r="2173" spans="1:10" x14ac:dyDescent="0.2">
      <c r="A2173" s="1">
        <v>2262</v>
      </c>
      <c r="B2173" s="1">
        <v>1</v>
      </c>
      <c r="C2173" s="1">
        <v>9</v>
      </c>
      <c r="D2173" s="1">
        <v>2</v>
      </c>
      <c r="E2173" s="1">
        <v>1</v>
      </c>
      <c r="F2173" s="1">
        <v>10</v>
      </c>
      <c r="G2173" s="1">
        <v>10</v>
      </c>
      <c r="H2173" s="1">
        <v>0</v>
      </c>
      <c r="I2173" s="1">
        <v>0</v>
      </c>
      <c r="J2173" s="1">
        <v>3</v>
      </c>
    </row>
    <row r="2174" spans="1:10" x14ac:dyDescent="0.2">
      <c r="A2174" s="1">
        <v>1532</v>
      </c>
      <c r="B2174" s="1">
        <v>1</v>
      </c>
      <c r="C2174" s="1">
        <v>19</v>
      </c>
      <c r="D2174" s="1">
        <v>2</v>
      </c>
      <c r="E2174" s="1">
        <v>1</v>
      </c>
      <c r="F2174" s="1">
        <v>10</v>
      </c>
      <c r="G2174" s="1">
        <v>10</v>
      </c>
      <c r="H2174" s="1">
        <v>0</v>
      </c>
      <c r="I2174" s="1">
        <v>3</v>
      </c>
      <c r="J2174" s="1">
        <v>3</v>
      </c>
    </row>
    <row r="2175" spans="1:10" x14ac:dyDescent="0.2">
      <c r="A2175" s="1">
        <v>1505</v>
      </c>
      <c r="B2175" s="1">
        <v>1</v>
      </c>
      <c r="C2175" s="1">
        <v>6</v>
      </c>
      <c r="D2175" s="1">
        <v>5</v>
      </c>
      <c r="E2175" s="1">
        <v>2</v>
      </c>
      <c r="F2175" s="1">
        <v>10</v>
      </c>
      <c r="G2175" s="1">
        <v>10</v>
      </c>
      <c r="H2175" s="1">
        <v>1</v>
      </c>
      <c r="I2175" s="1">
        <v>0</v>
      </c>
      <c r="J2175" s="1">
        <v>3</v>
      </c>
    </row>
    <row r="2176" spans="1:10" x14ac:dyDescent="0.2">
      <c r="A2176" s="1">
        <v>651</v>
      </c>
      <c r="B2176" s="1">
        <v>1</v>
      </c>
      <c r="C2176" s="1">
        <v>6</v>
      </c>
      <c r="D2176" s="1">
        <v>4</v>
      </c>
      <c r="E2176" s="1">
        <v>1</v>
      </c>
      <c r="F2176" s="1">
        <v>9</v>
      </c>
      <c r="G2176" s="1">
        <v>3</v>
      </c>
      <c r="H2176" s="1">
        <v>1</v>
      </c>
      <c r="I2176" s="1">
        <v>2</v>
      </c>
      <c r="J2176" s="1">
        <v>4</v>
      </c>
    </row>
    <row r="2177" spans="1:10" x14ac:dyDescent="0.2">
      <c r="A2177" s="1">
        <v>849</v>
      </c>
      <c r="B2177" s="1">
        <v>1</v>
      </c>
      <c r="C2177" s="1">
        <v>8</v>
      </c>
      <c r="D2177" s="1">
        <v>3</v>
      </c>
      <c r="E2177" s="1">
        <v>1</v>
      </c>
      <c r="F2177" s="1">
        <v>9</v>
      </c>
      <c r="G2177" s="1">
        <v>3</v>
      </c>
      <c r="H2177" s="1">
        <v>1</v>
      </c>
      <c r="I2177" s="1">
        <v>3</v>
      </c>
      <c r="J2177" s="1">
        <v>4</v>
      </c>
    </row>
    <row r="2178" spans="1:10" x14ac:dyDescent="0.2">
      <c r="A2178" s="1">
        <v>2099</v>
      </c>
      <c r="B2178" s="1">
        <v>1</v>
      </c>
      <c r="C2178" s="1">
        <v>8</v>
      </c>
      <c r="D2178" s="1">
        <v>1</v>
      </c>
      <c r="E2178" s="1">
        <v>1</v>
      </c>
      <c r="F2178" s="1">
        <v>9</v>
      </c>
      <c r="G2178" s="1">
        <v>3</v>
      </c>
      <c r="H2178" s="1">
        <v>1</v>
      </c>
      <c r="I2178" s="1">
        <v>1</v>
      </c>
      <c r="J2178" s="1">
        <v>4</v>
      </c>
    </row>
    <row r="2179" spans="1:10" x14ac:dyDescent="0.2">
      <c r="A2179" s="1">
        <v>214</v>
      </c>
      <c r="B2179" s="1">
        <v>1</v>
      </c>
      <c r="C2179" s="1">
        <v>9</v>
      </c>
      <c r="D2179" s="1">
        <v>1</v>
      </c>
      <c r="E2179" s="1">
        <v>1</v>
      </c>
      <c r="F2179" s="1">
        <v>9</v>
      </c>
      <c r="G2179" s="1">
        <v>3</v>
      </c>
      <c r="H2179" s="1">
        <v>1</v>
      </c>
      <c r="I2179" s="1">
        <v>1</v>
      </c>
      <c r="J2179" s="1">
        <v>4</v>
      </c>
    </row>
    <row r="2180" spans="1:10" x14ac:dyDescent="0.2">
      <c r="A2180" s="1">
        <v>905</v>
      </c>
      <c r="B2180" s="1">
        <v>1</v>
      </c>
      <c r="C2180" s="1">
        <v>14</v>
      </c>
      <c r="D2180" s="1">
        <v>2</v>
      </c>
      <c r="E2180" s="1">
        <v>1</v>
      </c>
      <c r="F2180" s="1">
        <v>9</v>
      </c>
      <c r="G2180" s="1">
        <v>3</v>
      </c>
      <c r="H2180" s="1">
        <v>0</v>
      </c>
      <c r="I2180" s="1">
        <v>1</v>
      </c>
      <c r="J2180" s="1">
        <v>4</v>
      </c>
    </row>
    <row r="2181" spans="1:10" x14ac:dyDescent="0.2">
      <c r="A2181" s="1">
        <v>1306</v>
      </c>
      <c r="B2181" s="1">
        <v>1</v>
      </c>
      <c r="C2181" s="1">
        <v>10</v>
      </c>
      <c r="D2181" s="1">
        <v>2</v>
      </c>
      <c r="E2181" s="1">
        <v>1</v>
      </c>
      <c r="F2181" s="1">
        <v>10</v>
      </c>
      <c r="G2181" s="1">
        <v>3</v>
      </c>
      <c r="H2181" s="1">
        <v>0</v>
      </c>
      <c r="I2181" s="1">
        <v>0</v>
      </c>
      <c r="J2181" s="1">
        <v>4</v>
      </c>
    </row>
    <row r="2182" spans="1:10" x14ac:dyDescent="0.2">
      <c r="A2182" s="1">
        <v>375</v>
      </c>
      <c r="B2182" s="1">
        <v>1</v>
      </c>
      <c r="C2182" s="1">
        <v>14</v>
      </c>
      <c r="D2182" s="1">
        <v>3</v>
      </c>
      <c r="E2182" s="1">
        <v>1</v>
      </c>
      <c r="F2182" s="1">
        <v>8</v>
      </c>
      <c r="G2182" s="1">
        <v>4</v>
      </c>
      <c r="H2182" s="1">
        <v>0</v>
      </c>
      <c r="I2182" s="1">
        <v>3</v>
      </c>
      <c r="J2182" s="1">
        <v>4</v>
      </c>
    </row>
    <row r="2183" spans="1:10" x14ac:dyDescent="0.2">
      <c r="A2183" s="1">
        <v>140</v>
      </c>
      <c r="B2183" s="1">
        <v>1</v>
      </c>
      <c r="C2183" s="1">
        <v>11</v>
      </c>
      <c r="D2183" s="1">
        <v>4</v>
      </c>
      <c r="E2183" s="1">
        <v>1</v>
      </c>
      <c r="F2183" s="1">
        <v>10</v>
      </c>
      <c r="G2183" s="1">
        <v>4</v>
      </c>
      <c r="H2183" s="1">
        <v>0</v>
      </c>
      <c r="I2183" s="1">
        <v>2</v>
      </c>
      <c r="J2183" s="1">
        <v>4</v>
      </c>
    </row>
    <row r="2184" spans="1:10" x14ac:dyDescent="0.2">
      <c r="A2184" s="1">
        <v>2161</v>
      </c>
      <c r="B2184" s="1">
        <v>1</v>
      </c>
      <c r="C2184" s="1">
        <v>13</v>
      </c>
      <c r="D2184" s="1">
        <v>2</v>
      </c>
      <c r="E2184" s="1">
        <v>1</v>
      </c>
      <c r="F2184" s="1">
        <v>10</v>
      </c>
      <c r="G2184" s="1">
        <v>4</v>
      </c>
      <c r="H2184" s="1">
        <v>0</v>
      </c>
      <c r="I2184" s="1">
        <v>3</v>
      </c>
      <c r="J2184" s="1">
        <v>4</v>
      </c>
    </row>
    <row r="2185" spans="1:10" x14ac:dyDescent="0.2">
      <c r="A2185" s="1">
        <v>204</v>
      </c>
      <c r="B2185" s="1">
        <v>1</v>
      </c>
      <c r="C2185" s="1">
        <v>5</v>
      </c>
      <c r="D2185" s="1">
        <v>3</v>
      </c>
      <c r="E2185" s="1">
        <v>1</v>
      </c>
      <c r="F2185" s="1">
        <v>9</v>
      </c>
      <c r="G2185" s="1">
        <v>5</v>
      </c>
      <c r="H2185" s="1">
        <v>0</v>
      </c>
      <c r="I2185" s="1">
        <v>3</v>
      </c>
      <c r="J2185" s="1">
        <v>4</v>
      </c>
    </row>
    <row r="2186" spans="1:10" x14ac:dyDescent="0.2">
      <c r="A2186" s="1">
        <v>1242</v>
      </c>
      <c r="B2186" s="1">
        <v>1</v>
      </c>
      <c r="C2186" s="1">
        <v>16</v>
      </c>
      <c r="D2186" s="1">
        <v>1</v>
      </c>
      <c r="E2186" s="1">
        <v>1</v>
      </c>
      <c r="F2186" s="1">
        <v>9</v>
      </c>
      <c r="G2186" s="1">
        <v>5</v>
      </c>
      <c r="H2186" s="1">
        <v>1</v>
      </c>
      <c r="I2186" s="1">
        <v>3</v>
      </c>
      <c r="J2186" s="1">
        <v>4</v>
      </c>
    </row>
    <row r="2187" spans="1:10" x14ac:dyDescent="0.2">
      <c r="A2187" s="1">
        <v>820</v>
      </c>
      <c r="B2187" s="1">
        <v>1</v>
      </c>
      <c r="C2187" s="1">
        <v>6</v>
      </c>
      <c r="D2187" s="1">
        <v>4</v>
      </c>
      <c r="E2187" s="1">
        <v>1</v>
      </c>
      <c r="F2187" s="1">
        <v>10</v>
      </c>
      <c r="G2187" s="1">
        <v>5</v>
      </c>
      <c r="H2187" s="1">
        <v>0</v>
      </c>
      <c r="I2187" s="1">
        <v>2</v>
      </c>
      <c r="J2187" s="1">
        <v>4</v>
      </c>
    </row>
    <row r="2188" spans="1:10" x14ac:dyDescent="0.2">
      <c r="A2188" s="1">
        <v>1084</v>
      </c>
      <c r="B2188" s="1">
        <v>1</v>
      </c>
      <c r="C2188" s="1">
        <v>15</v>
      </c>
      <c r="D2188" s="1">
        <v>1</v>
      </c>
      <c r="E2188" s="1">
        <v>1</v>
      </c>
      <c r="F2188" s="1">
        <v>10</v>
      </c>
      <c r="G2188" s="1">
        <v>5</v>
      </c>
      <c r="H2188" s="1">
        <v>0</v>
      </c>
      <c r="I2188" s="1">
        <v>0</v>
      </c>
      <c r="J2188" s="1">
        <v>4</v>
      </c>
    </row>
    <row r="2189" spans="1:10" x14ac:dyDescent="0.2">
      <c r="A2189" s="1">
        <v>629</v>
      </c>
      <c r="B2189" s="1">
        <v>1</v>
      </c>
      <c r="C2189" s="1">
        <v>14</v>
      </c>
      <c r="D2189" s="1">
        <v>2</v>
      </c>
      <c r="E2189" s="1">
        <v>1</v>
      </c>
      <c r="F2189" s="1">
        <v>6</v>
      </c>
      <c r="G2189" s="1">
        <v>6</v>
      </c>
      <c r="H2189" s="1">
        <v>0</v>
      </c>
      <c r="I2189" s="1">
        <v>2</v>
      </c>
      <c r="J2189" s="1">
        <v>4</v>
      </c>
    </row>
    <row r="2190" spans="1:10" x14ac:dyDescent="0.2">
      <c r="A2190" s="1">
        <v>1185</v>
      </c>
      <c r="B2190" s="1">
        <v>1</v>
      </c>
      <c r="C2190" s="1">
        <v>18</v>
      </c>
      <c r="D2190" s="1">
        <v>4</v>
      </c>
      <c r="E2190" s="1">
        <v>1</v>
      </c>
      <c r="F2190" s="1">
        <v>6</v>
      </c>
      <c r="G2190" s="1">
        <v>6</v>
      </c>
      <c r="H2190" s="1">
        <v>0</v>
      </c>
      <c r="I2190" s="1">
        <v>1</v>
      </c>
      <c r="J2190" s="1">
        <v>4</v>
      </c>
    </row>
    <row r="2191" spans="1:10" x14ac:dyDescent="0.2">
      <c r="A2191" s="1">
        <v>856</v>
      </c>
      <c r="B2191" s="1">
        <v>1</v>
      </c>
      <c r="C2191" s="1">
        <v>10</v>
      </c>
      <c r="D2191" s="1">
        <v>2</v>
      </c>
      <c r="E2191" s="1">
        <v>1</v>
      </c>
      <c r="F2191" s="1">
        <v>8</v>
      </c>
      <c r="G2191" s="1">
        <v>6</v>
      </c>
      <c r="H2191" s="1">
        <v>1</v>
      </c>
      <c r="I2191" s="1">
        <v>0</v>
      </c>
      <c r="J2191" s="1">
        <v>4</v>
      </c>
    </row>
    <row r="2192" spans="1:10" x14ac:dyDescent="0.2">
      <c r="A2192" s="1">
        <v>374</v>
      </c>
      <c r="B2192" s="1">
        <v>1</v>
      </c>
      <c r="C2192" s="1">
        <v>15</v>
      </c>
      <c r="D2192" s="1">
        <v>1</v>
      </c>
      <c r="E2192" s="1">
        <v>1</v>
      </c>
      <c r="F2192" s="1">
        <v>8</v>
      </c>
      <c r="G2192" s="1">
        <v>6</v>
      </c>
      <c r="H2192" s="1">
        <v>0</v>
      </c>
      <c r="I2192" s="1">
        <v>0</v>
      </c>
      <c r="J2192" s="1">
        <v>4</v>
      </c>
    </row>
    <row r="2193" spans="1:10" x14ac:dyDescent="0.2">
      <c r="A2193" s="1">
        <v>125</v>
      </c>
      <c r="B2193" s="1">
        <v>1</v>
      </c>
      <c r="C2193" s="1">
        <v>19</v>
      </c>
      <c r="D2193" s="1">
        <v>3</v>
      </c>
      <c r="E2193" s="1">
        <v>1</v>
      </c>
      <c r="F2193" s="1">
        <v>8</v>
      </c>
      <c r="G2193" s="1">
        <v>6</v>
      </c>
      <c r="H2193" s="1">
        <v>1</v>
      </c>
      <c r="I2193" s="1">
        <v>2</v>
      </c>
      <c r="J2193" s="1">
        <v>4</v>
      </c>
    </row>
    <row r="2194" spans="1:10" x14ac:dyDescent="0.2">
      <c r="A2194" s="1">
        <v>1791</v>
      </c>
      <c r="B2194" s="1">
        <v>1</v>
      </c>
      <c r="C2194" s="1">
        <v>19</v>
      </c>
      <c r="D2194" s="1">
        <v>2</v>
      </c>
      <c r="E2194" s="1">
        <v>1</v>
      </c>
      <c r="F2194" s="1">
        <v>8</v>
      </c>
      <c r="G2194" s="1">
        <v>6</v>
      </c>
      <c r="H2194" s="1">
        <v>1</v>
      </c>
      <c r="I2194" s="1">
        <v>0</v>
      </c>
      <c r="J2194" s="1">
        <v>4</v>
      </c>
    </row>
    <row r="2195" spans="1:10" x14ac:dyDescent="0.2">
      <c r="A2195" s="1">
        <v>1345</v>
      </c>
      <c r="B2195" s="1">
        <v>1</v>
      </c>
      <c r="C2195" s="1">
        <v>18</v>
      </c>
      <c r="D2195" s="1">
        <v>1</v>
      </c>
      <c r="E2195" s="1">
        <v>1</v>
      </c>
      <c r="F2195" s="1">
        <v>9</v>
      </c>
      <c r="G2195" s="1">
        <v>6</v>
      </c>
      <c r="H2195" s="1">
        <v>0</v>
      </c>
      <c r="I2195" s="1">
        <v>1</v>
      </c>
      <c r="J2195" s="1">
        <v>4</v>
      </c>
    </row>
    <row r="2196" spans="1:10" x14ac:dyDescent="0.2">
      <c r="A2196" s="1">
        <v>1548</v>
      </c>
      <c r="B2196" s="1">
        <v>1</v>
      </c>
      <c r="C2196" s="1">
        <v>7</v>
      </c>
      <c r="D2196" s="1">
        <v>4</v>
      </c>
      <c r="E2196" s="1">
        <v>1</v>
      </c>
      <c r="F2196" s="1">
        <v>10</v>
      </c>
      <c r="G2196" s="1">
        <v>6</v>
      </c>
      <c r="H2196" s="1">
        <v>0</v>
      </c>
      <c r="I2196" s="1">
        <v>2</v>
      </c>
      <c r="J2196" s="1">
        <v>4</v>
      </c>
    </row>
    <row r="2197" spans="1:10" x14ac:dyDescent="0.2">
      <c r="A2197" s="1">
        <v>505</v>
      </c>
      <c r="B2197" s="1">
        <v>1</v>
      </c>
      <c r="C2197" s="1">
        <v>10</v>
      </c>
      <c r="D2197" s="1">
        <v>2</v>
      </c>
      <c r="E2197" s="1">
        <v>1</v>
      </c>
      <c r="F2197" s="1">
        <v>10</v>
      </c>
      <c r="G2197" s="1">
        <v>6</v>
      </c>
      <c r="H2197" s="1">
        <v>0</v>
      </c>
      <c r="I2197" s="1">
        <v>0</v>
      </c>
      <c r="J2197" s="1">
        <v>4</v>
      </c>
    </row>
    <row r="2198" spans="1:10" x14ac:dyDescent="0.2">
      <c r="A2198" s="1">
        <v>2267</v>
      </c>
      <c r="B2198" s="1">
        <v>1</v>
      </c>
      <c r="C2198" s="1">
        <v>14</v>
      </c>
      <c r="D2198" s="1">
        <v>3</v>
      </c>
      <c r="E2198" s="1">
        <v>1</v>
      </c>
      <c r="F2198" s="1">
        <v>10</v>
      </c>
      <c r="G2198" s="1">
        <v>6</v>
      </c>
      <c r="H2198" s="1">
        <v>0</v>
      </c>
      <c r="I2198" s="1">
        <v>1</v>
      </c>
      <c r="J2198" s="1">
        <v>4</v>
      </c>
    </row>
    <row r="2199" spans="1:10" x14ac:dyDescent="0.2">
      <c r="A2199" s="1">
        <v>837</v>
      </c>
      <c r="B2199" s="1">
        <v>1</v>
      </c>
      <c r="C2199" s="1">
        <v>17</v>
      </c>
      <c r="D2199" s="1">
        <v>2</v>
      </c>
      <c r="E2199" s="1">
        <v>2</v>
      </c>
      <c r="F2199" s="1">
        <v>10</v>
      </c>
      <c r="G2199" s="1">
        <v>6</v>
      </c>
      <c r="H2199" s="1">
        <v>0</v>
      </c>
      <c r="I2199" s="1">
        <v>3</v>
      </c>
      <c r="J2199" s="1">
        <v>4</v>
      </c>
    </row>
    <row r="2200" spans="1:10" x14ac:dyDescent="0.2">
      <c r="A2200" s="1">
        <v>1115</v>
      </c>
      <c r="B2200" s="1">
        <v>1</v>
      </c>
      <c r="C2200" s="1">
        <v>10</v>
      </c>
      <c r="D2200" s="1">
        <v>2</v>
      </c>
      <c r="E2200" s="1">
        <v>1</v>
      </c>
      <c r="F2200" s="1">
        <v>4</v>
      </c>
      <c r="G2200" s="1">
        <v>7</v>
      </c>
      <c r="H2200" s="1">
        <v>0</v>
      </c>
      <c r="I2200" s="1">
        <v>2</v>
      </c>
      <c r="J2200" s="1">
        <v>4</v>
      </c>
    </row>
    <row r="2201" spans="1:10" x14ac:dyDescent="0.2">
      <c r="A2201" s="1">
        <v>484</v>
      </c>
      <c r="B2201" s="1">
        <v>1</v>
      </c>
      <c r="C2201" s="1">
        <v>19</v>
      </c>
      <c r="D2201" s="1">
        <v>5</v>
      </c>
      <c r="E2201" s="1">
        <v>1</v>
      </c>
      <c r="F2201" s="1">
        <v>4</v>
      </c>
      <c r="G2201" s="1">
        <v>7</v>
      </c>
      <c r="H2201" s="1">
        <v>1</v>
      </c>
      <c r="I2201" s="1">
        <v>2</v>
      </c>
      <c r="J2201" s="1">
        <v>4</v>
      </c>
    </row>
    <row r="2202" spans="1:10" x14ac:dyDescent="0.2">
      <c r="A2202" s="1">
        <v>594</v>
      </c>
      <c r="B2202" s="1">
        <v>1</v>
      </c>
      <c r="C2202" s="1">
        <v>19</v>
      </c>
      <c r="D2202" s="1">
        <v>4</v>
      </c>
      <c r="E2202" s="1">
        <v>1</v>
      </c>
      <c r="F2202" s="1">
        <v>5</v>
      </c>
      <c r="G2202" s="1">
        <v>7</v>
      </c>
      <c r="H2202" s="1">
        <v>1</v>
      </c>
      <c r="I2202" s="1">
        <v>1</v>
      </c>
      <c r="J2202" s="1">
        <v>4</v>
      </c>
    </row>
    <row r="2203" spans="1:10" x14ac:dyDescent="0.2">
      <c r="A2203" s="1">
        <v>1744</v>
      </c>
      <c r="B2203" s="1">
        <v>1</v>
      </c>
      <c r="C2203" s="1">
        <v>19</v>
      </c>
      <c r="D2203" s="1">
        <v>1</v>
      </c>
      <c r="E2203" s="1">
        <v>1</v>
      </c>
      <c r="F2203" s="1">
        <v>5</v>
      </c>
      <c r="G2203" s="1">
        <v>7</v>
      </c>
      <c r="H2203" s="1">
        <v>1</v>
      </c>
      <c r="I2203" s="1">
        <v>2</v>
      </c>
      <c r="J2203" s="1">
        <v>4</v>
      </c>
    </row>
    <row r="2204" spans="1:10" x14ac:dyDescent="0.2">
      <c r="A2204" s="1">
        <v>1511</v>
      </c>
      <c r="B2204" s="1">
        <v>1</v>
      </c>
      <c r="C2204" s="1">
        <v>15</v>
      </c>
      <c r="D2204" s="1">
        <v>5</v>
      </c>
      <c r="E2204" s="1">
        <v>1</v>
      </c>
      <c r="F2204" s="1">
        <v>7</v>
      </c>
      <c r="G2204" s="1">
        <v>7</v>
      </c>
      <c r="H2204" s="1">
        <v>0</v>
      </c>
      <c r="I2204" s="1">
        <v>0</v>
      </c>
      <c r="J2204" s="1">
        <v>4</v>
      </c>
    </row>
    <row r="2205" spans="1:10" x14ac:dyDescent="0.2">
      <c r="A2205" s="1">
        <v>1680</v>
      </c>
      <c r="B2205" s="1">
        <v>1</v>
      </c>
      <c r="C2205" s="1">
        <v>5</v>
      </c>
      <c r="D2205" s="1">
        <v>5</v>
      </c>
      <c r="E2205" s="1">
        <v>1</v>
      </c>
      <c r="F2205" s="1">
        <v>8</v>
      </c>
      <c r="G2205" s="1">
        <v>7</v>
      </c>
      <c r="H2205" s="1">
        <v>1</v>
      </c>
      <c r="I2205" s="1">
        <v>2</v>
      </c>
      <c r="J2205" s="1">
        <v>4</v>
      </c>
    </row>
    <row r="2206" spans="1:10" x14ac:dyDescent="0.2">
      <c r="A2206" s="1">
        <v>767</v>
      </c>
      <c r="B2206" s="1">
        <v>1</v>
      </c>
      <c r="C2206" s="1">
        <v>17</v>
      </c>
      <c r="D2206" s="1">
        <v>2</v>
      </c>
      <c r="E2206" s="1">
        <v>1</v>
      </c>
      <c r="F2206" s="1">
        <v>8</v>
      </c>
      <c r="G2206" s="1">
        <v>7</v>
      </c>
      <c r="H2206" s="1">
        <v>1</v>
      </c>
      <c r="I2206" s="1">
        <v>0</v>
      </c>
      <c r="J2206" s="1">
        <v>4</v>
      </c>
    </row>
    <row r="2207" spans="1:10" x14ac:dyDescent="0.2">
      <c r="A2207" s="1">
        <v>974</v>
      </c>
      <c r="B2207" s="1">
        <v>1</v>
      </c>
      <c r="C2207" s="1">
        <v>17</v>
      </c>
      <c r="D2207" s="1">
        <v>1</v>
      </c>
      <c r="E2207" s="1">
        <v>1</v>
      </c>
      <c r="F2207" s="1">
        <v>8</v>
      </c>
      <c r="G2207" s="1">
        <v>7</v>
      </c>
      <c r="H2207" s="1">
        <v>0</v>
      </c>
      <c r="I2207" s="1">
        <v>1</v>
      </c>
      <c r="J2207" s="1">
        <v>4</v>
      </c>
    </row>
    <row r="2208" spans="1:10" x14ac:dyDescent="0.2">
      <c r="A2208" s="1">
        <v>1775</v>
      </c>
      <c r="B2208" s="1">
        <v>1</v>
      </c>
      <c r="C2208" s="1">
        <v>19</v>
      </c>
      <c r="D2208" s="1">
        <v>5</v>
      </c>
      <c r="E2208" s="1">
        <v>1</v>
      </c>
      <c r="F2208" s="1">
        <v>8</v>
      </c>
      <c r="G2208" s="1">
        <v>7</v>
      </c>
      <c r="H2208" s="1">
        <v>1</v>
      </c>
      <c r="I2208" s="1">
        <v>3</v>
      </c>
      <c r="J2208" s="1">
        <v>4</v>
      </c>
    </row>
    <row r="2209" spans="1:10" x14ac:dyDescent="0.2">
      <c r="A2209" s="1">
        <v>1513</v>
      </c>
      <c r="B2209" s="1">
        <v>1</v>
      </c>
      <c r="C2209" s="1">
        <v>15</v>
      </c>
      <c r="D2209" s="1">
        <v>5</v>
      </c>
      <c r="E2209" s="1">
        <v>2</v>
      </c>
      <c r="F2209" s="1">
        <v>8</v>
      </c>
      <c r="G2209" s="1">
        <v>7</v>
      </c>
      <c r="H2209" s="1">
        <v>0</v>
      </c>
      <c r="I2209" s="1">
        <v>1</v>
      </c>
      <c r="J2209" s="1">
        <v>4</v>
      </c>
    </row>
    <row r="2210" spans="1:10" x14ac:dyDescent="0.2">
      <c r="A2210" s="1">
        <v>2233</v>
      </c>
      <c r="B2210" s="1">
        <v>1</v>
      </c>
      <c r="C2210" s="1">
        <v>20</v>
      </c>
      <c r="D2210" s="1">
        <v>1</v>
      </c>
      <c r="E2210" s="1">
        <v>2</v>
      </c>
      <c r="F2210" s="1">
        <v>9</v>
      </c>
      <c r="G2210" s="1">
        <v>7</v>
      </c>
      <c r="H2210" s="1">
        <v>0</v>
      </c>
      <c r="I2210" s="1">
        <v>0</v>
      </c>
      <c r="J2210" s="1">
        <v>4</v>
      </c>
    </row>
    <row r="2211" spans="1:10" x14ac:dyDescent="0.2">
      <c r="A2211" s="1">
        <v>154</v>
      </c>
      <c r="B2211" s="1">
        <v>1</v>
      </c>
      <c r="C2211" s="1">
        <v>19</v>
      </c>
      <c r="D2211" s="1">
        <v>1</v>
      </c>
      <c r="E2211" s="1">
        <v>2</v>
      </c>
      <c r="F2211" s="1">
        <v>10</v>
      </c>
      <c r="G2211" s="1">
        <v>7</v>
      </c>
      <c r="H2211" s="1">
        <v>1</v>
      </c>
      <c r="I2211" s="1">
        <v>1</v>
      </c>
      <c r="J2211" s="1">
        <v>4</v>
      </c>
    </row>
    <row r="2212" spans="1:10" x14ac:dyDescent="0.2">
      <c r="A2212" s="1">
        <v>42</v>
      </c>
      <c r="B2212" s="1">
        <v>1</v>
      </c>
      <c r="C2212" s="1">
        <v>8</v>
      </c>
      <c r="D2212" s="1">
        <v>5</v>
      </c>
      <c r="E2212" s="1">
        <v>1</v>
      </c>
      <c r="F2212" s="1">
        <v>3</v>
      </c>
      <c r="G2212" s="1">
        <v>8</v>
      </c>
      <c r="H2212" s="1">
        <v>0</v>
      </c>
      <c r="I2212" s="1">
        <v>2</v>
      </c>
      <c r="J2212" s="1">
        <v>4</v>
      </c>
    </row>
    <row r="2213" spans="1:10" x14ac:dyDescent="0.2">
      <c r="A2213" s="1">
        <v>118</v>
      </c>
      <c r="B2213" s="1">
        <v>1</v>
      </c>
      <c r="C2213" s="1">
        <v>18</v>
      </c>
      <c r="D2213" s="1">
        <v>5</v>
      </c>
      <c r="E2213" s="1">
        <v>1</v>
      </c>
      <c r="F2213" s="1">
        <v>3</v>
      </c>
      <c r="G2213" s="1">
        <v>8</v>
      </c>
      <c r="H2213" s="1">
        <v>1</v>
      </c>
      <c r="I2213" s="1">
        <v>2</v>
      </c>
      <c r="J2213" s="1">
        <v>4</v>
      </c>
    </row>
    <row r="2214" spans="1:10" x14ac:dyDescent="0.2">
      <c r="A2214" s="1">
        <v>625</v>
      </c>
      <c r="B2214" s="1">
        <v>1</v>
      </c>
      <c r="C2214" s="1">
        <v>10</v>
      </c>
      <c r="D2214" s="1">
        <v>5</v>
      </c>
      <c r="E2214" s="1">
        <v>1</v>
      </c>
      <c r="F2214" s="1">
        <v>4</v>
      </c>
      <c r="G2214" s="1">
        <v>8</v>
      </c>
      <c r="H2214" s="1">
        <v>1</v>
      </c>
      <c r="I2214" s="1">
        <v>2</v>
      </c>
      <c r="J2214" s="1">
        <v>4</v>
      </c>
    </row>
    <row r="2215" spans="1:10" x14ac:dyDescent="0.2">
      <c r="A2215" s="1">
        <v>1804</v>
      </c>
      <c r="B2215" s="1">
        <v>1</v>
      </c>
      <c r="C2215" s="1">
        <v>16</v>
      </c>
      <c r="D2215" s="1">
        <v>4</v>
      </c>
      <c r="E2215" s="1">
        <v>1</v>
      </c>
      <c r="F2215" s="1">
        <v>4</v>
      </c>
      <c r="G2215" s="1">
        <v>8</v>
      </c>
      <c r="H2215" s="1">
        <v>0</v>
      </c>
      <c r="I2215" s="1">
        <v>1</v>
      </c>
      <c r="J2215" s="1">
        <v>4</v>
      </c>
    </row>
    <row r="2216" spans="1:10" x14ac:dyDescent="0.2">
      <c r="A2216" s="1">
        <v>1274</v>
      </c>
      <c r="B2216" s="1">
        <v>1</v>
      </c>
      <c r="C2216" s="1">
        <v>9</v>
      </c>
      <c r="D2216" s="1">
        <v>4</v>
      </c>
      <c r="E2216" s="1">
        <v>1</v>
      </c>
      <c r="F2216" s="1">
        <v>6</v>
      </c>
      <c r="G2216" s="1">
        <v>8</v>
      </c>
      <c r="H2216" s="1">
        <v>0</v>
      </c>
      <c r="I2216" s="1">
        <v>2</v>
      </c>
      <c r="J2216" s="1">
        <v>4</v>
      </c>
    </row>
    <row r="2217" spans="1:10" x14ac:dyDescent="0.2">
      <c r="A2217" s="1">
        <v>1528</v>
      </c>
      <c r="B2217" s="1">
        <v>1</v>
      </c>
      <c r="C2217" s="1">
        <v>12</v>
      </c>
      <c r="D2217" s="1">
        <v>3</v>
      </c>
      <c r="E2217" s="1">
        <v>1</v>
      </c>
      <c r="F2217" s="1">
        <v>6</v>
      </c>
      <c r="G2217" s="1">
        <v>8</v>
      </c>
      <c r="H2217" s="1">
        <v>1</v>
      </c>
      <c r="I2217" s="1">
        <v>3</v>
      </c>
      <c r="J2217" s="1">
        <v>4</v>
      </c>
    </row>
    <row r="2218" spans="1:10" x14ac:dyDescent="0.2">
      <c r="A2218" s="1">
        <v>688</v>
      </c>
      <c r="B2218" s="1">
        <v>1</v>
      </c>
      <c r="C2218" s="1">
        <v>13</v>
      </c>
      <c r="D2218" s="1">
        <v>4</v>
      </c>
      <c r="E2218" s="1">
        <v>1</v>
      </c>
      <c r="F2218" s="1">
        <v>6</v>
      </c>
      <c r="G2218" s="1">
        <v>8</v>
      </c>
      <c r="H2218" s="1">
        <v>1</v>
      </c>
      <c r="I2218" s="1">
        <v>0</v>
      </c>
      <c r="J2218" s="1">
        <v>4</v>
      </c>
    </row>
    <row r="2219" spans="1:10" x14ac:dyDescent="0.2">
      <c r="A2219" s="1">
        <v>1010</v>
      </c>
      <c r="B2219" s="1">
        <v>1</v>
      </c>
      <c r="C2219" s="1">
        <v>11</v>
      </c>
      <c r="D2219" s="1">
        <v>2</v>
      </c>
      <c r="E2219" s="1">
        <v>2</v>
      </c>
      <c r="F2219" s="1">
        <v>6</v>
      </c>
      <c r="G2219" s="1">
        <v>8</v>
      </c>
      <c r="H2219" s="1">
        <v>0</v>
      </c>
      <c r="I2219" s="1">
        <v>3</v>
      </c>
      <c r="J2219" s="1">
        <v>4</v>
      </c>
    </row>
    <row r="2220" spans="1:10" x14ac:dyDescent="0.2">
      <c r="A2220" s="1">
        <v>1984</v>
      </c>
      <c r="B2220" s="1">
        <v>1</v>
      </c>
      <c r="C2220" s="1">
        <v>17</v>
      </c>
      <c r="D2220" s="1">
        <v>1</v>
      </c>
      <c r="E2220" s="1">
        <v>2</v>
      </c>
      <c r="F2220" s="1">
        <v>6</v>
      </c>
      <c r="G2220" s="1">
        <v>8</v>
      </c>
      <c r="H2220" s="1">
        <v>1</v>
      </c>
      <c r="I2220" s="1">
        <v>2</v>
      </c>
      <c r="J2220" s="1">
        <v>4</v>
      </c>
    </row>
    <row r="2221" spans="1:10" x14ac:dyDescent="0.2">
      <c r="A2221" s="1">
        <v>192</v>
      </c>
      <c r="B2221" s="1">
        <v>1</v>
      </c>
      <c r="C2221" s="1">
        <v>10</v>
      </c>
      <c r="D2221" s="1">
        <v>3</v>
      </c>
      <c r="E2221" s="1">
        <v>1</v>
      </c>
      <c r="F2221" s="1">
        <v>7</v>
      </c>
      <c r="G2221" s="1">
        <v>8</v>
      </c>
      <c r="H2221" s="1">
        <v>1</v>
      </c>
      <c r="I2221" s="1">
        <v>2</v>
      </c>
      <c r="J2221" s="1">
        <v>4</v>
      </c>
    </row>
    <row r="2222" spans="1:10" x14ac:dyDescent="0.2">
      <c r="A2222" s="1">
        <v>2379</v>
      </c>
      <c r="B2222" s="1">
        <v>1</v>
      </c>
      <c r="C2222" s="1">
        <v>10</v>
      </c>
      <c r="D2222" s="1">
        <v>4</v>
      </c>
      <c r="E2222" s="1">
        <v>1</v>
      </c>
      <c r="F2222" s="1">
        <v>7</v>
      </c>
      <c r="G2222" s="1">
        <v>8</v>
      </c>
      <c r="H2222" s="1">
        <v>0</v>
      </c>
      <c r="I2222" s="1">
        <v>0</v>
      </c>
      <c r="J2222" s="1">
        <v>4</v>
      </c>
    </row>
    <row r="2223" spans="1:10" x14ac:dyDescent="0.2">
      <c r="A2223" s="1">
        <v>848</v>
      </c>
      <c r="B2223" s="1">
        <v>1</v>
      </c>
      <c r="C2223" s="1">
        <v>15</v>
      </c>
      <c r="D2223" s="1">
        <v>2</v>
      </c>
      <c r="E2223" s="1">
        <v>1</v>
      </c>
      <c r="F2223" s="1">
        <v>7</v>
      </c>
      <c r="G2223" s="1">
        <v>8</v>
      </c>
      <c r="H2223" s="1">
        <v>1</v>
      </c>
      <c r="I2223" s="1">
        <v>0</v>
      </c>
      <c r="J2223" s="1">
        <v>4</v>
      </c>
    </row>
    <row r="2224" spans="1:10" x14ac:dyDescent="0.2">
      <c r="A2224" s="1">
        <v>2454</v>
      </c>
      <c r="B2224" s="1">
        <v>1</v>
      </c>
      <c r="C2224" s="1">
        <v>8</v>
      </c>
      <c r="D2224" s="1">
        <v>4</v>
      </c>
      <c r="E2224" s="1">
        <v>2</v>
      </c>
      <c r="F2224" s="1">
        <v>7</v>
      </c>
      <c r="G2224" s="1">
        <v>8</v>
      </c>
      <c r="H2224" s="1">
        <v>1</v>
      </c>
      <c r="I2224" s="1">
        <v>0</v>
      </c>
      <c r="J2224" s="1">
        <v>4</v>
      </c>
    </row>
    <row r="2225" spans="1:10" x14ac:dyDescent="0.2">
      <c r="A2225" s="1">
        <v>1684</v>
      </c>
      <c r="B2225" s="1">
        <v>1</v>
      </c>
      <c r="C2225" s="1">
        <v>16</v>
      </c>
      <c r="D2225" s="1">
        <v>1</v>
      </c>
      <c r="E2225" s="1">
        <v>2</v>
      </c>
      <c r="F2225" s="1">
        <v>7</v>
      </c>
      <c r="G2225" s="1">
        <v>8</v>
      </c>
      <c r="H2225" s="1">
        <v>0</v>
      </c>
      <c r="I2225" s="1">
        <v>3</v>
      </c>
      <c r="J2225" s="1">
        <v>4</v>
      </c>
    </row>
    <row r="2226" spans="1:10" x14ac:dyDescent="0.2">
      <c r="A2226" s="1">
        <v>1544</v>
      </c>
      <c r="B2226" s="1">
        <v>1</v>
      </c>
      <c r="C2226" s="1">
        <v>10</v>
      </c>
      <c r="D2226" s="1">
        <v>2</v>
      </c>
      <c r="E2226" s="1">
        <v>1</v>
      </c>
      <c r="F2226" s="1">
        <v>8</v>
      </c>
      <c r="G2226" s="1">
        <v>8</v>
      </c>
      <c r="H2226" s="1">
        <v>1</v>
      </c>
      <c r="I2226" s="1">
        <v>2</v>
      </c>
      <c r="J2226" s="1">
        <v>4</v>
      </c>
    </row>
    <row r="2227" spans="1:10" x14ac:dyDescent="0.2">
      <c r="A2227" s="1">
        <v>1386</v>
      </c>
      <c r="B2227" s="1">
        <v>1</v>
      </c>
      <c r="C2227" s="1">
        <v>9</v>
      </c>
      <c r="D2227" s="1">
        <v>2</v>
      </c>
      <c r="E2227" s="1">
        <v>2</v>
      </c>
      <c r="F2227" s="1">
        <v>8</v>
      </c>
      <c r="G2227" s="1">
        <v>8</v>
      </c>
      <c r="H2227" s="1">
        <v>1</v>
      </c>
      <c r="I2227" s="1">
        <v>1</v>
      </c>
      <c r="J2227" s="1">
        <v>4</v>
      </c>
    </row>
    <row r="2228" spans="1:10" x14ac:dyDescent="0.2">
      <c r="A2228" s="1">
        <v>1674</v>
      </c>
      <c r="B2228" s="1">
        <v>1</v>
      </c>
      <c r="C2228" s="1">
        <v>9</v>
      </c>
      <c r="D2228" s="1">
        <v>5</v>
      </c>
      <c r="E2228" s="1">
        <v>2</v>
      </c>
      <c r="F2228" s="1">
        <v>8</v>
      </c>
      <c r="G2228" s="1">
        <v>8</v>
      </c>
      <c r="H2228" s="1">
        <v>1</v>
      </c>
      <c r="I2228" s="1">
        <v>1</v>
      </c>
      <c r="J2228" s="1">
        <v>4</v>
      </c>
    </row>
    <row r="2229" spans="1:10" x14ac:dyDescent="0.2">
      <c r="A2229" s="1">
        <v>1808</v>
      </c>
      <c r="B2229" s="1">
        <v>1</v>
      </c>
      <c r="C2229" s="1">
        <v>9</v>
      </c>
      <c r="D2229" s="1">
        <v>4</v>
      </c>
      <c r="E2229" s="1">
        <v>2</v>
      </c>
      <c r="F2229" s="1">
        <v>8</v>
      </c>
      <c r="G2229" s="1">
        <v>8</v>
      </c>
      <c r="H2229" s="1">
        <v>0</v>
      </c>
      <c r="I2229" s="1">
        <v>0</v>
      </c>
      <c r="J2229" s="1">
        <v>4</v>
      </c>
    </row>
    <row r="2230" spans="1:10" x14ac:dyDescent="0.2">
      <c r="A2230" s="1">
        <v>1357</v>
      </c>
      <c r="B2230" s="1">
        <v>1</v>
      </c>
      <c r="C2230" s="1">
        <v>15</v>
      </c>
      <c r="D2230" s="1">
        <v>4</v>
      </c>
      <c r="E2230" s="1">
        <v>2</v>
      </c>
      <c r="F2230" s="1">
        <v>8</v>
      </c>
      <c r="G2230" s="1">
        <v>8</v>
      </c>
      <c r="H2230" s="1">
        <v>0</v>
      </c>
      <c r="I2230" s="1">
        <v>1</v>
      </c>
      <c r="J2230" s="1">
        <v>4</v>
      </c>
    </row>
    <row r="2231" spans="1:10" x14ac:dyDescent="0.2">
      <c r="A2231" s="1">
        <v>1504</v>
      </c>
      <c r="B2231" s="1">
        <v>1</v>
      </c>
      <c r="C2231" s="1">
        <v>5</v>
      </c>
      <c r="D2231" s="1">
        <v>5</v>
      </c>
      <c r="E2231" s="1">
        <v>1</v>
      </c>
      <c r="F2231" s="1">
        <v>9</v>
      </c>
      <c r="G2231" s="1">
        <v>8</v>
      </c>
      <c r="H2231" s="1">
        <v>0</v>
      </c>
      <c r="I2231" s="1">
        <v>2</v>
      </c>
      <c r="J2231" s="1">
        <v>4</v>
      </c>
    </row>
    <row r="2232" spans="1:10" x14ac:dyDescent="0.2">
      <c r="A2232" s="1">
        <v>676</v>
      </c>
      <c r="B2232" s="1">
        <v>1</v>
      </c>
      <c r="C2232" s="1">
        <v>10</v>
      </c>
      <c r="D2232" s="1">
        <v>2</v>
      </c>
      <c r="E2232" s="1">
        <v>1</v>
      </c>
      <c r="F2232" s="1">
        <v>9</v>
      </c>
      <c r="G2232" s="1">
        <v>8</v>
      </c>
      <c r="H2232" s="1">
        <v>1</v>
      </c>
      <c r="I2232" s="1">
        <v>3</v>
      </c>
      <c r="J2232" s="1">
        <v>4</v>
      </c>
    </row>
    <row r="2233" spans="1:10" x14ac:dyDescent="0.2">
      <c r="A2233" s="1">
        <v>2392</v>
      </c>
      <c r="B2233" s="1">
        <v>1</v>
      </c>
      <c r="C2233" s="1">
        <v>11</v>
      </c>
      <c r="D2233" s="1">
        <v>1</v>
      </c>
      <c r="E2233" s="1">
        <v>1</v>
      </c>
      <c r="F2233" s="1">
        <v>9</v>
      </c>
      <c r="G2233" s="1">
        <v>8</v>
      </c>
      <c r="H2233" s="1">
        <v>1</v>
      </c>
      <c r="I2233" s="1">
        <v>2</v>
      </c>
      <c r="J2233" s="1">
        <v>4</v>
      </c>
    </row>
    <row r="2234" spans="1:10" x14ac:dyDescent="0.2">
      <c r="A2234" s="1">
        <v>279</v>
      </c>
      <c r="B2234" s="1">
        <v>1</v>
      </c>
      <c r="C2234" s="1">
        <v>12</v>
      </c>
      <c r="D2234" s="1">
        <v>1</v>
      </c>
      <c r="E2234" s="1">
        <v>2</v>
      </c>
      <c r="F2234" s="1">
        <v>9</v>
      </c>
      <c r="G2234" s="1">
        <v>8</v>
      </c>
      <c r="H2234" s="1">
        <v>1</v>
      </c>
      <c r="I2234" s="1">
        <v>2</v>
      </c>
      <c r="J2234" s="1">
        <v>4</v>
      </c>
    </row>
    <row r="2235" spans="1:10" x14ac:dyDescent="0.2">
      <c r="A2235" s="1">
        <v>2247</v>
      </c>
      <c r="B2235" s="1">
        <v>1</v>
      </c>
      <c r="C2235" s="1">
        <v>8</v>
      </c>
      <c r="D2235" s="1">
        <v>2</v>
      </c>
      <c r="E2235" s="1">
        <v>1</v>
      </c>
      <c r="F2235" s="1">
        <v>10</v>
      </c>
      <c r="G2235" s="1">
        <v>8</v>
      </c>
      <c r="H2235" s="1">
        <v>0</v>
      </c>
      <c r="I2235" s="1">
        <v>3</v>
      </c>
      <c r="J2235" s="1">
        <v>4</v>
      </c>
    </row>
    <row r="2236" spans="1:10" x14ac:dyDescent="0.2">
      <c r="A2236" s="1">
        <v>1859</v>
      </c>
      <c r="B2236" s="1">
        <v>1</v>
      </c>
      <c r="C2236" s="1">
        <v>11</v>
      </c>
      <c r="D2236" s="1">
        <v>4</v>
      </c>
      <c r="E2236" s="1">
        <v>1</v>
      </c>
      <c r="F2236" s="1">
        <v>10</v>
      </c>
      <c r="G2236" s="1">
        <v>8</v>
      </c>
      <c r="H2236" s="1">
        <v>0</v>
      </c>
      <c r="I2236" s="1">
        <v>1</v>
      </c>
      <c r="J2236" s="1">
        <v>4</v>
      </c>
    </row>
    <row r="2237" spans="1:10" x14ac:dyDescent="0.2">
      <c r="A2237" s="1">
        <v>1298</v>
      </c>
      <c r="B2237" s="1">
        <v>1</v>
      </c>
      <c r="C2237" s="1">
        <v>14</v>
      </c>
      <c r="D2237" s="1">
        <v>5</v>
      </c>
      <c r="E2237" s="1">
        <v>1</v>
      </c>
      <c r="F2237" s="1">
        <v>10</v>
      </c>
      <c r="G2237" s="1">
        <v>8</v>
      </c>
      <c r="H2237" s="1">
        <v>1</v>
      </c>
      <c r="I2237" s="1">
        <v>0</v>
      </c>
      <c r="J2237" s="1">
        <v>4</v>
      </c>
    </row>
    <row r="2238" spans="1:10" x14ac:dyDescent="0.2">
      <c r="A2238" s="1">
        <v>2397</v>
      </c>
      <c r="B2238" s="1">
        <v>1</v>
      </c>
      <c r="C2238" s="1">
        <v>18</v>
      </c>
      <c r="D2238" s="1">
        <v>2</v>
      </c>
      <c r="E2238" s="1">
        <v>1</v>
      </c>
      <c r="F2238" s="1">
        <v>10</v>
      </c>
      <c r="G2238" s="1">
        <v>8</v>
      </c>
      <c r="H2238" s="1">
        <v>0</v>
      </c>
      <c r="I2238" s="1">
        <v>3</v>
      </c>
      <c r="J2238" s="1">
        <v>4</v>
      </c>
    </row>
    <row r="2239" spans="1:10" x14ac:dyDescent="0.2">
      <c r="A2239" s="1">
        <v>106</v>
      </c>
      <c r="B2239" s="1">
        <v>1</v>
      </c>
      <c r="C2239" s="1">
        <v>9</v>
      </c>
      <c r="D2239" s="1">
        <v>3</v>
      </c>
      <c r="E2239" s="1">
        <v>2</v>
      </c>
      <c r="F2239" s="1">
        <v>10</v>
      </c>
      <c r="G2239" s="1">
        <v>8</v>
      </c>
      <c r="H2239" s="1">
        <v>0</v>
      </c>
      <c r="I2239" s="1">
        <v>2</v>
      </c>
      <c r="J2239" s="1">
        <v>4</v>
      </c>
    </row>
    <row r="2240" spans="1:10" x14ac:dyDescent="0.2">
      <c r="A2240" s="1">
        <v>861</v>
      </c>
      <c r="B2240" s="1">
        <v>1</v>
      </c>
      <c r="C2240" s="1">
        <v>18</v>
      </c>
      <c r="D2240" s="1">
        <v>1</v>
      </c>
      <c r="E2240" s="1">
        <v>1</v>
      </c>
      <c r="F2240" s="1">
        <v>2</v>
      </c>
      <c r="G2240" s="1">
        <v>9</v>
      </c>
      <c r="H2240" s="1">
        <v>0</v>
      </c>
      <c r="I2240" s="1">
        <v>2</v>
      </c>
      <c r="J2240" s="1">
        <v>4</v>
      </c>
    </row>
    <row r="2241" spans="1:10" x14ac:dyDescent="0.2">
      <c r="A2241" s="1">
        <v>1148</v>
      </c>
      <c r="B2241" s="1">
        <v>1</v>
      </c>
      <c r="C2241" s="1">
        <v>17</v>
      </c>
      <c r="D2241" s="1">
        <v>1</v>
      </c>
      <c r="E2241" s="1">
        <v>1</v>
      </c>
      <c r="F2241" s="1">
        <v>3</v>
      </c>
      <c r="G2241" s="1">
        <v>9</v>
      </c>
      <c r="H2241" s="1">
        <v>1</v>
      </c>
      <c r="I2241" s="1">
        <v>2</v>
      </c>
      <c r="J2241" s="1">
        <v>4</v>
      </c>
    </row>
    <row r="2242" spans="1:10" x14ac:dyDescent="0.2">
      <c r="A2242" s="1">
        <v>1057</v>
      </c>
      <c r="B2242" s="1">
        <v>1</v>
      </c>
      <c r="C2242" s="1">
        <v>7</v>
      </c>
      <c r="D2242" s="1">
        <v>5</v>
      </c>
      <c r="E2242" s="1">
        <v>2</v>
      </c>
      <c r="F2242" s="1">
        <v>3</v>
      </c>
      <c r="G2242" s="1">
        <v>9</v>
      </c>
      <c r="H2242" s="1">
        <v>0</v>
      </c>
      <c r="I2242" s="1">
        <v>1</v>
      </c>
      <c r="J2242" s="1">
        <v>4</v>
      </c>
    </row>
    <row r="2243" spans="1:10" x14ac:dyDescent="0.2">
      <c r="A2243" s="1">
        <v>1958</v>
      </c>
      <c r="B2243" s="1">
        <v>1</v>
      </c>
      <c r="C2243" s="1">
        <v>8</v>
      </c>
      <c r="D2243" s="1">
        <v>1</v>
      </c>
      <c r="E2243" s="1">
        <v>2</v>
      </c>
      <c r="F2243" s="1">
        <v>3</v>
      </c>
      <c r="G2243" s="1">
        <v>9</v>
      </c>
      <c r="H2243" s="1">
        <v>1</v>
      </c>
      <c r="I2243" s="1">
        <v>3</v>
      </c>
      <c r="J2243" s="1">
        <v>4</v>
      </c>
    </row>
    <row r="2244" spans="1:10" x14ac:dyDescent="0.2">
      <c r="A2244" s="1">
        <v>2355</v>
      </c>
      <c r="B2244" s="1">
        <v>1</v>
      </c>
      <c r="C2244" s="1">
        <v>8</v>
      </c>
      <c r="D2244" s="1">
        <v>1</v>
      </c>
      <c r="E2244" s="1">
        <v>1</v>
      </c>
      <c r="F2244" s="1">
        <v>4</v>
      </c>
      <c r="G2244" s="1">
        <v>9</v>
      </c>
      <c r="H2244" s="1">
        <v>1</v>
      </c>
      <c r="I2244" s="1">
        <v>0</v>
      </c>
      <c r="J2244" s="1">
        <v>4</v>
      </c>
    </row>
    <row r="2245" spans="1:10" x14ac:dyDescent="0.2">
      <c r="A2245" s="1">
        <v>479</v>
      </c>
      <c r="B2245" s="1">
        <v>1</v>
      </c>
      <c r="C2245" s="1">
        <v>10</v>
      </c>
      <c r="D2245" s="1">
        <v>5</v>
      </c>
      <c r="E2245" s="1">
        <v>1</v>
      </c>
      <c r="F2245" s="1">
        <v>4</v>
      </c>
      <c r="G2245" s="1">
        <v>9</v>
      </c>
      <c r="H2245" s="1">
        <v>1</v>
      </c>
      <c r="I2245" s="1">
        <v>0</v>
      </c>
      <c r="J2245" s="1">
        <v>4</v>
      </c>
    </row>
    <row r="2246" spans="1:10" x14ac:dyDescent="0.2">
      <c r="A2246" s="1">
        <v>2094</v>
      </c>
      <c r="B2246" s="1">
        <v>1</v>
      </c>
      <c r="C2246" s="1">
        <v>11</v>
      </c>
      <c r="D2246" s="1">
        <v>1</v>
      </c>
      <c r="E2246" s="1">
        <v>2</v>
      </c>
      <c r="F2246" s="1">
        <v>4</v>
      </c>
      <c r="G2246" s="1">
        <v>9</v>
      </c>
      <c r="H2246" s="1">
        <v>1</v>
      </c>
      <c r="I2246" s="1">
        <v>0</v>
      </c>
      <c r="J2246" s="1">
        <v>4</v>
      </c>
    </row>
    <row r="2247" spans="1:10" x14ac:dyDescent="0.2">
      <c r="A2247" s="1">
        <v>1486</v>
      </c>
      <c r="B2247" s="1">
        <v>1</v>
      </c>
      <c r="C2247" s="1">
        <v>18</v>
      </c>
      <c r="D2247" s="1">
        <v>3</v>
      </c>
      <c r="E2247" s="1">
        <v>2</v>
      </c>
      <c r="F2247" s="1">
        <v>4</v>
      </c>
      <c r="G2247" s="1">
        <v>9</v>
      </c>
      <c r="H2247" s="1">
        <v>1</v>
      </c>
      <c r="I2247" s="1">
        <v>2</v>
      </c>
      <c r="J2247" s="1">
        <v>4</v>
      </c>
    </row>
    <row r="2248" spans="1:10" x14ac:dyDescent="0.2">
      <c r="A2248" s="1">
        <v>2199</v>
      </c>
      <c r="B2248" s="1">
        <v>1</v>
      </c>
      <c r="C2248" s="1">
        <v>20</v>
      </c>
      <c r="D2248" s="1">
        <v>2</v>
      </c>
      <c r="E2248" s="1">
        <v>2</v>
      </c>
      <c r="F2248" s="1">
        <v>4</v>
      </c>
      <c r="G2248" s="1">
        <v>9</v>
      </c>
      <c r="H2248" s="1">
        <v>1</v>
      </c>
      <c r="I2248" s="1">
        <v>1</v>
      </c>
      <c r="J2248" s="1">
        <v>4</v>
      </c>
    </row>
    <row r="2249" spans="1:10" x14ac:dyDescent="0.2">
      <c r="A2249" s="1">
        <v>1429</v>
      </c>
      <c r="B2249" s="1">
        <v>1</v>
      </c>
      <c r="C2249" s="1">
        <v>7</v>
      </c>
      <c r="D2249" s="1">
        <v>3</v>
      </c>
      <c r="E2249" s="1">
        <v>1</v>
      </c>
      <c r="F2249" s="1">
        <v>5</v>
      </c>
      <c r="G2249" s="1">
        <v>9</v>
      </c>
      <c r="H2249" s="1">
        <v>0</v>
      </c>
      <c r="I2249" s="1">
        <v>3</v>
      </c>
      <c r="J2249" s="1">
        <v>4</v>
      </c>
    </row>
    <row r="2250" spans="1:10" x14ac:dyDescent="0.2">
      <c r="A2250" s="1">
        <v>1342</v>
      </c>
      <c r="B2250" s="1">
        <v>1</v>
      </c>
      <c r="C2250" s="1">
        <v>8</v>
      </c>
      <c r="D2250" s="1">
        <v>2</v>
      </c>
      <c r="E2250" s="1">
        <v>1</v>
      </c>
      <c r="F2250" s="1">
        <v>5</v>
      </c>
      <c r="G2250" s="1">
        <v>9</v>
      </c>
      <c r="H2250" s="1">
        <v>0</v>
      </c>
      <c r="I2250" s="1">
        <v>0</v>
      </c>
      <c r="J2250" s="1">
        <v>4</v>
      </c>
    </row>
    <row r="2251" spans="1:10" x14ac:dyDescent="0.2">
      <c r="A2251" s="1">
        <v>339</v>
      </c>
      <c r="B2251" s="1">
        <v>1</v>
      </c>
      <c r="C2251" s="1">
        <v>15</v>
      </c>
      <c r="D2251" s="1">
        <v>4</v>
      </c>
      <c r="E2251" s="1">
        <v>1</v>
      </c>
      <c r="F2251" s="1">
        <v>5</v>
      </c>
      <c r="G2251" s="1">
        <v>9</v>
      </c>
      <c r="H2251" s="1">
        <v>1</v>
      </c>
      <c r="I2251" s="1">
        <v>2</v>
      </c>
      <c r="J2251" s="1">
        <v>4</v>
      </c>
    </row>
    <row r="2252" spans="1:10" x14ac:dyDescent="0.2">
      <c r="A2252" s="1">
        <v>19</v>
      </c>
      <c r="B2252" s="1">
        <v>1</v>
      </c>
      <c r="C2252" s="1">
        <v>6</v>
      </c>
      <c r="D2252" s="1">
        <v>4</v>
      </c>
      <c r="E2252" s="1">
        <v>2</v>
      </c>
      <c r="F2252" s="1">
        <v>5</v>
      </c>
      <c r="G2252" s="1">
        <v>9</v>
      </c>
      <c r="H2252" s="1">
        <v>1</v>
      </c>
      <c r="I2252" s="1">
        <v>0</v>
      </c>
      <c r="J2252" s="1">
        <v>4</v>
      </c>
    </row>
    <row r="2253" spans="1:10" x14ac:dyDescent="0.2">
      <c r="A2253" s="1">
        <v>1020</v>
      </c>
      <c r="B2253" s="1">
        <v>1</v>
      </c>
      <c r="C2253" s="1">
        <v>7</v>
      </c>
      <c r="D2253" s="1">
        <v>3</v>
      </c>
      <c r="E2253" s="1">
        <v>1</v>
      </c>
      <c r="F2253" s="1">
        <v>6</v>
      </c>
      <c r="G2253" s="1">
        <v>9</v>
      </c>
      <c r="H2253" s="1">
        <v>0</v>
      </c>
      <c r="I2253" s="1">
        <v>1</v>
      </c>
      <c r="J2253" s="1">
        <v>4</v>
      </c>
    </row>
    <row r="2254" spans="1:10" x14ac:dyDescent="0.2">
      <c r="A2254" s="1">
        <v>1401</v>
      </c>
      <c r="B2254" s="1">
        <v>1</v>
      </c>
      <c r="C2254" s="1">
        <v>13</v>
      </c>
      <c r="D2254" s="1">
        <v>4</v>
      </c>
      <c r="E2254" s="1">
        <v>1</v>
      </c>
      <c r="F2254" s="1">
        <v>6</v>
      </c>
      <c r="G2254" s="1">
        <v>9</v>
      </c>
      <c r="H2254" s="1">
        <v>1</v>
      </c>
      <c r="I2254" s="1">
        <v>2</v>
      </c>
      <c r="J2254" s="1">
        <v>4</v>
      </c>
    </row>
    <row r="2255" spans="1:10" x14ac:dyDescent="0.2">
      <c r="A2255" s="1">
        <v>1323</v>
      </c>
      <c r="B2255" s="1">
        <v>1</v>
      </c>
      <c r="C2255" s="1">
        <v>16</v>
      </c>
      <c r="D2255" s="1">
        <v>3</v>
      </c>
      <c r="E2255" s="1">
        <v>1</v>
      </c>
      <c r="F2255" s="1">
        <v>6</v>
      </c>
      <c r="G2255" s="1">
        <v>9</v>
      </c>
      <c r="H2255" s="1">
        <v>1</v>
      </c>
      <c r="I2255" s="1">
        <v>2</v>
      </c>
      <c r="J2255" s="1">
        <v>4</v>
      </c>
    </row>
    <row r="2256" spans="1:10" x14ac:dyDescent="0.2">
      <c r="A2256" s="1">
        <v>174</v>
      </c>
      <c r="B2256" s="1">
        <v>1</v>
      </c>
      <c r="C2256" s="1">
        <v>19</v>
      </c>
      <c r="D2256" s="1">
        <v>4</v>
      </c>
      <c r="E2256" s="1">
        <v>1</v>
      </c>
      <c r="F2256" s="1">
        <v>6</v>
      </c>
      <c r="G2256" s="1">
        <v>9</v>
      </c>
      <c r="H2256" s="1">
        <v>0</v>
      </c>
      <c r="I2256" s="1">
        <v>1</v>
      </c>
      <c r="J2256" s="1">
        <v>4</v>
      </c>
    </row>
    <row r="2257" spans="1:10" x14ac:dyDescent="0.2">
      <c r="A2257" s="1">
        <v>985</v>
      </c>
      <c r="B2257" s="1">
        <v>1</v>
      </c>
      <c r="C2257" s="1">
        <v>7</v>
      </c>
      <c r="D2257" s="1">
        <v>2</v>
      </c>
      <c r="E2257" s="1">
        <v>2</v>
      </c>
      <c r="F2257" s="1">
        <v>6</v>
      </c>
      <c r="G2257" s="1">
        <v>9</v>
      </c>
      <c r="H2257" s="1">
        <v>1</v>
      </c>
      <c r="I2257" s="1">
        <v>0</v>
      </c>
      <c r="J2257" s="1">
        <v>4</v>
      </c>
    </row>
    <row r="2258" spans="1:10" x14ac:dyDescent="0.2">
      <c r="A2258" s="1">
        <v>472</v>
      </c>
      <c r="B2258" s="1">
        <v>1</v>
      </c>
      <c r="C2258" s="1">
        <v>8</v>
      </c>
      <c r="D2258" s="1">
        <v>3</v>
      </c>
      <c r="E2258" s="1">
        <v>2</v>
      </c>
      <c r="F2258" s="1">
        <v>6</v>
      </c>
      <c r="G2258" s="1">
        <v>9</v>
      </c>
      <c r="H2258" s="1">
        <v>1</v>
      </c>
      <c r="I2258" s="1">
        <v>0</v>
      </c>
      <c r="J2258" s="1">
        <v>4</v>
      </c>
    </row>
    <row r="2259" spans="1:10" x14ac:dyDescent="0.2">
      <c r="A2259" s="1">
        <v>1846</v>
      </c>
      <c r="B2259" s="1">
        <v>1</v>
      </c>
      <c r="C2259" s="1">
        <v>14</v>
      </c>
      <c r="D2259" s="1">
        <v>2</v>
      </c>
      <c r="E2259" s="1">
        <v>2</v>
      </c>
      <c r="F2259" s="1">
        <v>6</v>
      </c>
      <c r="G2259" s="1">
        <v>9</v>
      </c>
      <c r="H2259" s="1">
        <v>1</v>
      </c>
      <c r="I2259" s="1">
        <v>0</v>
      </c>
      <c r="J2259" s="1">
        <v>4</v>
      </c>
    </row>
    <row r="2260" spans="1:10" x14ac:dyDescent="0.2">
      <c r="A2260" s="1">
        <v>2292</v>
      </c>
      <c r="B2260" s="1">
        <v>1</v>
      </c>
      <c r="C2260" s="1">
        <v>15</v>
      </c>
      <c r="D2260" s="1">
        <v>5</v>
      </c>
      <c r="E2260" s="1">
        <v>2</v>
      </c>
      <c r="F2260" s="1">
        <v>6</v>
      </c>
      <c r="G2260" s="1">
        <v>9</v>
      </c>
      <c r="H2260" s="1">
        <v>1</v>
      </c>
      <c r="I2260" s="1">
        <v>2</v>
      </c>
      <c r="J2260" s="1">
        <v>4</v>
      </c>
    </row>
    <row r="2261" spans="1:10" x14ac:dyDescent="0.2">
      <c r="A2261" s="1">
        <v>1704</v>
      </c>
      <c r="B2261" s="1">
        <v>1</v>
      </c>
      <c r="C2261" s="1">
        <v>11</v>
      </c>
      <c r="D2261" s="1">
        <v>2</v>
      </c>
      <c r="E2261" s="1">
        <v>1</v>
      </c>
      <c r="F2261" s="1">
        <v>7</v>
      </c>
      <c r="G2261" s="1">
        <v>9</v>
      </c>
      <c r="H2261" s="1">
        <v>1</v>
      </c>
      <c r="I2261" s="1">
        <v>0</v>
      </c>
      <c r="J2261" s="1">
        <v>4</v>
      </c>
    </row>
    <row r="2262" spans="1:10" x14ac:dyDescent="0.2">
      <c r="A2262" s="1">
        <v>2383</v>
      </c>
      <c r="B2262" s="1">
        <v>1</v>
      </c>
      <c r="C2262" s="1">
        <v>20</v>
      </c>
      <c r="D2262" s="1">
        <v>1</v>
      </c>
      <c r="E2262" s="1">
        <v>1</v>
      </c>
      <c r="F2262" s="1">
        <v>7</v>
      </c>
      <c r="G2262" s="1">
        <v>9</v>
      </c>
      <c r="H2262" s="1">
        <v>0</v>
      </c>
      <c r="I2262" s="1">
        <v>3</v>
      </c>
      <c r="J2262" s="1">
        <v>4</v>
      </c>
    </row>
    <row r="2263" spans="1:10" x14ac:dyDescent="0.2">
      <c r="A2263" s="1">
        <v>53</v>
      </c>
      <c r="B2263" s="1">
        <v>1</v>
      </c>
      <c r="C2263" s="1">
        <v>9</v>
      </c>
      <c r="D2263" s="1">
        <v>2</v>
      </c>
      <c r="E2263" s="1">
        <v>2</v>
      </c>
      <c r="F2263" s="1">
        <v>7</v>
      </c>
      <c r="G2263" s="1">
        <v>9</v>
      </c>
      <c r="H2263" s="1">
        <v>1</v>
      </c>
      <c r="I2263" s="1">
        <v>0</v>
      </c>
      <c r="J2263" s="1">
        <v>4</v>
      </c>
    </row>
    <row r="2264" spans="1:10" x14ac:dyDescent="0.2">
      <c r="A2264" s="1">
        <v>1715</v>
      </c>
      <c r="B2264" s="1">
        <v>1</v>
      </c>
      <c r="C2264" s="1">
        <v>9</v>
      </c>
      <c r="D2264" s="1">
        <v>1</v>
      </c>
      <c r="E2264" s="1">
        <v>2</v>
      </c>
      <c r="F2264" s="1">
        <v>7</v>
      </c>
      <c r="G2264" s="1">
        <v>9</v>
      </c>
      <c r="H2264" s="1">
        <v>0</v>
      </c>
      <c r="I2264" s="1">
        <v>0</v>
      </c>
      <c r="J2264" s="1">
        <v>4</v>
      </c>
    </row>
    <row r="2265" spans="1:10" x14ac:dyDescent="0.2">
      <c r="A2265" s="1">
        <v>1475</v>
      </c>
      <c r="B2265" s="1">
        <v>1</v>
      </c>
      <c r="C2265" s="1">
        <v>18</v>
      </c>
      <c r="D2265" s="1">
        <v>4</v>
      </c>
      <c r="E2265" s="1">
        <v>2</v>
      </c>
      <c r="F2265" s="1">
        <v>7</v>
      </c>
      <c r="G2265" s="1">
        <v>9</v>
      </c>
      <c r="H2265" s="1">
        <v>1</v>
      </c>
      <c r="I2265" s="1">
        <v>3</v>
      </c>
      <c r="J2265" s="1">
        <v>4</v>
      </c>
    </row>
    <row r="2266" spans="1:10" x14ac:dyDescent="0.2">
      <c r="A2266" s="1">
        <v>1656</v>
      </c>
      <c r="B2266" s="1">
        <v>1</v>
      </c>
      <c r="C2266" s="1">
        <v>9</v>
      </c>
      <c r="D2266" s="1">
        <v>1</v>
      </c>
      <c r="E2266" s="1">
        <v>1</v>
      </c>
      <c r="F2266" s="1">
        <v>8</v>
      </c>
      <c r="G2266" s="1">
        <v>9</v>
      </c>
      <c r="H2266" s="1">
        <v>0</v>
      </c>
      <c r="I2266" s="1">
        <v>1</v>
      </c>
      <c r="J2266" s="1">
        <v>4</v>
      </c>
    </row>
    <row r="2267" spans="1:10" x14ac:dyDescent="0.2">
      <c r="A2267" s="1">
        <v>2486</v>
      </c>
      <c r="B2267" s="1">
        <v>1</v>
      </c>
      <c r="C2267" s="1">
        <v>12</v>
      </c>
      <c r="D2267" s="1">
        <v>3</v>
      </c>
      <c r="E2267" s="1">
        <v>1</v>
      </c>
      <c r="F2267" s="1">
        <v>8</v>
      </c>
      <c r="G2267" s="1">
        <v>9</v>
      </c>
      <c r="H2267" s="1">
        <v>1</v>
      </c>
      <c r="I2267" s="1">
        <v>2</v>
      </c>
      <c r="J2267" s="1">
        <v>4</v>
      </c>
    </row>
    <row r="2268" spans="1:10" x14ac:dyDescent="0.2">
      <c r="A2268" s="1">
        <v>335</v>
      </c>
      <c r="B2268" s="1">
        <v>1</v>
      </c>
      <c r="C2268" s="1">
        <v>19</v>
      </c>
      <c r="D2268" s="1">
        <v>5</v>
      </c>
      <c r="E2268" s="1">
        <v>1</v>
      </c>
      <c r="F2268" s="1">
        <v>8</v>
      </c>
      <c r="G2268" s="1">
        <v>9</v>
      </c>
      <c r="H2268" s="1">
        <v>1</v>
      </c>
      <c r="I2268" s="1">
        <v>0</v>
      </c>
      <c r="J2268" s="1">
        <v>4</v>
      </c>
    </row>
    <row r="2269" spans="1:10" x14ac:dyDescent="0.2">
      <c r="A2269" s="1">
        <v>2002</v>
      </c>
      <c r="B2269" s="1">
        <v>1</v>
      </c>
      <c r="C2269" s="1">
        <v>5</v>
      </c>
      <c r="D2269" s="1">
        <v>1</v>
      </c>
      <c r="E2269" s="1">
        <v>1</v>
      </c>
      <c r="F2269" s="1">
        <v>9</v>
      </c>
      <c r="G2269" s="1">
        <v>9</v>
      </c>
      <c r="H2269" s="1">
        <v>0</v>
      </c>
      <c r="I2269" s="1">
        <v>0</v>
      </c>
      <c r="J2269" s="1">
        <v>4</v>
      </c>
    </row>
    <row r="2270" spans="1:10" x14ac:dyDescent="0.2">
      <c r="A2270" s="1">
        <v>633</v>
      </c>
      <c r="B2270" s="1">
        <v>1</v>
      </c>
      <c r="C2270" s="1">
        <v>6</v>
      </c>
      <c r="D2270" s="1">
        <v>2</v>
      </c>
      <c r="E2270" s="1">
        <v>1</v>
      </c>
      <c r="F2270" s="1">
        <v>9</v>
      </c>
      <c r="G2270" s="1">
        <v>9</v>
      </c>
      <c r="H2270" s="1">
        <v>0</v>
      </c>
      <c r="I2270" s="1">
        <v>1</v>
      </c>
      <c r="J2270" s="1">
        <v>4</v>
      </c>
    </row>
    <row r="2271" spans="1:10" x14ac:dyDescent="0.2">
      <c r="A2271" s="1">
        <v>875</v>
      </c>
      <c r="B2271" s="1">
        <v>1</v>
      </c>
      <c r="C2271" s="1">
        <v>10</v>
      </c>
      <c r="D2271" s="1">
        <v>4</v>
      </c>
      <c r="E2271" s="1">
        <v>1</v>
      </c>
      <c r="F2271" s="1">
        <v>9</v>
      </c>
      <c r="G2271" s="1">
        <v>9</v>
      </c>
      <c r="H2271" s="1">
        <v>0</v>
      </c>
      <c r="I2271" s="1">
        <v>0</v>
      </c>
      <c r="J2271" s="1">
        <v>4</v>
      </c>
    </row>
    <row r="2272" spans="1:10" x14ac:dyDescent="0.2">
      <c r="A2272" s="1">
        <v>1750</v>
      </c>
      <c r="B2272" s="1">
        <v>1</v>
      </c>
      <c r="C2272" s="1">
        <v>12</v>
      </c>
      <c r="D2272" s="1">
        <v>2</v>
      </c>
      <c r="E2272" s="1">
        <v>2</v>
      </c>
      <c r="F2272" s="1">
        <v>9</v>
      </c>
      <c r="G2272" s="1">
        <v>9</v>
      </c>
      <c r="H2272" s="1">
        <v>0</v>
      </c>
      <c r="I2272" s="1">
        <v>0</v>
      </c>
      <c r="J2272" s="1">
        <v>4</v>
      </c>
    </row>
    <row r="2273" spans="1:10" x14ac:dyDescent="0.2">
      <c r="A2273" s="1">
        <v>1931</v>
      </c>
      <c r="B2273" s="1">
        <v>1</v>
      </c>
      <c r="C2273" s="1">
        <v>15</v>
      </c>
      <c r="D2273" s="1">
        <v>3</v>
      </c>
      <c r="E2273" s="1">
        <v>2</v>
      </c>
      <c r="F2273" s="1">
        <v>9</v>
      </c>
      <c r="G2273" s="1">
        <v>9</v>
      </c>
      <c r="H2273" s="1">
        <v>1</v>
      </c>
      <c r="I2273" s="1">
        <v>1</v>
      </c>
      <c r="J2273" s="1">
        <v>4</v>
      </c>
    </row>
    <row r="2274" spans="1:10" x14ac:dyDescent="0.2">
      <c r="A2274" s="1">
        <v>212</v>
      </c>
      <c r="B2274" s="1">
        <v>1</v>
      </c>
      <c r="C2274" s="1">
        <v>9</v>
      </c>
      <c r="D2274" s="1">
        <v>5</v>
      </c>
      <c r="E2274" s="1">
        <v>1</v>
      </c>
      <c r="F2274" s="1">
        <v>10</v>
      </c>
      <c r="G2274" s="1">
        <v>9</v>
      </c>
      <c r="H2274" s="1">
        <v>0</v>
      </c>
      <c r="I2274" s="1">
        <v>2</v>
      </c>
      <c r="J2274" s="1">
        <v>4</v>
      </c>
    </row>
    <row r="2275" spans="1:10" x14ac:dyDescent="0.2">
      <c r="A2275" s="1">
        <v>268</v>
      </c>
      <c r="B2275" s="1">
        <v>1</v>
      </c>
      <c r="C2275" s="1">
        <v>11</v>
      </c>
      <c r="D2275" s="1">
        <v>4</v>
      </c>
      <c r="E2275" s="1">
        <v>1</v>
      </c>
      <c r="F2275" s="1">
        <v>10</v>
      </c>
      <c r="G2275" s="1">
        <v>9</v>
      </c>
      <c r="H2275" s="1">
        <v>1</v>
      </c>
      <c r="I2275" s="1">
        <v>2</v>
      </c>
      <c r="J2275" s="1">
        <v>4</v>
      </c>
    </row>
    <row r="2276" spans="1:10" x14ac:dyDescent="0.2">
      <c r="A2276" s="1">
        <v>1976</v>
      </c>
      <c r="B2276" s="1">
        <v>1</v>
      </c>
      <c r="C2276" s="1">
        <v>16</v>
      </c>
      <c r="D2276" s="1">
        <v>5</v>
      </c>
      <c r="E2276" s="1">
        <v>1</v>
      </c>
      <c r="F2276" s="1">
        <v>10</v>
      </c>
      <c r="G2276" s="1">
        <v>9</v>
      </c>
      <c r="H2276" s="1">
        <v>0</v>
      </c>
      <c r="I2276" s="1">
        <v>1</v>
      </c>
      <c r="J2276" s="1">
        <v>4</v>
      </c>
    </row>
    <row r="2277" spans="1:10" x14ac:dyDescent="0.2">
      <c r="A2277" s="1">
        <v>2158</v>
      </c>
      <c r="B2277" s="1">
        <v>1</v>
      </c>
      <c r="C2277" s="1">
        <v>16</v>
      </c>
      <c r="D2277" s="1">
        <v>2</v>
      </c>
      <c r="E2277" s="1">
        <v>1</v>
      </c>
      <c r="F2277" s="1">
        <v>10</v>
      </c>
      <c r="G2277" s="1">
        <v>9</v>
      </c>
      <c r="H2277" s="1">
        <v>0</v>
      </c>
      <c r="I2277" s="1">
        <v>1</v>
      </c>
      <c r="J2277" s="1">
        <v>4</v>
      </c>
    </row>
    <row r="2278" spans="1:10" x14ac:dyDescent="0.2">
      <c r="A2278" s="1">
        <v>2407</v>
      </c>
      <c r="B2278" s="1">
        <v>1</v>
      </c>
      <c r="C2278" s="1">
        <v>19</v>
      </c>
      <c r="D2278" s="1">
        <v>2</v>
      </c>
      <c r="E2278" s="1">
        <v>2</v>
      </c>
      <c r="F2278" s="1">
        <v>10</v>
      </c>
      <c r="G2278" s="1">
        <v>9</v>
      </c>
      <c r="H2278" s="1">
        <v>1</v>
      </c>
      <c r="I2278" s="1">
        <v>1</v>
      </c>
      <c r="J2278" s="1">
        <v>4</v>
      </c>
    </row>
    <row r="2279" spans="1:10" x14ac:dyDescent="0.2">
      <c r="A2279" s="1">
        <v>1785</v>
      </c>
      <c r="B2279" s="1">
        <v>1</v>
      </c>
      <c r="C2279" s="1">
        <v>7</v>
      </c>
      <c r="D2279" s="1">
        <v>1</v>
      </c>
      <c r="E2279" s="1">
        <v>1</v>
      </c>
      <c r="F2279" s="1">
        <v>1</v>
      </c>
      <c r="G2279" s="1">
        <v>10</v>
      </c>
      <c r="H2279" s="1">
        <v>1</v>
      </c>
      <c r="I2279" s="1">
        <v>2</v>
      </c>
      <c r="J2279" s="1">
        <v>4</v>
      </c>
    </row>
    <row r="2280" spans="1:10" x14ac:dyDescent="0.2">
      <c r="A2280" s="1">
        <v>98</v>
      </c>
      <c r="B2280" s="1">
        <v>1</v>
      </c>
      <c r="C2280" s="1">
        <v>13</v>
      </c>
      <c r="D2280" s="1">
        <v>3</v>
      </c>
      <c r="E2280" s="1">
        <v>1</v>
      </c>
      <c r="F2280" s="1">
        <v>1</v>
      </c>
      <c r="G2280" s="1">
        <v>10</v>
      </c>
      <c r="H2280" s="1">
        <v>1</v>
      </c>
      <c r="I2280" s="1">
        <v>2</v>
      </c>
      <c r="J2280" s="1">
        <v>4</v>
      </c>
    </row>
    <row r="2281" spans="1:10" x14ac:dyDescent="0.2">
      <c r="A2281" s="1">
        <v>847</v>
      </c>
      <c r="B2281" s="1">
        <v>1</v>
      </c>
      <c r="C2281" s="1">
        <v>18</v>
      </c>
      <c r="D2281" s="1">
        <v>1</v>
      </c>
      <c r="E2281" s="1">
        <v>1</v>
      </c>
      <c r="F2281" s="1">
        <v>1</v>
      </c>
      <c r="G2281" s="1">
        <v>10</v>
      </c>
      <c r="H2281" s="1">
        <v>1</v>
      </c>
      <c r="I2281" s="1">
        <v>3</v>
      </c>
      <c r="J2281" s="1">
        <v>4</v>
      </c>
    </row>
    <row r="2282" spans="1:10" x14ac:dyDescent="0.2">
      <c r="A2282" s="1">
        <v>973</v>
      </c>
      <c r="B2282" s="1">
        <v>1</v>
      </c>
      <c r="C2282" s="1">
        <v>18</v>
      </c>
      <c r="D2282" s="1">
        <v>5</v>
      </c>
      <c r="E2282" s="1">
        <v>1</v>
      </c>
      <c r="F2282" s="1">
        <v>1</v>
      </c>
      <c r="G2282" s="1">
        <v>10</v>
      </c>
      <c r="H2282" s="1">
        <v>1</v>
      </c>
      <c r="I2282" s="1">
        <v>2</v>
      </c>
      <c r="J2282" s="1">
        <v>4</v>
      </c>
    </row>
    <row r="2283" spans="1:10" x14ac:dyDescent="0.2">
      <c r="A2283" s="1">
        <v>194</v>
      </c>
      <c r="B2283" s="1">
        <v>1</v>
      </c>
      <c r="C2283" s="1">
        <v>17</v>
      </c>
      <c r="D2283" s="1">
        <v>4</v>
      </c>
      <c r="E2283" s="1">
        <v>2</v>
      </c>
      <c r="F2283" s="1">
        <v>1</v>
      </c>
      <c r="G2283" s="1">
        <v>10</v>
      </c>
      <c r="H2283" s="1">
        <v>1</v>
      </c>
      <c r="I2283" s="1">
        <v>0</v>
      </c>
      <c r="J2283" s="1">
        <v>4</v>
      </c>
    </row>
    <row r="2284" spans="1:10" x14ac:dyDescent="0.2">
      <c r="A2284" s="1">
        <v>1882</v>
      </c>
      <c r="B2284" s="1">
        <v>1</v>
      </c>
      <c r="C2284" s="1">
        <v>7</v>
      </c>
      <c r="D2284" s="1">
        <v>5</v>
      </c>
      <c r="E2284" s="1">
        <v>2</v>
      </c>
      <c r="F2284" s="1">
        <v>2</v>
      </c>
      <c r="G2284" s="1">
        <v>10</v>
      </c>
      <c r="H2284" s="1">
        <v>1</v>
      </c>
      <c r="I2284" s="1">
        <v>3</v>
      </c>
      <c r="J2284" s="1">
        <v>4</v>
      </c>
    </row>
    <row r="2285" spans="1:10" x14ac:dyDescent="0.2">
      <c r="A2285" s="1">
        <v>289</v>
      </c>
      <c r="B2285" s="1">
        <v>1</v>
      </c>
      <c r="C2285" s="1">
        <v>9</v>
      </c>
      <c r="D2285" s="1">
        <v>2</v>
      </c>
      <c r="E2285" s="1">
        <v>2</v>
      </c>
      <c r="F2285" s="1">
        <v>2</v>
      </c>
      <c r="G2285" s="1">
        <v>10</v>
      </c>
      <c r="H2285" s="1">
        <v>1</v>
      </c>
      <c r="I2285" s="1">
        <v>1</v>
      </c>
      <c r="J2285" s="1">
        <v>4</v>
      </c>
    </row>
    <row r="2286" spans="1:10" x14ac:dyDescent="0.2">
      <c r="A2286" s="1">
        <v>2150</v>
      </c>
      <c r="B2286" s="1">
        <v>1</v>
      </c>
      <c r="C2286" s="1">
        <v>13</v>
      </c>
      <c r="D2286" s="1">
        <v>4</v>
      </c>
      <c r="E2286" s="1">
        <v>2</v>
      </c>
      <c r="F2286" s="1">
        <v>2</v>
      </c>
      <c r="G2286" s="1">
        <v>10</v>
      </c>
      <c r="H2286" s="1">
        <v>0</v>
      </c>
      <c r="I2286" s="1">
        <v>0</v>
      </c>
      <c r="J2286" s="1">
        <v>4</v>
      </c>
    </row>
    <row r="2287" spans="1:10" x14ac:dyDescent="0.2">
      <c r="A2287" s="1">
        <v>1829</v>
      </c>
      <c r="B2287" s="1">
        <v>1</v>
      </c>
      <c r="C2287" s="1">
        <v>14</v>
      </c>
      <c r="D2287" s="1">
        <v>2</v>
      </c>
      <c r="E2287" s="1">
        <v>2</v>
      </c>
      <c r="F2287" s="1">
        <v>2</v>
      </c>
      <c r="G2287" s="1">
        <v>10</v>
      </c>
      <c r="H2287" s="1">
        <v>0</v>
      </c>
      <c r="I2287" s="1">
        <v>2</v>
      </c>
      <c r="J2287" s="1">
        <v>4</v>
      </c>
    </row>
    <row r="2288" spans="1:10" x14ac:dyDescent="0.2">
      <c r="A2288" s="1">
        <v>31</v>
      </c>
      <c r="B2288" s="1">
        <v>1</v>
      </c>
      <c r="C2288" s="1">
        <v>12</v>
      </c>
      <c r="D2288" s="1">
        <v>4</v>
      </c>
      <c r="E2288" s="1">
        <v>1</v>
      </c>
      <c r="F2288" s="1">
        <v>3</v>
      </c>
      <c r="G2288" s="1">
        <v>10</v>
      </c>
      <c r="H2288" s="1">
        <v>1</v>
      </c>
      <c r="I2288" s="1">
        <v>1</v>
      </c>
      <c r="J2288" s="1">
        <v>4</v>
      </c>
    </row>
    <row r="2289" spans="1:10" x14ac:dyDescent="0.2">
      <c r="A2289" s="1">
        <v>1937</v>
      </c>
      <c r="B2289" s="1">
        <v>1</v>
      </c>
      <c r="C2289" s="1">
        <v>12</v>
      </c>
      <c r="D2289" s="1">
        <v>3</v>
      </c>
      <c r="E2289" s="1">
        <v>1</v>
      </c>
      <c r="F2289" s="1">
        <v>3</v>
      </c>
      <c r="G2289" s="1">
        <v>10</v>
      </c>
      <c r="H2289" s="1">
        <v>1</v>
      </c>
      <c r="I2289" s="1">
        <v>2</v>
      </c>
      <c r="J2289" s="1">
        <v>4</v>
      </c>
    </row>
    <row r="2290" spans="1:10" x14ac:dyDescent="0.2">
      <c r="A2290" s="1">
        <v>650</v>
      </c>
      <c r="B2290" s="1">
        <v>1</v>
      </c>
      <c r="C2290" s="1">
        <v>18</v>
      </c>
      <c r="D2290" s="1">
        <v>5</v>
      </c>
      <c r="E2290" s="1">
        <v>1</v>
      </c>
      <c r="F2290" s="1">
        <v>3</v>
      </c>
      <c r="G2290" s="1">
        <v>10</v>
      </c>
      <c r="H2290" s="1">
        <v>1</v>
      </c>
      <c r="I2290" s="1">
        <v>1</v>
      </c>
      <c r="J2290" s="1">
        <v>4</v>
      </c>
    </row>
    <row r="2291" spans="1:10" x14ac:dyDescent="0.2">
      <c r="A2291" s="1">
        <v>1403</v>
      </c>
      <c r="B2291" s="1">
        <v>1</v>
      </c>
      <c r="C2291" s="1">
        <v>17</v>
      </c>
      <c r="D2291" s="1">
        <v>3</v>
      </c>
      <c r="E2291" s="1">
        <v>2</v>
      </c>
      <c r="F2291" s="1">
        <v>3</v>
      </c>
      <c r="G2291" s="1">
        <v>10</v>
      </c>
      <c r="H2291" s="1">
        <v>0</v>
      </c>
      <c r="I2291" s="1">
        <v>2</v>
      </c>
      <c r="J2291" s="1">
        <v>4</v>
      </c>
    </row>
    <row r="2292" spans="1:10" x14ac:dyDescent="0.2">
      <c r="A2292" s="1">
        <v>2306</v>
      </c>
      <c r="B2292" s="1">
        <v>1</v>
      </c>
      <c r="C2292" s="1">
        <v>13</v>
      </c>
      <c r="D2292" s="1">
        <v>5</v>
      </c>
      <c r="E2292" s="1">
        <v>1</v>
      </c>
      <c r="F2292" s="1">
        <v>4</v>
      </c>
      <c r="G2292" s="1">
        <v>10</v>
      </c>
      <c r="H2292" s="1">
        <v>1</v>
      </c>
      <c r="I2292" s="1">
        <v>2</v>
      </c>
      <c r="J2292" s="1">
        <v>4</v>
      </c>
    </row>
    <row r="2293" spans="1:10" x14ac:dyDescent="0.2">
      <c r="A2293" s="1">
        <v>707</v>
      </c>
      <c r="B2293" s="1">
        <v>1</v>
      </c>
      <c r="C2293" s="1">
        <v>15</v>
      </c>
      <c r="D2293" s="1">
        <v>2</v>
      </c>
      <c r="E2293" s="1">
        <v>1</v>
      </c>
      <c r="F2293" s="1">
        <v>4</v>
      </c>
      <c r="G2293" s="1">
        <v>10</v>
      </c>
      <c r="H2293" s="1">
        <v>0</v>
      </c>
      <c r="I2293" s="1">
        <v>2</v>
      </c>
      <c r="J2293" s="1">
        <v>4</v>
      </c>
    </row>
    <row r="2294" spans="1:10" x14ac:dyDescent="0.2">
      <c r="A2294" s="1">
        <v>2489</v>
      </c>
      <c r="B2294" s="1">
        <v>1</v>
      </c>
      <c r="C2294" s="1">
        <v>6</v>
      </c>
      <c r="D2294" s="1">
        <v>2</v>
      </c>
      <c r="E2294" s="1">
        <v>2</v>
      </c>
      <c r="F2294" s="1">
        <v>5</v>
      </c>
      <c r="G2294" s="1">
        <v>10</v>
      </c>
      <c r="H2294" s="1">
        <v>1</v>
      </c>
      <c r="I2294" s="1">
        <v>1</v>
      </c>
      <c r="J2294" s="1">
        <v>4</v>
      </c>
    </row>
    <row r="2295" spans="1:10" x14ac:dyDescent="0.2">
      <c r="A2295" s="1">
        <v>2293</v>
      </c>
      <c r="B2295" s="1">
        <v>1</v>
      </c>
      <c r="C2295" s="1">
        <v>17</v>
      </c>
      <c r="D2295" s="1">
        <v>5</v>
      </c>
      <c r="E2295" s="1">
        <v>2</v>
      </c>
      <c r="F2295" s="1">
        <v>5</v>
      </c>
      <c r="G2295" s="1">
        <v>10</v>
      </c>
      <c r="H2295" s="1">
        <v>0</v>
      </c>
      <c r="I2295" s="1">
        <v>1</v>
      </c>
      <c r="J2295" s="1">
        <v>4</v>
      </c>
    </row>
    <row r="2296" spans="1:10" x14ac:dyDescent="0.2">
      <c r="A2296" s="1">
        <v>631</v>
      </c>
      <c r="B2296" s="1">
        <v>1</v>
      </c>
      <c r="C2296" s="1">
        <v>7</v>
      </c>
      <c r="D2296" s="1">
        <v>5</v>
      </c>
      <c r="E2296" s="1">
        <v>1</v>
      </c>
      <c r="F2296" s="1">
        <v>6</v>
      </c>
      <c r="G2296" s="1">
        <v>10</v>
      </c>
      <c r="H2296" s="1">
        <v>0</v>
      </c>
      <c r="I2296" s="1">
        <v>1</v>
      </c>
      <c r="J2296" s="1">
        <v>4</v>
      </c>
    </row>
    <row r="2297" spans="1:10" x14ac:dyDescent="0.2">
      <c r="A2297" s="1">
        <v>2480</v>
      </c>
      <c r="B2297" s="1">
        <v>1</v>
      </c>
      <c r="C2297" s="1">
        <v>7</v>
      </c>
      <c r="D2297" s="1">
        <v>3</v>
      </c>
      <c r="E2297" s="1">
        <v>2</v>
      </c>
      <c r="F2297" s="1">
        <v>6</v>
      </c>
      <c r="G2297" s="1">
        <v>10</v>
      </c>
      <c r="H2297" s="1">
        <v>0</v>
      </c>
      <c r="I2297" s="1">
        <v>2</v>
      </c>
      <c r="J2297" s="1">
        <v>4</v>
      </c>
    </row>
    <row r="2298" spans="1:10" x14ac:dyDescent="0.2">
      <c r="A2298" s="1">
        <v>1946</v>
      </c>
      <c r="B2298" s="1">
        <v>1</v>
      </c>
      <c r="C2298" s="1">
        <v>11</v>
      </c>
      <c r="D2298" s="1">
        <v>2</v>
      </c>
      <c r="E2298" s="1">
        <v>1</v>
      </c>
      <c r="F2298" s="1">
        <v>7</v>
      </c>
      <c r="G2298" s="1">
        <v>10</v>
      </c>
      <c r="H2298" s="1">
        <v>0</v>
      </c>
      <c r="I2298" s="1">
        <v>3</v>
      </c>
      <c r="J2298" s="1">
        <v>4</v>
      </c>
    </row>
    <row r="2299" spans="1:10" x14ac:dyDescent="0.2">
      <c r="A2299" s="1">
        <v>942</v>
      </c>
      <c r="B2299" s="1">
        <v>1</v>
      </c>
      <c r="C2299" s="1">
        <v>14</v>
      </c>
      <c r="D2299" s="1">
        <v>3</v>
      </c>
      <c r="E2299" s="1">
        <v>1</v>
      </c>
      <c r="F2299" s="1">
        <v>7</v>
      </c>
      <c r="G2299" s="1">
        <v>10</v>
      </c>
      <c r="H2299" s="1">
        <v>1</v>
      </c>
      <c r="I2299" s="1">
        <v>2</v>
      </c>
      <c r="J2299" s="1">
        <v>4</v>
      </c>
    </row>
    <row r="2300" spans="1:10" x14ac:dyDescent="0.2">
      <c r="A2300" s="1">
        <v>602</v>
      </c>
      <c r="B2300" s="1">
        <v>1</v>
      </c>
      <c r="C2300" s="1">
        <v>17</v>
      </c>
      <c r="D2300" s="1">
        <v>4</v>
      </c>
      <c r="E2300" s="1">
        <v>1</v>
      </c>
      <c r="F2300" s="1">
        <v>7</v>
      </c>
      <c r="G2300" s="1">
        <v>10</v>
      </c>
      <c r="H2300" s="1">
        <v>0</v>
      </c>
      <c r="I2300" s="1">
        <v>1</v>
      </c>
      <c r="J2300" s="1">
        <v>4</v>
      </c>
    </row>
    <row r="2301" spans="1:10" x14ac:dyDescent="0.2">
      <c r="A2301" s="1">
        <v>1289</v>
      </c>
      <c r="B2301" s="1">
        <v>1</v>
      </c>
      <c r="C2301" s="1">
        <v>20</v>
      </c>
      <c r="D2301" s="1">
        <v>1</v>
      </c>
      <c r="E2301" s="1">
        <v>1</v>
      </c>
      <c r="F2301" s="1">
        <v>7</v>
      </c>
      <c r="G2301" s="1">
        <v>10</v>
      </c>
      <c r="H2301" s="1">
        <v>1</v>
      </c>
      <c r="I2301" s="1">
        <v>3</v>
      </c>
      <c r="J2301" s="1">
        <v>4</v>
      </c>
    </row>
    <row r="2302" spans="1:10" x14ac:dyDescent="0.2">
      <c r="A2302" s="1">
        <v>1301</v>
      </c>
      <c r="B2302" s="1">
        <v>1</v>
      </c>
      <c r="C2302" s="1">
        <v>9</v>
      </c>
      <c r="D2302" s="1">
        <v>2</v>
      </c>
      <c r="E2302" s="1">
        <v>2</v>
      </c>
      <c r="F2302" s="1">
        <v>7</v>
      </c>
      <c r="G2302" s="1">
        <v>10</v>
      </c>
      <c r="H2302" s="1">
        <v>1</v>
      </c>
      <c r="I2302" s="1">
        <v>3</v>
      </c>
      <c r="J2302" s="1">
        <v>4</v>
      </c>
    </row>
    <row r="2303" spans="1:10" x14ac:dyDescent="0.2">
      <c r="A2303" s="1">
        <v>1523</v>
      </c>
      <c r="B2303" s="1">
        <v>1</v>
      </c>
      <c r="C2303" s="1">
        <v>19</v>
      </c>
      <c r="D2303" s="1">
        <v>3</v>
      </c>
      <c r="E2303" s="1">
        <v>2</v>
      </c>
      <c r="F2303" s="1">
        <v>7</v>
      </c>
      <c r="G2303" s="1">
        <v>10</v>
      </c>
      <c r="H2303" s="1">
        <v>1</v>
      </c>
      <c r="I2303" s="1">
        <v>2</v>
      </c>
      <c r="J2303" s="1">
        <v>4</v>
      </c>
    </row>
    <row r="2304" spans="1:10" x14ac:dyDescent="0.2">
      <c r="A2304" s="1">
        <v>35</v>
      </c>
      <c r="B2304" s="1">
        <v>1</v>
      </c>
      <c r="C2304" s="1">
        <v>8</v>
      </c>
      <c r="D2304" s="1">
        <v>5</v>
      </c>
      <c r="E2304" s="1">
        <v>1</v>
      </c>
      <c r="F2304" s="1">
        <v>8</v>
      </c>
      <c r="G2304" s="1">
        <v>10</v>
      </c>
      <c r="H2304" s="1">
        <v>1</v>
      </c>
      <c r="I2304" s="1">
        <v>0</v>
      </c>
      <c r="J2304" s="1">
        <v>4</v>
      </c>
    </row>
    <row r="2305" spans="1:10" x14ac:dyDescent="0.2">
      <c r="A2305" s="1">
        <v>872</v>
      </c>
      <c r="B2305" s="1">
        <v>1</v>
      </c>
      <c r="C2305" s="1">
        <v>17</v>
      </c>
      <c r="D2305" s="1">
        <v>4</v>
      </c>
      <c r="E2305" s="1">
        <v>1</v>
      </c>
      <c r="F2305" s="1">
        <v>8</v>
      </c>
      <c r="G2305" s="1">
        <v>10</v>
      </c>
      <c r="H2305" s="1">
        <v>1</v>
      </c>
      <c r="I2305" s="1">
        <v>2</v>
      </c>
      <c r="J2305" s="1">
        <v>4</v>
      </c>
    </row>
    <row r="2306" spans="1:10" x14ac:dyDescent="0.2">
      <c r="A2306" s="1">
        <v>1842</v>
      </c>
      <c r="B2306" s="1">
        <v>1</v>
      </c>
      <c r="C2306" s="1">
        <v>11</v>
      </c>
      <c r="D2306" s="1">
        <v>1</v>
      </c>
      <c r="E2306" s="1">
        <v>2</v>
      </c>
      <c r="F2306" s="1">
        <v>10</v>
      </c>
      <c r="G2306" s="1">
        <v>10</v>
      </c>
      <c r="H2306" s="1">
        <v>1</v>
      </c>
      <c r="I2306" s="1">
        <v>0</v>
      </c>
      <c r="J2306" s="1">
        <v>4</v>
      </c>
    </row>
    <row r="2307" spans="1:10" x14ac:dyDescent="0.2">
      <c r="A2307" s="1">
        <v>1091</v>
      </c>
      <c r="B2307" s="1">
        <v>1</v>
      </c>
      <c r="C2307" s="1">
        <v>11</v>
      </c>
      <c r="D2307" s="1">
        <v>5</v>
      </c>
      <c r="E2307" s="1">
        <v>1</v>
      </c>
      <c r="F2307" s="1">
        <v>9</v>
      </c>
      <c r="G2307" s="1">
        <v>3</v>
      </c>
      <c r="H2307" s="1">
        <v>0</v>
      </c>
      <c r="I2307" s="1">
        <v>3</v>
      </c>
      <c r="J2307" s="1">
        <v>5</v>
      </c>
    </row>
    <row r="2308" spans="1:10" x14ac:dyDescent="0.2">
      <c r="A2308" s="1">
        <v>492</v>
      </c>
      <c r="B2308" s="1">
        <v>1</v>
      </c>
      <c r="C2308" s="1">
        <v>6</v>
      </c>
      <c r="D2308" s="1">
        <v>4</v>
      </c>
      <c r="E2308" s="1">
        <v>1</v>
      </c>
      <c r="F2308" s="1">
        <v>10</v>
      </c>
      <c r="G2308" s="1">
        <v>3</v>
      </c>
      <c r="H2308" s="1">
        <v>1</v>
      </c>
      <c r="I2308" s="1">
        <v>2</v>
      </c>
      <c r="J2308" s="1">
        <v>5</v>
      </c>
    </row>
    <row r="2309" spans="1:10" x14ac:dyDescent="0.2">
      <c r="A2309" s="1">
        <v>1645</v>
      </c>
      <c r="B2309" s="1">
        <v>1</v>
      </c>
      <c r="C2309" s="1">
        <v>12</v>
      </c>
      <c r="D2309" s="1">
        <v>4</v>
      </c>
      <c r="E2309" s="1">
        <v>1</v>
      </c>
      <c r="F2309" s="1">
        <v>10</v>
      </c>
      <c r="G2309" s="1">
        <v>3</v>
      </c>
      <c r="H2309" s="1">
        <v>0</v>
      </c>
      <c r="I2309" s="1">
        <v>0</v>
      </c>
      <c r="J2309" s="1">
        <v>5</v>
      </c>
    </row>
    <row r="2310" spans="1:10" x14ac:dyDescent="0.2">
      <c r="A2310" s="1">
        <v>541</v>
      </c>
      <c r="B2310" s="1">
        <v>1</v>
      </c>
      <c r="C2310" s="1">
        <v>6</v>
      </c>
      <c r="D2310" s="1">
        <v>4</v>
      </c>
      <c r="E2310" s="1">
        <v>1</v>
      </c>
      <c r="F2310" s="1">
        <v>9</v>
      </c>
      <c r="G2310" s="1">
        <v>4</v>
      </c>
      <c r="H2310" s="1">
        <v>0</v>
      </c>
      <c r="I2310" s="1">
        <v>0</v>
      </c>
      <c r="J2310" s="1">
        <v>5</v>
      </c>
    </row>
    <row r="2311" spans="1:10" x14ac:dyDescent="0.2">
      <c r="A2311" s="1">
        <v>540</v>
      </c>
      <c r="B2311" s="1">
        <v>1</v>
      </c>
      <c r="C2311" s="1">
        <v>5</v>
      </c>
      <c r="D2311" s="1">
        <v>1</v>
      </c>
      <c r="E2311" s="1">
        <v>1</v>
      </c>
      <c r="F2311" s="1">
        <v>10</v>
      </c>
      <c r="G2311" s="1">
        <v>4</v>
      </c>
      <c r="H2311" s="1">
        <v>0</v>
      </c>
      <c r="I2311" s="1">
        <v>2</v>
      </c>
      <c r="J2311" s="1">
        <v>5</v>
      </c>
    </row>
    <row r="2312" spans="1:10" x14ac:dyDescent="0.2">
      <c r="A2312" s="1">
        <v>217</v>
      </c>
      <c r="B2312" s="1">
        <v>1</v>
      </c>
      <c r="C2312" s="1">
        <v>12</v>
      </c>
      <c r="D2312" s="1">
        <v>1</v>
      </c>
      <c r="E2312" s="1">
        <v>1</v>
      </c>
      <c r="F2312" s="1">
        <v>10</v>
      </c>
      <c r="G2312" s="1">
        <v>4</v>
      </c>
      <c r="H2312" s="1">
        <v>1</v>
      </c>
      <c r="I2312" s="1">
        <v>0</v>
      </c>
      <c r="J2312" s="1">
        <v>5</v>
      </c>
    </row>
    <row r="2313" spans="1:10" x14ac:dyDescent="0.2">
      <c r="A2313" s="1">
        <v>2414</v>
      </c>
      <c r="B2313" s="1">
        <v>1</v>
      </c>
      <c r="C2313" s="1">
        <v>11</v>
      </c>
      <c r="D2313" s="1">
        <v>2</v>
      </c>
      <c r="E2313" s="1">
        <v>1</v>
      </c>
      <c r="F2313" s="1">
        <v>7</v>
      </c>
      <c r="G2313" s="1">
        <v>5</v>
      </c>
      <c r="H2313" s="1">
        <v>0</v>
      </c>
      <c r="I2313" s="1">
        <v>1</v>
      </c>
      <c r="J2313" s="1">
        <v>5</v>
      </c>
    </row>
    <row r="2314" spans="1:10" x14ac:dyDescent="0.2">
      <c r="A2314" s="1">
        <v>2166</v>
      </c>
      <c r="B2314" s="1">
        <v>1</v>
      </c>
      <c r="C2314" s="1">
        <v>5</v>
      </c>
      <c r="D2314" s="1">
        <v>1</v>
      </c>
      <c r="E2314" s="1">
        <v>1</v>
      </c>
      <c r="F2314" s="1">
        <v>8</v>
      </c>
      <c r="G2314" s="1">
        <v>5</v>
      </c>
      <c r="H2314" s="1">
        <v>0</v>
      </c>
      <c r="I2314" s="1">
        <v>3</v>
      </c>
      <c r="J2314" s="1">
        <v>5</v>
      </c>
    </row>
    <row r="2315" spans="1:10" x14ac:dyDescent="0.2">
      <c r="A2315" s="1">
        <v>987</v>
      </c>
      <c r="B2315" s="1">
        <v>1</v>
      </c>
      <c r="C2315" s="1">
        <v>5</v>
      </c>
      <c r="D2315" s="1">
        <v>4</v>
      </c>
      <c r="E2315" s="1">
        <v>1</v>
      </c>
      <c r="F2315" s="1">
        <v>9</v>
      </c>
      <c r="G2315" s="1">
        <v>5</v>
      </c>
      <c r="H2315" s="1">
        <v>1</v>
      </c>
      <c r="I2315" s="1">
        <v>3</v>
      </c>
      <c r="J2315" s="1">
        <v>5</v>
      </c>
    </row>
    <row r="2316" spans="1:10" x14ac:dyDescent="0.2">
      <c r="A2316" s="1">
        <v>352</v>
      </c>
      <c r="B2316" s="1">
        <v>1</v>
      </c>
      <c r="C2316" s="1">
        <v>15</v>
      </c>
      <c r="D2316" s="1">
        <v>4</v>
      </c>
      <c r="E2316" s="1">
        <v>1</v>
      </c>
      <c r="F2316" s="1">
        <v>10</v>
      </c>
      <c r="G2316" s="1">
        <v>5</v>
      </c>
      <c r="H2316" s="1">
        <v>1</v>
      </c>
      <c r="I2316" s="1">
        <v>1</v>
      </c>
      <c r="J2316" s="1">
        <v>5</v>
      </c>
    </row>
    <row r="2317" spans="1:10" x14ac:dyDescent="0.2">
      <c r="A2317" s="1">
        <v>1314</v>
      </c>
      <c r="B2317" s="1">
        <v>1</v>
      </c>
      <c r="C2317" s="1">
        <v>16</v>
      </c>
      <c r="D2317" s="1">
        <v>3</v>
      </c>
      <c r="E2317" s="1">
        <v>1</v>
      </c>
      <c r="F2317" s="1">
        <v>10</v>
      </c>
      <c r="G2317" s="1">
        <v>5</v>
      </c>
      <c r="H2317" s="1">
        <v>0</v>
      </c>
      <c r="I2317" s="1">
        <v>0</v>
      </c>
      <c r="J2317" s="1">
        <v>5</v>
      </c>
    </row>
    <row r="2318" spans="1:10" x14ac:dyDescent="0.2">
      <c r="A2318" s="1">
        <v>1039</v>
      </c>
      <c r="B2318" s="1">
        <v>1</v>
      </c>
      <c r="C2318" s="1">
        <v>17</v>
      </c>
      <c r="D2318" s="1">
        <v>4</v>
      </c>
      <c r="E2318" s="1">
        <v>1</v>
      </c>
      <c r="F2318" s="1">
        <v>10</v>
      </c>
      <c r="G2318" s="1">
        <v>5</v>
      </c>
      <c r="H2318" s="1">
        <v>0</v>
      </c>
      <c r="I2318" s="1">
        <v>2</v>
      </c>
      <c r="J2318" s="1">
        <v>5</v>
      </c>
    </row>
    <row r="2319" spans="1:10" x14ac:dyDescent="0.2">
      <c r="A2319" s="1">
        <v>1053</v>
      </c>
      <c r="B2319" s="1">
        <v>1</v>
      </c>
      <c r="C2319" s="1">
        <v>18</v>
      </c>
      <c r="D2319" s="1">
        <v>1</v>
      </c>
      <c r="E2319" s="1">
        <v>1</v>
      </c>
      <c r="F2319" s="1">
        <v>10</v>
      </c>
      <c r="G2319" s="1">
        <v>5</v>
      </c>
      <c r="H2319" s="1">
        <v>1</v>
      </c>
      <c r="I2319" s="1">
        <v>3</v>
      </c>
      <c r="J2319" s="1">
        <v>5</v>
      </c>
    </row>
    <row r="2320" spans="1:10" x14ac:dyDescent="0.2">
      <c r="A2320" s="1">
        <v>1868</v>
      </c>
      <c r="B2320" s="1">
        <v>1</v>
      </c>
      <c r="C2320" s="1">
        <v>6</v>
      </c>
      <c r="D2320" s="1">
        <v>4</v>
      </c>
      <c r="E2320" s="1">
        <v>2</v>
      </c>
      <c r="F2320" s="1">
        <v>10</v>
      </c>
      <c r="G2320" s="1">
        <v>5</v>
      </c>
      <c r="H2320" s="1">
        <v>0</v>
      </c>
      <c r="I2320" s="1">
        <v>2</v>
      </c>
      <c r="J2320" s="1">
        <v>5</v>
      </c>
    </row>
    <row r="2321" spans="1:10" x14ac:dyDescent="0.2">
      <c r="A2321" s="1">
        <v>2089</v>
      </c>
      <c r="B2321" s="1">
        <v>1</v>
      </c>
      <c r="C2321" s="1">
        <v>8</v>
      </c>
      <c r="D2321" s="1">
        <v>3</v>
      </c>
      <c r="E2321" s="1">
        <v>2</v>
      </c>
      <c r="F2321" s="1">
        <v>10</v>
      </c>
      <c r="G2321" s="1">
        <v>5</v>
      </c>
      <c r="H2321" s="1">
        <v>1</v>
      </c>
      <c r="I2321" s="1">
        <v>2</v>
      </c>
      <c r="J2321" s="1">
        <v>5</v>
      </c>
    </row>
    <row r="2322" spans="1:10" x14ac:dyDescent="0.2">
      <c r="A2322" s="1">
        <v>2255</v>
      </c>
      <c r="B2322" s="1">
        <v>1</v>
      </c>
      <c r="C2322" s="1">
        <v>10</v>
      </c>
      <c r="D2322" s="1">
        <v>2</v>
      </c>
      <c r="E2322" s="1">
        <v>2</v>
      </c>
      <c r="F2322" s="1">
        <v>10</v>
      </c>
      <c r="G2322" s="1">
        <v>5</v>
      </c>
      <c r="H2322" s="1">
        <v>1</v>
      </c>
      <c r="I2322" s="1">
        <v>1</v>
      </c>
      <c r="J2322" s="1">
        <v>5</v>
      </c>
    </row>
    <row r="2323" spans="1:10" x14ac:dyDescent="0.2">
      <c r="A2323" s="1">
        <v>373</v>
      </c>
      <c r="B2323" s="1">
        <v>1</v>
      </c>
      <c r="C2323" s="1">
        <v>12</v>
      </c>
      <c r="D2323" s="1">
        <v>2</v>
      </c>
      <c r="E2323" s="1">
        <v>2</v>
      </c>
      <c r="F2323" s="1">
        <v>10</v>
      </c>
      <c r="G2323" s="1">
        <v>5</v>
      </c>
      <c r="H2323" s="1">
        <v>1</v>
      </c>
      <c r="I2323" s="1">
        <v>0</v>
      </c>
      <c r="J2323" s="1">
        <v>5</v>
      </c>
    </row>
    <row r="2324" spans="1:10" x14ac:dyDescent="0.2">
      <c r="A2324" s="1">
        <v>1477</v>
      </c>
      <c r="B2324" s="1">
        <v>1</v>
      </c>
      <c r="C2324" s="1">
        <v>8</v>
      </c>
      <c r="D2324" s="1">
        <v>2</v>
      </c>
      <c r="E2324" s="1">
        <v>1</v>
      </c>
      <c r="F2324" s="1">
        <v>4</v>
      </c>
      <c r="G2324" s="1">
        <v>6</v>
      </c>
      <c r="H2324" s="1">
        <v>0</v>
      </c>
      <c r="I2324" s="1">
        <v>1</v>
      </c>
      <c r="J2324" s="1">
        <v>5</v>
      </c>
    </row>
    <row r="2325" spans="1:10" x14ac:dyDescent="0.2">
      <c r="A2325" s="1">
        <v>1627</v>
      </c>
      <c r="B2325" s="1">
        <v>1</v>
      </c>
      <c r="C2325" s="1">
        <v>12</v>
      </c>
      <c r="D2325" s="1">
        <v>5</v>
      </c>
      <c r="E2325" s="1">
        <v>1</v>
      </c>
      <c r="F2325" s="1">
        <v>4</v>
      </c>
      <c r="G2325" s="1">
        <v>6</v>
      </c>
      <c r="H2325" s="1">
        <v>1</v>
      </c>
      <c r="I2325" s="1">
        <v>1</v>
      </c>
      <c r="J2325" s="1">
        <v>5</v>
      </c>
    </row>
    <row r="2326" spans="1:10" x14ac:dyDescent="0.2">
      <c r="A2326" s="1">
        <v>145</v>
      </c>
      <c r="B2326" s="1">
        <v>1</v>
      </c>
      <c r="C2326" s="1">
        <v>16</v>
      </c>
      <c r="D2326" s="1">
        <v>4</v>
      </c>
      <c r="E2326" s="1">
        <v>1</v>
      </c>
      <c r="F2326" s="1">
        <v>5</v>
      </c>
      <c r="G2326" s="1">
        <v>6</v>
      </c>
      <c r="H2326" s="1">
        <v>0</v>
      </c>
      <c r="I2326" s="1">
        <v>1</v>
      </c>
      <c r="J2326" s="1">
        <v>5</v>
      </c>
    </row>
    <row r="2327" spans="1:10" x14ac:dyDescent="0.2">
      <c r="A2327" s="1">
        <v>686</v>
      </c>
      <c r="B2327" s="1">
        <v>1</v>
      </c>
      <c r="C2327" s="1">
        <v>19</v>
      </c>
      <c r="D2327" s="1">
        <v>1</v>
      </c>
      <c r="E2327" s="1">
        <v>1</v>
      </c>
      <c r="F2327" s="1">
        <v>5</v>
      </c>
      <c r="G2327" s="1">
        <v>6</v>
      </c>
      <c r="H2327" s="1">
        <v>0</v>
      </c>
      <c r="I2327" s="1">
        <v>2</v>
      </c>
      <c r="J2327" s="1">
        <v>5</v>
      </c>
    </row>
    <row r="2328" spans="1:10" x14ac:dyDescent="0.2">
      <c r="A2328" s="1">
        <v>1998</v>
      </c>
      <c r="B2328" s="1">
        <v>1</v>
      </c>
      <c r="C2328" s="1">
        <v>15</v>
      </c>
      <c r="D2328" s="1">
        <v>2</v>
      </c>
      <c r="E2328" s="1">
        <v>1</v>
      </c>
      <c r="F2328" s="1">
        <v>6</v>
      </c>
      <c r="G2328" s="1">
        <v>6</v>
      </c>
      <c r="H2328" s="1">
        <v>1</v>
      </c>
      <c r="I2328" s="1">
        <v>2</v>
      </c>
      <c r="J2328" s="1">
        <v>5</v>
      </c>
    </row>
    <row r="2329" spans="1:10" x14ac:dyDescent="0.2">
      <c r="A2329" s="1">
        <v>2339</v>
      </c>
      <c r="B2329" s="1">
        <v>1</v>
      </c>
      <c r="C2329" s="1">
        <v>9</v>
      </c>
      <c r="D2329" s="1">
        <v>3</v>
      </c>
      <c r="E2329" s="1">
        <v>1</v>
      </c>
      <c r="F2329" s="1">
        <v>7</v>
      </c>
      <c r="G2329" s="1">
        <v>6</v>
      </c>
      <c r="H2329" s="1">
        <v>0</v>
      </c>
      <c r="I2329" s="1">
        <v>2</v>
      </c>
      <c r="J2329" s="1">
        <v>5</v>
      </c>
    </row>
    <row r="2330" spans="1:10" x14ac:dyDescent="0.2">
      <c r="A2330" s="1">
        <v>1407</v>
      </c>
      <c r="B2330" s="1">
        <v>1</v>
      </c>
      <c r="C2330" s="1">
        <v>12</v>
      </c>
      <c r="D2330" s="1">
        <v>2</v>
      </c>
      <c r="E2330" s="1">
        <v>2</v>
      </c>
      <c r="F2330" s="1">
        <v>7</v>
      </c>
      <c r="G2330" s="1">
        <v>6</v>
      </c>
      <c r="H2330" s="1">
        <v>1</v>
      </c>
      <c r="I2330" s="1">
        <v>1</v>
      </c>
      <c r="J2330" s="1">
        <v>5</v>
      </c>
    </row>
    <row r="2331" spans="1:10" x14ac:dyDescent="0.2">
      <c r="A2331" s="1">
        <v>1360</v>
      </c>
      <c r="B2331" s="1">
        <v>1</v>
      </c>
      <c r="C2331" s="1">
        <v>20</v>
      </c>
      <c r="D2331" s="1">
        <v>1</v>
      </c>
      <c r="E2331" s="1">
        <v>1</v>
      </c>
      <c r="F2331" s="1">
        <v>8</v>
      </c>
      <c r="G2331" s="1">
        <v>6</v>
      </c>
      <c r="H2331" s="1">
        <v>0</v>
      </c>
      <c r="I2331" s="1">
        <v>1</v>
      </c>
      <c r="J2331" s="1">
        <v>5</v>
      </c>
    </row>
    <row r="2332" spans="1:10" x14ac:dyDescent="0.2">
      <c r="A2332" s="1">
        <v>1432</v>
      </c>
      <c r="B2332" s="1">
        <v>1</v>
      </c>
      <c r="C2332" s="1">
        <v>15</v>
      </c>
      <c r="D2332" s="1">
        <v>4</v>
      </c>
      <c r="E2332" s="1">
        <v>2</v>
      </c>
      <c r="F2332" s="1">
        <v>8</v>
      </c>
      <c r="G2332" s="1">
        <v>6</v>
      </c>
      <c r="H2332" s="1">
        <v>1</v>
      </c>
      <c r="I2332" s="1">
        <v>2</v>
      </c>
      <c r="J2332" s="1">
        <v>5</v>
      </c>
    </row>
    <row r="2333" spans="1:10" x14ac:dyDescent="0.2">
      <c r="A2333" s="1">
        <v>1582</v>
      </c>
      <c r="B2333" s="1">
        <v>1</v>
      </c>
      <c r="C2333" s="1">
        <v>5</v>
      </c>
      <c r="D2333" s="1">
        <v>3</v>
      </c>
      <c r="E2333" s="1">
        <v>1</v>
      </c>
      <c r="F2333" s="1">
        <v>9</v>
      </c>
      <c r="G2333" s="1">
        <v>6</v>
      </c>
      <c r="H2333" s="1">
        <v>1</v>
      </c>
      <c r="I2333" s="1">
        <v>2</v>
      </c>
      <c r="J2333" s="1">
        <v>5</v>
      </c>
    </row>
    <row r="2334" spans="1:10" x14ac:dyDescent="0.2">
      <c r="A2334" s="1">
        <v>2449</v>
      </c>
      <c r="B2334" s="1">
        <v>1</v>
      </c>
      <c r="C2334" s="1">
        <v>11</v>
      </c>
      <c r="D2334" s="1">
        <v>3</v>
      </c>
      <c r="E2334" s="1">
        <v>2</v>
      </c>
      <c r="F2334" s="1">
        <v>9</v>
      </c>
      <c r="G2334" s="1">
        <v>6</v>
      </c>
      <c r="H2334" s="1">
        <v>1</v>
      </c>
      <c r="I2334" s="1">
        <v>1</v>
      </c>
      <c r="J2334" s="1">
        <v>5</v>
      </c>
    </row>
    <row r="2335" spans="1:10" x14ac:dyDescent="0.2">
      <c r="A2335" s="1">
        <v>2194</v>
      </c>
      <c r="B2335" s="1">
        <v>1</v>
      </c>
      <c r="C2335" s="1">
        <v>8</v>
      </c>
      <c r="D2335" s="1">
        <v>1</v>
      </c>
      <c r="E2335" s="1">
        <v>1</v>
      </c>
      <c r="F2335" s="1">
        <v>10</v>
      </c>
      <c r="G2335" s="1">
        <v>6</v>
      </c>
      <c r="H2335" s="1">
        <v>1</v>
      </c>
      <c r="I2335" s="1">
        <v>2</v>
      </c>
      <c r="J2335" s="1">
        <v>5</v>
      </c>
    </row>
    <row r="2336" spans="1:10" x14ac:dyDescent="0.2">
      <c r="A2336" s="1">
        <v>1926</v>
      </c>
      <c r="B2336" s="1">
        <v>1</v>
      </c>
      <c r="C2336" s="1">
        <v>11</v>
      </c>
      <c r="D2336" s="1">
        <v>1</v>
      </c>
      <c r="E2336" s="1">
        <v>1</v>
      </c>
      <c r="F2336" s="1">
        <v>10</v>
      </c>
      <c r="G2336" s="1">
        <v>6</v>
      </c>
      <c r="H2336" s="1">
        <v>0</v>
      </c>
      <c r="I2336" s="1">
        <v>0</v>
      </c>
      <c r="J2336" s="1">
        <v>5</v>
      </c>
    </row>
    <row r="2337" spans="1:10" x14ac:dyDescent="0.2">
      <c r="A2337" s="1">
        <v>2093</v>
      </c>
      <c r="B2337" s="1">
        <v>1</v>
      </c>
      <c r="C2337" s="1">
        <v>14</v>
      </c>
      <c r="D2337" s="1">
        <v>1</v>
      </c>
      <c r="E2337" s="1">
        <v>1</v>
      </c>
      <c r="F2337" s="1">
        <v>10</v>
      </c>
      <c r="G2337" s="1">
        <v>6</v>
      </c>
      <c r="H2337" s="1">
        <v>1</v>
      </c>
      <c r="I2337" s="1">
        <v>1</v>
      </c>
      <c r="J2337" s="1">
        <v>5</v>
      </c>
    </row>
    <row r="2338" spans="1:10" x14ac:dyDescent="0.2">
      <c r="A2338" s="1">
        <v>2391</v>
      </c>
      <c r="B2338" s="1">
        <v>1</v>
      </c>
      <c r="C2338" s="1">
        <v>6</v>
      </c>
      <c r="D2338" s="1">
        <v>3</v>
      </c>
      <c r="E2338" s="1">
        <v>1</v>
      </c>
      <c r="F2338" s="1">
        <v>2</v>
      </c>
      <c r="G2338" s="1">
        <v>7</v>
      </c>
      <c r="H2338" s="1">
        <v>0</v>
      </c>
      <c r="I2338" s="1">
        <v>3</v>
      </c>
      <c r="J2338" s="1">
        <v>5</v>
      </c>
    </row>
    <row r="2339" spans="1:10" x14ac:dyDescent="0.2">
      <c r="A2339" s="1">
        <v>2382</v>
      </c>
      <c r="B2339" s="1">
        <v>1</v>
      </c>
      <c r="C2339" s="1">
        <v>7</v>
      </c>
      <c r="D2339" s="1">
        <v>1</v>
      </c>
      <c r="E2339" s="1">
        <v>1</v>
      </c>
      <c r="F2339" s="1">
        <v>2</v>
      </c>
      <c r="G2339" s="1">
        <v>7</v>
      </c>
      <c r="H2339" s="1">
        <v>1</v>
      </c>
      <c r="I2339" s="1">
        <v>3</v>
      </c>
      <c r="J2339" s="1">
        <v>5</v>
      </c>
    </row>
    <row r="2340" spans="1:10" x14ac:dyDescent="0.2">
      <c r="A2340" s="1">
        <v>275</v>
      </c>
      <c r="B2340" s="1">
        <v>1</v>
      </c>
      <c r="C2340" s="1">
        <v>15</v>
      </c>
      <c r="D2340" s="1">
        <v>2</v>
      </c>
      <c r="E2340" s="1">
        <v>1</v>
      </c>
      <c r="F2340" s="1">
        <v>2</v>
      </c>
      <c r="G2340" s="1">
        <v>7</v>
      </c>
      <c r="H2340" s="1">
        <v>1</v>
      </c>
      <c r="I2340" s="1">
        <v>2</v>
      </c>
      <c r="J2340" s="1">
        <v>5</v>
      </c>
    </row>
    <row r="2341" spans="1:10" x14ac:dyDescent="0.2">
      <c r="A2341" s="1">
        <v>637</v>
      </c>
      <c r="B2341" s="1">
        <v>1</v>
      </c>
      <c r="C2341" s="1">
        <v>17</v>
      </c>
      <c r="D2341" s="1">
        <v>2</v>
      </c>
      <c r="E2341" s="1">
        <v>1</v>
      </c>
      <c r="F2341" s="1">
        <v>3</v>
      </c>
      <c r="G2341" s="1">
        <v>7</v>
      </c>
      <c r="H2341" s="1">
        <v>0</v>
      </c>
      <c r="I2341" s="1">
        <v>3</v>
      </c>
      <c r="J2341" s="1">
        <v>5</v>
      </c>
    </row>
    <row r="2342" spans="1:10" x14ac:dyDescent="0.2">
      <c r="A2342" s="1">
        <v>1857</v>
      </c>
      <c r="B2342" s="1">
        <v>1</v>
      </c>
      <c r="C2342" s="1">
        <v>20</v>
      </c>
      <c r="D2342" s="1">
        <v>1</v>
      </c>
      <c r="E2342" s="1">
        <v>1</v>
      </c>
      <c r="F2342" s="1">
        <v>3</v>
      </c>
      <c r="G2342" s="1">
        <v>7</v>
      </c>
      <c r="H2342" s="1">
        <v>1</v>
      </c>
      <c r="I2342" s="1">
        <v>0</v>
      </c>
      <c r="J2342" s="1">
        <v>5</v>
      </c>
    </row>
    <row r="2343" spans="1:10" x14ac:dyDescent="0.2">
      <c r="A2343" s="1">
        <v>606</v>
      </c>
      <c r="B2343" s="1">
        <v>1</v>
      </c>
      <c r="C2343" s="1">
        <v>7</v>
      </c>
      <c r="D2343" s="1">
        <v>3</v>
      </c>
      <c r="E2343" s="1">
        <v>1</v>
      </c>
      <c r="F2343" s="1">
        <v>4</v>
      </c>
      <c r="G2343" s="1">
        <v>7</v>
      </c>
      <c r="H2343" s="1">
        <v>1</v>
      </c>
      <c r="I2343" s="1">
        <v>1</v>
      </c>
      <c r="J2343" s="1">
        <v>5</v>
      </c>
    </row>
    <row r="2344" spans="1:10" x14ac:dyDescent="0.2">
      <c r="A2344" s="1">
        <v>1018</v>
      </c>
      <c r="B2344" s="1">
        <v>1</v>
      </c>
      <c r="C2344" s="1">
        <v>11</v>
      </c>
      <c r="D2344" s="1">
        <v>4</v>
      </c>
      <c r="E2344" s="1">
        <v>1</v>
      </c>
      <c r="F2344" s="1">
        <v>4</v>
      </c>
      <c r="G2344" s="1">
        <v>7</v>
      </c>
      <c r="H2344" s="1">
        <v>0</v>
      </c>
      <c r="I2344" s="1">
        <v>0</v>
      </c>
      <c r="J2344" s="1">
        <v>5</v>
      </c>
    </row>
    <row r="2345" spans="1:10" x14ac:dyDescent="0.2">
      <c r="A2345" s="1">
        <v>1269</v>
      </c>
      <c r="B2345" s="1">
        <v>1</v>
      </c>
      <c r="C2345" s="1">
        <v>13</v>
      </c>
      <c r="D2345" s="1">
        <v>2</v>
      </c>
      <c r="E2345" s="1">
        <v>1</v>
      </c>
      <c r="F2345" s="1">
        <v>4</v>
      </c>
      <c r="G2345" s="1">
        <v>7</v>
      </c>
      <c r="H2345" s="1">
        <v>1</v>
      </c>
      <c r="I2345" s="1">
        <v>2</v>
      </c>
      <c r="J2345" s="1">
        <v>5</v>
      </c>
    </row>
    <row r="2346" spans="1:10" x14ac:dyDescent="0.2">
      <c r="A2346" s="1">
        <v>1449</v>
      </c>
      <c r="B2346" s="1">
        <v>1</v>
      </c>
      <c r="C2346" s="1">
        <v>5</v>
      </c>
      <c r="D2346" s="1">
        <v>3</v>
      </c>
      <c r="E2346" s="1">
        <v>2</v>
      </c>
      <c r="F2346" s="1">
        <v>4</v>
      </c>
      <c r="G2346" s="1">
        <v>7</v>
      </c>
      <c r="H2346" s="1">
        <v>0</v>
      </c>
      <c r="I2346" s="1">
        <v>0</v>
      </c>
      <c r="J2346" s="1">
        <v>5</v>
      </c>
    </row>
    <row r="2347" spans="1:10" x14ac:dyDescent="0.2">
      <c r="A2347" s="1">
        <v>1256</v>
      </c>
      <c r="B2347" s="1">
        <v>1</v>
      </c>
      <c r="C2347" s="1">
        <v>8</v>
      </c>
      <c r="D2347" s="1">
        <v>2</v>
      </c>
      <c r="E2347" s="1">
        <v>1</v>
      </c>
      <c r="F2347" s="1">
        <v>5</v>
      </c>
      <c r="G2347" s="1">
        <v>7</v>
      </c>
      <c r="H2347" s="1">
        <v>1</v>
      </c>
      <c r="I2347" s="1">
        <v>2</v>
      </c>
      <c r="J2347" s="1">
        <v>5</v>
      </c>
    </row>
    <row r="2348" spans="1:10" x14ac:dyDescent="0.2">
      <c r="A2348" s="1">
        <v>2232</v>
      </c>
      <c r="B2348" s="1">
        <v>1</v>
      </c>
      <c r="C2348" s="1">
        <v>14</v>
      </c>
      <c r="D2348" s="1">
        <v>5</v>
      </c>
      <c r="E2348" s="1">
        <v>1</v>
      </c>
      <c r="F2348" s="1">
        <v>5</v>
      </c>
      <c r="G2348" s="1">
        <v>7</v>
      </c>
      <c r="H2348" s="1">
        <v>0</v>
      </c>
      <c r="I2348" s="1">
        <v>2</v>
      </c>
      <c r="J2348" s="1">
        <v>5</v>
      </c>
    </row>
    <row r="2349" spans="1:10" x14ac:dyDescent="0.2">
      <c r="A2349" s="1">
        <v>294</v>
      </c>
      <c r="B2349" s="1">
        <v>1</v>
      </c>
      <c r="C2349" s="1">
        <v>15</v>
      </c>
      <c r="D2349" s="1">
        <v>2</v>
      </c>
      <c r="E2349" s="1">
        <v>2</v>
      </c>
      <c r="F2349" s="1">
        <v>5</v>
      </c>
      <c r="G2349" s="1">
        <v>7</v>
      </c>
      <c r="H2349" s="1">
        <v>1</v>
      </c>
      <c r="I2349" s="1">
        <v>0</v>
      </c>
      <c r="J2349" s="1">
        <v>5</v>
      </c>
    </row>
    <row r="2350" spans="1:10" x14ac:dyDescent="0.2">
      <c r="A2350" s="1">
        <v>2222</v>
      </c>
      <c r="B2350" s="1">
        <v>1</v>
      </c>
      <c r="C2350" s="1">
        <v>7</v>
      </c>
      <c r="D2350" s="1">
        <v>4</v>
      </c>
      <c r="E2350" s="1">
        <v>1</v>
      </c>
      <c r="F2350" s="1">
        <v>6</v>
      </c>
      <c r="G2350" s="1">
        <v>7</v>
      </c>
      <c r="H2350" s="1">
        <v>0</v>
      </c>
      <c r="I2350" s="1">
        <v>1</v>
      </c>
      <c r="J2350" s="1">
        <v>5</v>
      </c>
    </row>
    <row r="2351" spans="1:10" x14ac:dyDescent="0.2">
      <c r="A2351" s="1">
        <v>2337</v>
      </c>
      <c r="B2351" s="1">
        <v>1</v>
      </c>
      <c r="C2351" s="1">
        <v>8</v>
      </c>
      <c r="D2351" s="1">
        <v>4</v>
      </c>
      <c r="E2351" s="1">
        <v>2</v>
      </c>
      <c r="F2351" s="1">
        <v>6</v>
      </c>
      <c r="G2351" s="1">
        <v>7</v>
      </c>
      <c r="H2351" s="1">
        <v>0</v>
      </c>
      <c r="I2351" s="1">
        <v>1</v>
      </c>
      <c r="J2351" s="1">
        <v>5</v>
      </c>
    </row>
    <row r="2352" spans="1:10" x14ac:dyDescent="0.2">
      <c r="A2352" s="1">
        <v>520</v>
      </c>
      <c r="B2352" s="1">
        <v>1</v>
      </c>
      <c r="C2352" s="1">
        <v>20</v>
      </c>
      <c r="D2352" s="1">
        <v>2</v>
      </c>
      <c r="E2352" s="1">
        <v>2</v>
      </c>
      <c r="F2352" s="1">
        <v>6</v>
      </c>
      <c r="G2352" s="1">
        <v>7</v>
      </c>
      <c r="H2352" s="1">
        <v>0</v>
      </c>
      <c r="I2352" s="1">
        <v>1</v>
      </c>
      <c r="J2352" s="1">
        <v>5</v>
      </c>
    </row>
    <row r="2353" spans="1:10" x14ac:dyDescent="0.2">
      <c r="A2353" s="1">
        <v>1849</v>
      </c>
      <c r="B2353" s="1">
        <v>1</v>
      </c>
      <c r="C2353" s="1">
        <v>20</v>
      </c>
      <c r="D2353" s="1">
        <v>5</v>
      </c>
      <c r="E2353" s="1">
        <v>2</v>
      </c>
      <c r="F2353" s="1">
        <v>6</v>
      </c>
      <c r="G2353" s="1">
        <v>7</v>
      </c>
      <c r="H2353" s="1">
        <v>0</v>
      </c>
      <c r="I2353" s="1">
        <v>3</v>
      </c>
      <c r="J2353" s="1">
        <v>5</v>
      </c>
    </row>
    <row r="2354" spans="1:10" x14ac:dyDescent="0.2">
      <c r="A2354" s="1">
        <v>1609</v>
      </c>
      <c r="B2354" s="1">
        <v>1</v>
      </c>
      <c r="C2354" s="1">
        <v>12</v>
      </c>
      <c r="D2354" s="1">
        <v>5</v>
      </c>
      <c r="E2354" s="1">
        <v>1</v>
      </c>
      <c r="F2354" s="1">
        <v>7</v>
      </c>
      <c r="G2354" s="1">
        <v>7</v>
      </c>
      <c r="H2354" s="1">
        <v>0</v>
      </c>
      <c r="I2354" s="1">
        <v>0</v>
      </c>
      <c r="J2354" s="1">
        <v>5</v>
      </c>
    </row>
    <row r="2355" spans="1:10" x14ac:dyDescent="0.2">
      <c r="A2355" s="1">
        <v>1644</v>
      </c>
      <c r="B2355" s="1">
        <v>1</v>
      </c>
      <c r="C2355" s="1">
        <v>14</v>
      </c>
      <c r="D2355" s="1">
        <v>2</v>
      </c>
      <c r="E2355" s="1">
        <v>1</v>
      </c>
      <c r="F2355" s="1">
        <v>7</v>
      </c>
      <c r="G2355" s="1">
        <v>7</v>
      </c>
      <c r="H2355" s="1">
        <v>1</v>
      </c>
      <c r="I2355" s="1">
        <v>2</v>
      </c>
      <c r="J2355" s="1">
        <v>5</v>
      </c>
    </row>
    <row r="2356" spans="1:10" x14ac:dyDescent="0.2">
      <c r="A2356" s="1">
        <v>1658</v>
      </c>
      <c r="B2356" s="1">
        <v>1</v>
      </c>
      <c r="C2356" s="1">
        <v>7</v>
      </c>
      <c r="D2356" s="1">
        <v>4</v>
      </c>
      <c r="E2356" s="1">
        <v>1</v>
      </c>
      <c r="F2356" s="1">
        <v>8</v>
      </c>
      <c r="G2356" s="1">
        <v>7</v>
      </c>
      <c r="H2356" s="1">
        <v>1</v>
      </c>
      <c r="I2356" s="1">
        <v>1</v>
      </c>
      <c r="J2356" s="1">
        <v>5</v>
      </c>
    </row>
    <row r="2357" spans="1:10" x14ac:dyDescent="0.2">
      <c r="A2357" s="1">
        <v>967</v>
      </c>
      <c r="B2357" s="1">
        <v>1</v>
      </c>
      <c r="C2357" s="1">
        <v>11</v>
      </c>
      <c r="D2357" s="1">
        <v>2</v>
      </c>
      <c r="E2357" s="1">
        <v>1</v>
      </c>
      <c r="F2357" s="1">
        <v>8</v>
      </c>
      <c r="G2357" s="1">
        <v>7</v>
      </c>
      <c r="H2357" s="1">
        <v>0</v>
      </c>
      <c r="I2357" s="1">
        <v>2</v>
      </c>
      <c r="J2357" s="1">
        <v>5</v>
      </c>
    </row>
    <row r="2358" spans="1:10" x14ac:dyDescent="0.2">
      <c r="A2358" s="1">
        <v>996</v>
      </c>
      <c r="B2358" s="1">
        <v>1</v>
      </c>
      <c r="C2358" s="1">
        <v>8</v>
      </c>
      <c r="D2358" s="1">
        <v>4</v>
      </c>
      <c r="E2358" s="1">
        <v>2</v>
      </c>
      <c r="F2358" s="1">
        <v>8</v>
      </c>
      <c r="G2358" s="1">
        <v>7</v>
      </c>
      <c r="H2358" s="1">
        <v>0</v>
      </c>
      <c r="I2358" s="1">
        <v>0</v>
      </c>
      <c r="J2358" s="1">
        <v>5</v>
      </c>
    </row>
    <row r="2359" spans="1:10" x14ac:dyDescent="0.2">
      <c r="A2359" s="1">
        <v>312</v>
      </c>
      <c r="B2359" s="1">
        <v>1</v>
      </c>
      <c r="C2359" s="1">
        <v>5</v>
      </c>
      <c r="D2359" s="1">
        <v>2</v>
      </c>
      <c r="E2359" s="1">
        <v>1</v>
      </c>
      <c r="F2359" s="1">
        <v>9</v>
      </c>
      <c r="G2359" s="1">
        <v>7</v>
      </c>
      <c r="H2359" s="1">
        <v>0</v>
      </c>
      <c r="I2359" s="1">
        <v>3</v>
      </c>
      <c r="J2359" s="1">
        <v>5</v>
      </c>
    </row>
    <row r="2360" spans="1:10" x14ac:dyDescent="0.2">
      <c r="A2360" s="1">
        <v>1875</v>
      </c>
      <c r="B2360" s="1">
        <v>1</v>
      </c>
      <c r="C2360" s="1">
        <v>11</v>
      </c>
      <c r="D2360" s="1">
        <v>5</v>
      </c>
      <c r="E2360" s="1">
        <v>1</v>
      </c>
      <c r="F2360" s="1">
        <v>9</v>
      </c>
      <c r="G2360" s="1">
        <v>7</v>
      </c>
      <c r="H2360" s="1">
        <v>1</v>
      </c>
      <c r="I2360" s="1">
        <v>0</v>
      </c>
      <c r="J2360" s="1">
        <v>5</v>
      </c>
    </row>
    <row r="2361" spans="1:10" x14ac:dyDescent="0.2">
      <c r="A2361" s="1">
        <v>1921</v>
      </c>
      <c r="B2361" s="1">
        <v>1</v>
      </c>
      <c r="C2361" s="1">
        <v>11</v>
      </c>
      <c r="D2361" s="1">
        <v>2</v>
      </c>
      <c r="E2361" s="1">
        <v>2</v>
      </c>
      <c r="F2361" s="1">
        <v>9</v>
      </c>
      <c r="G2361" s="1">
        <v>7</v>
      </c>
      <c r="H2361" s="1">
        <v>0</v>
      </c>
      <c r="I2361" s="1">
        <v>3</v>
      </c>
      <c r="J2361" s="1">
        <v>5</v>
      </c>
    </row>
    <row r="2362" spans="1:10" x14ac:dyDescent="0.2">
      <c r="A2362" s="1">
        <v>1047</v>
      </c>
      <c r="B2362" s="1">
        <v>1</v>
      </c>
      <c r="C2362" s="1">
        <v>8</v>
      </c>
      <c r="D2362" s="1">
        <v>3</v>
      </c>
      <c r="E2362" s="1">
        <v>1</v>
      </c>
      <c r="F2362" s="1">
        <v>10</v>
      </c>
      <c r="G2362" s="1">
        <v>7</v>
      </c>
      <c r="H2362" s="1">
        <v>0</v>
      </c>
      <c r="I2362" s="1">
        <v>2</v>
      </c>
      <c r="J2362" s="1">
        <v>5</v>
      </c>
    </row>
    <row r="2363" spans="1:10" x14ac:dyDescent="0.2">
      <c r="A2363" s="1">
        <v>2200</v>
      </c>
      <c r="B2363" s="1">
        <v>1</v>
      </c>
      <c r="C2363" s="1">
        <v>16</v>
      </c>
      <c r="D2363" s="1">
        <v>5</v>
      </c>
      <c r="E2363" s="1">
        <v>1</v>
      </c>
      <c r="F2363" s="1">
        <v>10</v>
      </c>
      <c r="G2363" s="1">
        <v>7</v>
      </c>
      <c r="H2363" s="1">
        <v>1</v>
      </c>
      <c r="I2363" s="1">
        <v>2</v>
      </c>
      <c r="J2363" s="1">
        <v>5</v>
      </c>
    </row>
    <row r="2364" spans="1:10" x14ac:dyDescent="0.2">
      <c r="A2364" s="1">
        <v>586</v>
      </c>
      <c r="B2364" s="1">
        <v>1</v>
      </c>
      <c r="C2364" s="1">
        <v>17</v>
      </c>
      <c r="D2364" s="1">
        <v>5</v>
      </c>
      <c r="E2364" s="1">
        <v>1</v>
      </c>
      <c r="F2364" s="1">
        <v>10</v>
      </c>
      <c r="G2364" s="1">
        <v>7</v>
      </c>
      <c r="H2364" s="1">
        <v>1</v>
      </c>
      <c r="I2364" s="1">
        <v>0</v>
      </c>
      <c r="J2364" s="1">
        <v>5</v>
      </c>
    </row>
    <row r="2365" spans="1:10" x14ac:dyDescent="0.2">
      <c r="A2365" s="1">
        <v>1006</v>
      </c>
      <c r="B2365" s="1">
        <v>1</v>
      </c>
      <c r="C2365" s="1">
        <v>17</v>
      </c>
      <c r="D2365" s="1">
        <v>1</v>
      </c>
      <c r="E2365" s="1">
        <v>1</v>
      </c>
      <c r="F2365" s="1">
        <v>10</v>
      </c>
      <c r="G2365" s="1">
        <v>7</v>
      </c>
      <c r="H2365" s="1">
        <v>0</v>
      </c>
      <c r="I2365" s="1">
        <v>3</v>
      </c>
      <c r="J2365" s="1">
        <v>5</v>
      </c>
    </row>
    <row r="2366" spans="1:10" x14ac:dyDescent="0.2">
      <c r="A2366" s="1">
        <v>360</v>
      </c>
      <c r="B2366" s="1">
        <v>1</v>
      </c>
      <c r="C2366" s="1">
        <v>10</v>
      </c>
      <c r="D2366" s="1">
        <v>4</v>
      </c>
      <c r="E2366" s="1">
        <v>1</v>
      </c>
      <c r="F2366" s="1">
        <v>2</v>
      </c>
      <c r="G2366" s="1">
        <v>8</v>
      </c>
      <c r="H2366" s="1">
        <v>1</v>
      </c>
      <c r="I2366" s="1">
        <v>1</v>
      </c>
      <c r="J2366" s="1">
        <v>5</v>
      </c>
    </row>
    <row r="2367" spans="1:10" x14ac:dyDescent="0.2">
      <c r="A2367" s="1">
        <v>1322</v>
      </c>
      <c r="B2367" s="1">
        <v>1</v>
      </c>
      <c r="C2367" s="1">
        <v>20</v>
      </c>
      <c r="D2367" s="1">
        <v>4</v>
      </c>
      <c r="E2367" s="1">
        <v>1</v>
      </c>
      <c r="F2367" s="1">
        <v>2</v>
      </c>
      <c r="G2367" s="1">
        <v>8</v>
      </c>
      <c r="H2367" s="1">
        <v>1</v>
      </c>
      <c r="I2367" s="1">
        <v>3</v>
      </c>
      <c r="J2367" s="1">
        <v>5</v>
      </c>
    </row>
    <row r="2368" spans="1:10" x14ac:dyDescent="0.2">
      <c r="A2368" s="1">
        <v>957</v>
      </c>
      <c r="B2368" s="1">
        <v>1</v>
      </c>
      <c r="C2368" s="1">
        <v>7</v>
      </c>
      <c r="D2368" s="1">
        <v>3</v>
      </c>
      <c r="E2368" s="1">
        <v>2</v>
      </c>
      <c r="F2368" s="1">
        <v>2</v>
      </c>
      <c r="G2368" s="1">
        <v>8</v>
      </c>
      <c r="H2368" s="1">
        <v>1</v>
      </c>
      <c r="I2368" s="1">
        <v>1</v>
      </c>
      <c r="J2368" s="1">
        <v>5</v>
      </c>
    </row>
    <row r="2369" spans="1:10" x14ac:dyDescent="0.2">
      <c r="A2369" s="1">
        <v>251</v>
      </c>
      <c r="B2369" s="1">
        <v>1</v>
      </c>
      <c r="C2369" s="1">
        <v>10</v>
      </c>
      <c r="D2369" s="1">
        <v>1</v>
      </c>
      <c r="E2369" s="1">
        <v>2</v>
      </c>
      <c r="F2369" s="1">
        <v>2</v>
      </c>
      <c r="G2369" s="1">
        <v>8</v>
      </c>
      <c r="H2369" s="1">
        <v>0</v>
      </c>
      <c r="I2369" s="1">
        <v>2</v>
      </c>
      <c r="J2369" s="1">
        <v>5</v>
      </c>
    </row>
    <row r="2370" spans="1:10" x14ac:dyDescent="0.2">
      <c r="A2370" s="1">
        <v>945</v>
      </c>
      <c r="B2370" s="1">
        <v>1</v>
      </c>
      <c r="C2370" s="1">
        <v>15</v>
      </c>
      <c r="D2370" s="1">
        <v>3</v>
      </c>
      <c r="E2370" s="1">
        <v>2</v>
      </c>
      <c r="F2370" s="1">
        <v>2</v>
      </c>
      <c r="G2370" s="1">
        <v>8</v>
      </c>
      <c r="H2370" s="1">
        <v>0</v>
      </c>
      <c r="I2370" s="1">
        <v>1</v>
      </c>
      <c r="J2370" s="1">
        <v>5</v>
      </c>
    </row>
    <row r="2371" spans="1:10" x14ac:dyDescent="0.2">
      <c r="A2371" s="1">
        <v>552</v>
      </c>
      <c r="B2371" s="1">
        <v>1</v>
      </c>
      <c r="C2371" s="1">
        <v>15</v>
      </c>
      <c r="D2371" s="1">
        <v>5</v>
      </c>
      <c r="E2371" s="1">
        <v>1</v>
      </c>
      <c r="F2371" s="1">
        <v>3</v>
      </c>
      <c r="G2371" s="1">
        <v>8</v>
      </c>
      <c r="H2371" s="1">
        <v>0</v>
      </c>
      <c r="I2371" s="1">
        <v>2</v>
      </c>
      <c r="J2371" s="1">
        <v>5</v>
      </c>
    </row>
    <row r="2372" spans="1:10" x14ac:dyDescent="0.2">
      <c r="A2372" s="1">
        <v>1952</v>
      </c>
      <c r="B2372" s="1">
        <v>1</v>
      </c>
      <c r="C2372" s="1">
        <v>20</v>
      </c>
      <c r="D2372" s="1">
        <v>3</v>
      </c>
      <c r="E2372" s="1">
        <v>1</v>
      </c>
      <c r="F2372" s="1">
        <v>3</v>
      </c>
      <c r="G2372" s="1">
        <v>8</v>
      </c>
      <c r="H2372" s="1">
        <v>1</v>
      </c>
      <c r="I2372" s="1">
        <v>2</v>
      </c>
      <c r="J2372" s="1">
        <v>5</v>
      </c>
    </row>
    <row r="2373" spans="1:10" x14ac:dyDescent="0.2">
      <c r="A2373" s="1">
        <v>473</v>
      </c>
      <c r="B2373" s="1">
        <v>1</v>
      </c>
      <c r="C2373" s="1">
        <v>13</v>
      </c>
      <c r="D2373" s="1">
        <v>1</v>
      </c>
      <c r="E2373" s="1">
        <v>2</v>
      </c>
      <c r="F2373" s="1">
        <v>3</v>
      </c>
      <c r="G2373" s="1">
        <v>8</v>
      </c>
      <c r="H2373" s="1">
        <v>0</v>
      </c>
      <c r="I2373" s="1">
        <v>0</v>
      </c>
      <c r="J2373" s="1">
        <v>5</v>
      </c>
    </row>
    <row r="2374" spans="1:10" x14ac:dyDescent="0.2">
      <c r="A2374" s="1">
        <v>1161</v>
      </c>
      <c r="B2374" s="1">
        <v>1</v>
      </c>
      <c r="C2374" s="1">
        <v>5</v>
      </c>
      <c r="D2374" s="1">
        <v>1</v>
      </c>
      <c r="E2374" s="1">
        <v>1</v>
      </c>
      <c r="F2374" s="1">
        <v>4</v>
      </c>
      <c r="G2374" s="1">
        <v>8</v>
      </c>
      <c r="H2374" s="1">
        <v>0</v>
      </c>
      <c r="I2374" s="1">
        <v>2</v>
      </c>
      <c r="J2374" s="1">
        <v>5</v>
      </c>
    </row>
    <row r="2375" spans="1:10" x14ac:dyDescent="0.2">
      <c r="A2375" s="1">
        <v>576</v>
      </c>
      <c r="B2375" s="1">
        <v>1</v>
      </c>
      <c r="C2375" s="1">
        <v>15</v>
      </c>
      <c r="D2375" s="1">
        <v>4</v>
      </c>
      <c r="E2375" s="1">
        <v>1</v>
      </c>
      <c r="F2375" s="1">
        <v>5</v>
      </c>
      <c r="G2375" s="1">
        <v>8</v>
      </c>
      <c r="H2375" s="1">
        <v>0</v>
      </c>
      <c r="I2375" s="1">
        <v>0</v>
      </c>
      <c r="J2375" s="1">
        <v>5</v>
      </c>
    </row>
    <row r="2376" spans="1:10" x14ac:dyDescent="0.2">
      <c r="A2376" s="1">
        <v>728</v>
      </c>
      <c r="B2376" s="1">
        <v>1</v>
      </c>
      <c r="C2376" s="1">
        <v>17</v>
      </c>
      <c r="D2376" s="1">
        <v>4</v>
      </c>
      <c r="E2376" s="1">
        <v>1</v>
      </c>
      <c r="F2376" s="1">
        <v>5</v>
      </c>
      <c r="G2376" s="1">
        <v>8</v>
      </c>
      <c r="H2376" s="1">
        <v>1</v>
      </c>
      <c r="I2376" s="1">
        <v>3</v>
      </c>
      <c r="J2376" s="1">
        <v>5</v>
      </c>
    </row>
    <row r="2377" spans="1:10" x14ac:dyDescent="0.2">
      <c r="A2377" s="1">
        <v>2146</v>
      </c>
      <c r="B2377" s="1">
        <v>1</v>
      </c>
      <c r="C2377" s="1">
        <v>17</v>
      </c>
      <c r="D2377" s="1">
        <v>5</v>
      </c>
      <c r="E2377" s="1">
        <v>1</v>
      </c>
      <c r="F2377" s="1">
        <v>5</v>
      </c>
      <c r="G2377" s="1">
        <v>8</v>
      </c>
      <c r="H2377" s="1">
        <v>0</v>
      </c>
      <c r="I2377" s="1">
        <v>2</v>
      </c>
      <c r="J2377" s="1">
        <v>5</v>
      </c>
    </row>
    <row r="2378" spans="1:10" x14ac:dyDescent="0.2">
      <c r="A2378" s="1">
        <v>1062</v>
      </c>
      <c r="B2378" s="1">
        <v>1</v>
      </c>
      <c r="C2378" s="1">
        <v>6</v>
      </c>
      <c r="D2378" s="1">
        <v>2</v>
      </c>
      <c r="E2378" s="1">
        <v>2</v>
      </c>
      <c r="F2378" s="1">
        <v>5</v>
      </c>
      <c r="G2378" s="1">
        <v>8</v>
      </c>
      <c r="H2378" s="1">
        <v>1</v>
      </c>
      <c r="I2378" s="1">
        <v>1</v>
      </c>
      <c r="J2378" s="1">
        <v>5</v>
      </c>
    </row>
    <row r="2379" spans="1:10" x14ac:dyDescent="0.2">
      <c r="A2379" s="1">
        <v>84</v>
      </c>
      <c r="B2379" s="1">
        <v>1</v>
      </c>
      <c r="C2379" s="1">
        <v>11</v>
      </c>
      <c r="D2379" s="1">
        <v>2</v>
      </c>
      <c r="E2379" s="1">
        <v>1</v>
      </c>
      <c r="F2379" s="1">
        <v>6</v>
      </c>
      <c r="G2379" s="1">
        <v>8</v>
      </c>
      <c r="H2379" s="1">
        <v>1</v>
      </c>
      <c r="I2379" s="1">
        <v>3</v>
      </c>
      <c r="J2379" s="1">
        <v>5</v>
      </c>
    </row>
    <row r="2380" spans="1:10" x14ac:dyDescent="0.2">
      <c r="A2380" s="1">
        <v>264</v>
      </c>
      <c r="B2380" s="1">
        <v>1</v>
      </c>
      <c r="C2380" s="1">
        <v>15</v>
      </c>
      <c r="D2380" s="1">
        <v>5</v>
      </c>
      <c r="E2380" s="1">
        <v>1</v>
      </c>
      <c r="F2380" s="1">
        <v>6</v>
      </c>
      <c r="G2380" s="1">
        <v>8</v>
      </c>
      <c r="H2380" s="1">
        <v>0</v>
      </c>
      <c r="I2380" s="1">
        <v>3</v>
      </c>
      <c r="J2380" s="1">
        <v>5</v>
      </c>
    </row>
    <row r="2381" spans="1:10" x14ac:dyDescent="0.2">
      <c r="A2381" s="1">
        <v>2483</v>
      </c>
      <c r="B2381" s="1">
        <v>1</v>
      </c>
      <c r="C2381" s="1">
        <v>7</v>
      </c>
      <c r="D2381" s="1">
        <v>1</v>
      </c>
      <c r="E2381" s="1">
        <v>1</v>
      </c>
      <c r="F2381" s="1">
        <v>7</v>
      </c>
      <c r="G2381" s="1">
        <v>8</v>
      </c>
      <c r="H2381" s="1">
        <v>1</v>
      </c>
      <c r="I2381" s="1">
        <v>1</v>
      </c>
      <c r="J2381" s="1">
        <v>5</v>
      </c>
    </row>
    <row r="2382" spans="1:10" x14ac:dyDescent="0.2">
      <c r="A2382" s="1">
        <v>494</v>
      </c>
      <c r="B2382" s="1">
        <v>1</v>
      </c>
      <c r="C2382" s="1">
        <v>8</v>
      </c>
      <c r="D2382" s="1">
        <v>3</v>
      </c>
      <c r="E2382" s="1">
        <v>1</v>
      </c>
      <c r="F2382" s="1">
        <v>7</v>
      </c>
      <c r="G2382" s="1">
        <v>8</v>
      </c>
      <c r="H2382" s="1">
        <v>1</v>
      </c>
      <c r="I2382" s="1">
        <v>3</v>
      </c>
      <c r="J2382" s="1">
        <v>5</v>
      </c>
    </row>
    <row r="2383" spans="1:10" x14ac:dyDescent="0.2">
      <c r="A2383" s="1">
        <v>596</v>
      </c>
      <c r="B2383" s="1">
        <v>1</v>
      </c>
      <c r="C2383" s="1">
        <v>5</v>
      </c>
      <c r="D2383" s="1">
        <v>3</v>
      </c>
      <c r="E2383" s="1">
        <v>2</v>
      </c>
      <c r="F2383" s="1">
        <v>7</v>
      </c>
      <c r="G2383" s="1">
        <v>8</v>
      </c>
      <c r="H2383" s="1">
        <v>0</v>
      </c>
      <c r="I2383" s="1">
        <v>0</v>
      </c>
      <c r="J2383" s="1">
        <v>5</v>
      </c>
    </row>
    <row r="2384" spans="1:10" x14ac:dyDescent="0.2">
      <c r="A2384" s="1">
        <v>2291</v>
      </c>
      <c r="B2384" s="1">
        <v>1</v>
      </c>
      <c r="C2384" s="1">
        <v>10</v>
      </c>
      <c r="D2384" s="1">
        <v>1</v>
      </c>
      <c r="E2384" s="1">
        <v>2</v>
      </c>
      <c r="F2384" s="1">
        <v>7</v>
      </c>
      <c r="G2384" s="1">
        <v>8</v>
      </c>
      <c r="H2384" s="1">
        <v>0</v>
      </c>
      <c r="I2384" s="1">
        <v>2</v>
      </c>
      <c r="J2384" s="1">
        <v>5</v>
      </c>
    </row>
    <row r="2385" spans="1:10" x14ac:dyDescent="0.2">
      <c r="A2385" s="1">
        <v>572</v>
      </c>
      <c r="B2385" s="1">
        <v>1</v>
      </c>
      <c r="C2385" s="1">
        <v>11</v>
      </c>
      <c r="D2385" s="1">
        <v>3</v>
      </c>
      <c r="E2385" s="1">
        <v>2</v>
      </c>
      <c r="F2385" s="1">
        <v>7</v>
      </c>
      <c r="G2385" s="1">
        <v>8</v>
      </c>
      <c r="H2385" s="1">
        <v>0</v>
      </c>
      <c r="I2385" s="1">
        <v>2</v>
      </c>
      <c r="J2385" s="1">
        <v>5</v>
      </c>
    </row>
    <row r="2386" spans="1:10" x14ac:dyDescent="0.2">
      <c r="A2386" s="1">
        <v>1569</v>
      </c>
      <c r="B2386" s="1">
        <v>1</v>
      </c>
      <c r="C2386" s="1">
        <v>6</v>
      </c>
      <c r="D2386" s="1">
        <v>4</v>
      </c>
      <c r="E2386" s="1">
        <v>1</v>
      </c>
      <c r="F2386" s="1">
        <v>8</v>
      </c>
      <c r="G2386" s="1">
        <v>8</v>
      </c>
      <c r="H2386" s="1">
        <v>1</v>
      </c>
      <c r="I2386" s="1">
        <v>1</v>
      </c>
      <c r="J2386" s="1">
        <v>5</v>
      </c>
    </row>
    <row r="2387" spans="1:10" x14ac:dyDescent="0.2">
      <c r="A2387" s="1">
        <v>1334</v>
      </c>
      <c r="B2387" s="1">
        <v>1</v>
      </c>
      <c r="C2387" s="1">
        <v>9</v>
      </c>
      <c r="D2387" s="1">
        <v>1</v>
      </c>
      <c r="E2387" s="1">
        <v>1</v>
      </c>
      <c r="F2387" s="1">
        <v>8</v>
      </c>
      <c r="G2387" s="1">
        <v>8</v>
      </c>
      <c r="H2387" s="1">
        <v>1</v>
      </c>
      <c r="I2387" s="1">
        <v>0</v>
      </c>
      <c r="J2387" s="1">
        <v>5</v>
      </c>
    </row>
    <row r="2388" spans="1:10" x14ac:dyDescent="0.2">
      <c r="A2388" s="1">
        <v>1266</v>
      </c>
      <c r="B2388" s="1">
        <v>1</v>
      </c>
      <c r="C2388" s="1">
        <v>18</v>
      </c>
      <c r="D2388" s="1">
        <v>1</v>
      </c>
      <c r="E2388" s="1">
        <v>1</v>
      </c>
      <c r="F2388" s="1">
        <v>8</v>
      </c>
      <c r="G2388" s="1">
        <v>8</v>
      </c>
      <c r="H2388" s="1">
        <v>0</v>
      </c>
      <c r="I2388" s="1">
        <v>3</v>
      </c>
      <c r="J2388" s="1">
        <v>5</v>
      </c>
    </row>
    <row r="2389" spans="1:10" x14ac:dyDescent="0.2">
      <c r="A2389" s="1">
        <v>1813</v>
      </c>
      <c r="B2389" s="1">
        <v>1</v>
      </c>
      <c r="C2389" s="1">
        <v>20</v>
      </c>
      <c r="D2389" s="1">
        <v>4</v>
      </c>
      <c r="E2389" s="1">
        <v>1</v>
      </c>
      <c r="F2389" s="1">
        <v>8</v>
      </c>
      <c r="G2389" s="1">
        <v>8</v>
      </c>
      <c r="H2389" s="1">
        <v>0</v>
      </c>
      <c r="I2389" s="1">
        <v>1</v>
      </c>
      <c r="J2389" s="1">
        <v>5</v>
      </c>
    </row>
    <row r="2390" spans="1:10" x14ac:dyDescent="0.2">
      <c r="A2390" s="1">
        <v>315</v>
      </c>
      <c r="B2390" s="1">
        <v>1</v>
      </c>
      <c r="C2390" s="1">
        <v>6</v>
      </c>
      <c r="D2390" s="1">
        <v>2</v>
      </c>
      <c r="E2390" s="1">
        <v>1</v>
      </c>
      <c r="F2390" s="1">
        <v>9</v>
      </c>
      <c r="G2390" s="1">
        <v>8</v>
      </c>
      <c r="H2390" s="1">
        <v>1</v>
      </c>
      <c r="I2390" s="1">
        <v>1</v>
      </c>
      <c r="J2390" s="1">
        <v>5</v>
      </c>
    </row>
    <row r="2391" spans="1:10" x14ac:dyDescent="0.2">
      <c r="A2391" s="1">
        <v>409</v>
      </c>
      <c r="B2391" s="1">
        <v>1</v>
      </c>
      <c r="C2391" s="1">
        <v>12</v>
      </c>
      <c r="D2391" s="1">
        <v>4</v>
      </c>
      <c r="E2391" s="1">
        <v>1</v>
      </c>
      <c r="F2391" s="1">
        <v>9</v>
      </c>
      <c r="G2391" s="1">
        <v>8</v>
      </c>
      <c r="H2391" s="1">
        <v>0</v>
      </c>
      <c r="I2391" s="1">
        <v>1</v>
      </c>
      <c r="J2391" s="1">
        <v>5</v>
      </c>
    </row>
    <row r="2392" spans="1:10" x14ac:dyDescent="0.2">
      <c r="A2392" s="1">
        <v>1402</v>
      </c>
      <c r="B2392" s="1">
        <v>1</v>
      </c>
      <c r="C2392" s="1">
        <v>5</v>
      </c>
      <c r="D2392" s="1">
        <v>4</v>
      </c>
      <c r="E2392" s="1">
        <v>2</v>
      </c>
      <c r="F2392" s="1">
        <v>9</v>
      </c>
      <c r="G2392" s="1">
        <v>8</v>
      </c>
      <c r="H2392" s="1">
        <v>0</v>
      </c>
      <c r="I2392" s="1">
        <v>1</v>
      </c>
      <c r="J2392" s="1">
        <v>5</v>
      </c>
    </row>
    <row r="2393" spans="1:10" x14ac:dyDescent="0.2">
      <c r="A2393" s="1">
        <v>138</v>
      </c>
      <c r="B2393" s="1">
        <v>1</v>
      </c>
      <c r="C2393" s="1">
        <v>6</v>
      </c>
      <c r="D2393" s="1">
        <v>2</v>
      </c>
      <c r="E2393" s="1">
        <v>2</v>
      </c>
      <c r="F2393" s="1">
        <v>9</v>
      </c>
      <c r="G2393" s="1">
        <v>8</v>
      </c>
      <c r="H2393" s="1">
        <v>0</v>
      </c>
      <c r="I2393" s="1">
        <v>2</v>
      </c>
      <c r="J2393" s="1">
        <v>5</v>
      </c>
    </row>
    <row r="2394" spans="1:10" x14ac:dyDescent="0.2">
      <c r="A2394" s="1">
        <v>2380</v>
      </c>
      <c r="B2394" s="1">
        <v>1</v>
      </c>
      <c r="C2394" s="1">
        <v>7</v>
      </c>
      <c r="D2394" s="1">
        <v>5</v>
      </c>
      <c r="E2394" s="1">
        <v>2</v>
      </c>
      <c r="F2394" s="1">
        <v>9</v>
      </c>
      <c r="G2394" s="1">
        <v>8</v>
      </c>
      <c r="H2394" s="1">
        <v>0</v>
      </c>
      <c r="I2394" s="1">
        <v>0</v>
      </c>
      <c r="J2394" s="1">
        <v>5</v>
      </c>
    </row>
    <row r="2395" spans="1:10" x14ac:dyDescent="0.2">
      <c r="A2395" s="1">
        <v>2107</v>
      </c>
      <c r="B2395" s="1">
        <v>1</v>
      </c>
      <c r="C2395" s="1">
        <v>14</v>
      </c>
      <c r="D2395" s="1">
        <v>1</v>
      </c>
      <c r="E2395" s="1">
        <v>2</v>
      </c>
      <c r="F2395" s="1">
        <v>9</v>
      </c>
      <c r="G2395" s="1">
        <v>8</v>
      </c>
      <c r="H2395" s="1">
        <v>0</v>
      </c>
      <c r="I2395" s="1">
        <v>3</v>
      </c>
      <c r="J2395" s="1">
        <v>5</v>
      </c>
    </row>
    <row r="2396" spans="1:10" x14ac:dyDescent="0.2">
      <c r="A2396" s="1">
        <v>65</v>
      </c>
      <c r="B2396" s="1">
        <v>1</v>
      </c>
      <c r="C2396" s="1">
        <v>5</v>
      </c>
      <c r="D2396" s="1">
        <v>1</v>
      </c>
      <c r="E2396" s="1">
        <v>1</v>
      </c>
      <c r="F2396" s="1">
        <v>10</v>
      </c>
      <c r="G2396" s="1">
        <v>8</v>
      </c>
      <c r="H2396" s="1">
        <v>1</v>
      </c>
      <c r="I2396" s="1">
        <v>3</v>
      </c>
      <c r="J2396" s="1">
        <v>5</v>
      </c>
    </row>
    <row r="2397" spans="1:10" x14ac:dyDescent="0.2">
      <c r="A2397" s="1">
        <v>1202</v>
      </c>
      <c r="B2397" s="1">
        <v>1</v>
      </c>
      <c r="C2397" s="1">
        <v>7</v>
      </c>
      <c r="D2397" s="1">
        <v>4</v>
      </c>
      <c r="E2397" s="1">
        <v>1</v>
      </c>
      <c r="F2397" s="1">
        <v>10</v>
      </c>
      <c r="G2397" s="1">
        <v>8</v>
      </c>
      <c r="H2397" s="1">
        <v>0</v>
      </c>
      <c r="I2397" s="1">
        <v>3</v>
      </c>
      <c r="J2397" s="1">
        <v>5</v>
      </c>
    </row>
    <row r="2398" spans="1:10" x14ac:dyDescent="0.2">
      <c r="A2398" s="1">
        <v>1001</v>
      </c>
      <c r="B2398" s="1">
        <v>1</v>
      </c>
      <c r="C2398" s="1">
        <v>8</v>
      </c>
      <c r="D2398" s="1">
        <v>3</v>
      </c>
      <c r="E2398" s="1">
        <v>2</v>
      </c>
      <c r="F2398" s="1">
        <v>10</v>
      </c>
      <c r="G2398" s="1">
        <v>8</v>
      </c>
      <c r="H2398" s="1">
        <v>0</v>
      </c>
      <c r="I2398" s="1">
        <v>2</v>
      </c>
      <c r="J2398" s="1">
        <v>5</v>
      </c>
    </row>
    <row r="2399" spans="1:10" x14ac:dyDescent="0.2">
      <c r="A2399" s="1">
        <v>1586</v>
      </c>
      <c r="B2399" s="1">
        <v>1</v>
      </c>
      <c r="C2399" s="1">
        <v>13</v>
      </c>
      <c r="D2399" s="1">
        <v>3</v>
      </c>
      <c r="E2399" s="1">
        <v>2</v>
      </c>
      <c r="F2399" s="1">
        <v>10</v>
      </c>
      <c r="G2399" s="1">
        <v>8</v>
      </c>
      <c r="H2399" s="1">
        <v>1</v>
      </c>
      <c r="I2399" s="1">
        <v>0</v>
      </c>
      <c r="J2399" s="1">
        <v>5</v>
      </c>
    </row>
    <row r="2400" spans="1:10" x14ac:dyDescent="0.2">
      <c r="A2400" s="1">
        <v>1677</v>
      </c>
      <c r="B2400" s="1">
        <v>1</v>
      </c>
      <c r="C2400" s="1">
        <v>13</v>
      </c>
      <c r="D2400" s="1">
        <v>3</v>
      </c>
      <c r="E2400" s="1">
        <v>1</v>
      </c>
      <c r="F2400" s="1">
        <v>1</v>
      </c>
      <c r="G2400" s="1">
        <v>9</v>
      </c>
      <c r="H2400" s="1">
        <v>0</v>
      </c>
      <c r="I2400" s="1">
        <v>3</v>
      </c>
      <c r="J2400" s="1">
        <v>5</v>
      </c>
    </row>
    <row r="2401" spans="1:10" x14ac:dyDescent="0.2">
      <c r="A2401" s="1">
        <v>2474</v>
      </c>
      <c r="B2401" s="1">
        <v>1</v>
      </c>
      <c r="C2401" s="1">
        <v>15</v>
      </c>
      <c r="D2401" s="1">
        <v>5</v>
      </c>
      <c r="E2401" s="1">
        <v>1</v>
      </c>
      <c r="F2401" s="1">
        <v>1</v>
      </c>
      <c r="G2401" s="1">
        <v>9</v>
      </c>
      <c r="H2401" s="1">
        <v>0</v>
      </c>
      <c r="I2401" s="1">
        <v>0</v>
      </c>
      <c r="J2401" s="1">
        <v>5</v>
      </c>
    </row>
    <row r="2402" spans="1:10" x14ac:dyDescent="0.2">
      <c r="A2402" s="1">
        <v>754</v>
      </c>
      <c r="B2402" s="1">
        <v>1</v>
      </c>
      <c r="C2402" s="1">
        <v>16</v>
      </c>
      <c r="D2402" s="1">
        <v>3</v>
      </c>
      <c r="E2402" s="1">
        <v>2</v>
      </c>
      <c r="F2402" s="1">
        <v>1</v>
      </c>
      <c r="G2402" s="1">
        <v>9</v>
      </c>
      <c r="H2402" s="1">
        <v>0</v>
      </c>
      <c r="I2402" s="1">
        <v>0</v>
      </c>
      <c r="J2402" s="1">
        <v>5</v>
      </c>
    </row>
    <row r="2403" spans="1:10" x14ac:dyDescent="0.2">
      <c r="A2403" s="1">
        <v>855</v>
      </c>
      <c r="B2403" s="1">
        <v>1</v>
      </c>
      <c r="C2403" s="1">
        <v>18</v>
      </c>
      <c r="D2403" s="1">
        <v>4</v>
      </c>
      <c r="E2403" s="1">
        <v>3</v>
      </c>
      <c r="F2403" s="1">
        <v>1</v>
      </c>
      <c r="G2403" s="1">
        <v>9</v>
      </c>
      <c r="H2403" s="1">
        <v>0</v>
      </c>
      <c r="I2403" s="1">
        <v>0</v>
      </c>
      <c r="J2403" s="1">
        <v>5</v>
      </c>
    </row>
    <row r="2404" spans="1:10" x14ac:dyDescent="0.2">
      <c r="A2404" s="1">
        <v>450</v>
      </c>
      <c r="B2404" s="1">
        <v>1</v>
      </c>
      <c r="C2404" s="1">
        <v>20</v>
      </c>
      <c r="D2404" s="1">
        <v>3</v>
      </c>
      <c r="E2404" s="1">
        <v>3</v>
      </c>
      <c r="F2404" s="1">
        <v>1</v>
      </c>
      <c r="G2404" s="1">
        <v>9</v>
      </c>
      <c r="H2404" s="1">
        <v>1</v>
      </c>
      <c r="I2404" s="1">
        <v>0</v>
      </c>
      <c r="J2404" s="1">
        <v>5</v>
      </c>
    </row>
    <row r="2405" spans="1:10" x14ac:dyDescent="0.2">
      <c r="A2405" s="1">
        <v>2472</v>
      </c>
      <c r="B2405" s="1">
        <v>1</v>
      </c>
      <c r="C2405" s="1">
        <v>9</v>
      </c>
      <c r="D2405" s="1">
        <v>1</v>
      </c>
      <c r="E2405" s="1">
        <v>1</v>
      </c>
      <c r="F2405" s="1">
        <v>2</v>
      </c>
      <c r="G2405" s="1">
        <v>9</v>
      </c>
      <c r="H2405" s="1">
        <v>0</v>
      </c>
      <c r="I2405" s="1">
        <v>1</v>
      </c>
      <c r="J2405" s="1">
        <v>5</v>
      </c>
    </row>
    <row r="2406" spans="1:10" x14ac:dyDescent="0.2">
      <c r="A2406" s="1">
        <v>2452</v>
      </c>
      <c r="B2406" s="1">
        <v>1</v>
      </c>
      <c r="C2406" s="1">
        <v>11</v>
      </c>
      <c r="D2406" s="1">
        <v>2</v>
      </c>
      <c r="E2406" s="1">
        <v>1</v>
      </c>
      <c r="F2406" s="1">
        <v>2</v>
      </c>
      <c r="G2406" s="1">
        <v>9</v>
      </c>
      <c r="H2406" s="1">
        <v>1</v>
      </c>
      <c r="I2406" s="1">
        <v>2</v>
      </c>
      <c r="J2406" s="1">
        <v>5</v>
      </c>
    </row>
    <row r="2407" spans="1:10" x14ac:dyDescent="0.2">
      <c r="A2407" s="1">
        <v>2309</v>
      </c>
      <c r="B2407" s="1">
        <v>1</v>
      </c>
      <c r="C2407" s="1">
        <v>18</v>
      </c>
      <c r="D2407" s="1">
        <v>5</v>
      </c>
      <c r="E2407" s="1">
        <v>1</v>
      </c>
      <c r="F2407" s="1">
        <v>2</v>
      </c>
      <c r="G2407" s="1">
        <v>9</v>
      </c>
      <c r="H2407" s="1">
        <v>0</v>
      </c>
      <c r="I2407" s="1">
        <v>1</v>
      </c>
      <c r="J2407" s="1">
        <v>5</v>
      </c>
    </row>
    <row r="2408" spans="1:10" x14ac:dyDescent="0.2">
      <c r="A2408" s="1">
        <v>816</v>
      </c>
      <c r="B2408" s="1">
        <v>1</v>
      </c>
      <c r="C2408" s="1">
        <v>7</v>
      </c>
      <c r="D2408" s="1">
        <v>3</v>
      </c>
      <c r="E2408" s="1">
        <v>2</v>
      </c>
      <c r="F2408" s="1">
        <v>2</v>
      </c>
      <c r="G2408" s="1">
        <v>9</v>
      </c>
      <c r="H2408" s="1">
        <v>0</v>
      </c>
      <c r="I2408" s="1">
        <v>0</v>
      </c>
      <c r="J2408" s="1">
        <v>5</v>
      </c>
    </row>
    <row r="2409" spans="1:10" x14ac:dyDescent="0.2">
      <c r="A2409" s="1">
        <v>912</v>
      </c>
      <c r="B2409" s="1">
        <v>1</v>
      </c>
      <c r="C2409" s="1">
        <v>9</v>
      </c>
      <c r="D2409" s="1">
        <v>1</v>
      </c>
      <c r="E2409" s="1">
        <v>2</v>
      </c>
      <c r="F2409" s="1">
        <v>2</v>
      </c>
      <c r="G2409" s="1">
        <v>9</v>
      </c>
      <c r="H2409" s="1">
        <v>1</v>
      </c>
      <c r="I2409" s="1">
        <v>0</v>
      </c>
      <c r="J2409" s="1">
        <v>5</v>
      </c>
    </row>
    <row r="2410" spans="1:10" x14ac:dyDescent="0.2">
      <c r="A2410" s="1">
        <v>88</v>
      </c>
      <c r="B2410" s="1">
        <v>1</v>
      </c>
      <c r="C2410" s="1">
        <v>20</v>
      </c>
      <c r="D2410" s="1">
        <v>4</v>
      </c>
      <c r="E2410" s="1">
        <v>2</v>
      </c>
      <c r="F2410" s="1">
        <v>2</v>
      </c>
      <c r="G2410" s="1">
        <v>9</v>
      </c>
      <c r="H2410" s="1">
        <v>1</v>
      </c>
      <c r="I2410" s="1">
        <v>2</v>
      </c>
      <c r="J2410" s="1">
        <v>5</v>
      </c>
    </row>
    <row r="2411" spans="1:10" x14ac:dyDescent="0.2">
      <c r="A2411" s="1">
        <v>1681</v>
      </c>
      <c r="B2411" s="1">
        <v>1</v>
      </c>
      <c r="C2411" s="1">
        <v>5</v>
      </c>
      <c r="D2411" s="1">
        <v>5</v>
      </c>
      <c r="E2411" s="1">
        <v>2</v>
      </c>
      <c r="F2411" s="1">
        <v>3</v>
      </c>
      <c r="G2411" s="1">
        <v>9</v>
      </c>
      <c r="H2411" s="1">
        <v>1</v>
      </c>
      <c r="I2411" s="1">
        <v>1</v>
      </c>
      <c r="J2411" s="1">
        <v>5</v>
      </c>
    </row>
    <row r="2412" spans="1:10" x14ac:dyDescent="0.2">
      <c r="A2412" s="1">
        <v>1255</v>
      </c>
      <c r="B2412" s="1">
        <v>1</v>
      </c>
      <c r="C2412" s="1">
        <v>8</v>
      </c>
      <c r="D2412" s="1">
        <v>5</v>
      </c>
      <c r="E2412" s="1">
        <v>2</v>
      </c>
      <c r="F2412" s="1">
        <v>3</v>
      </c>
      <c r="G2412" s="1">
        <v>9</v>
      </c>
      <c r="H2412" s="1">
        <v>1</v>
      </c>
      <c r="I2412" s="1">
        <v>2</v>
      </c>
      <c r="J2412" s="1">
        <v>5</v>
      </c>
    </row>
    <row r="2413" spans="1:10" x14ac:dyDescent="0.2">
      <c r="A2413" s="1">
        <v>1856</v>
      </c>
      <c r="B2413" s="1">
        <v>1</v>
      </c>
      <c r="C2413" s="1">
        <v>8</v>
      </c>
      <c r="D2413" s="1">
        <v>3</v>
      </c>
      <c r="E2413" s="1">
        <v>2</v>
      </c>
      <c r="F2413" s="1">
        <v>3</v>
      </c>
      <c r="G2413" s="1">
        <v>9</v>
      </c>
      <c r="H2413" s="1">
        <v>0</v>
      </c>
      <c r="I2413" s="1">
        <v>0</v>
      </c>
      <c r="J2413" s="1">
        <v>5</v>
      </c>
    </row>
    <row r="2414" spans="1:10" x14ac:dyDescent="0.2">
      <c r="A2414" s="1">
        <v>1149</v>
      </c>
      <c r="B2414" s="1">
        <v>1</v>
      </c>
      <c r="C2414" s="1">
        <v>9</v>
      </c>
      <c r="D2414" s="1">
        <v>5</v>
      </c>
      <c r="E2414" s="1">
        <v>2</v>
      </c>
      <c r="F2414" s="1">
        <v>3</v>
      </c>
      <c r="G2414" s="1">
        <v>9</v>
      </c>
      <c r="H2414" s="1">
        <v>0</v>
      </c>
      <c r="I2414" s="1">
        <v>0</v>
      </c>
      <c r="J2414" s="1">
        <v>5</v>
      </c>
    </row>
    <row r="2415" spans="1:10" x14ac:dyDescent="0.2">
      <c r="A2415" s="1">
        <v>1623</v>
      </c>
      <c r="B2415" s="1">
        <v>1</v>
      </c>
      <c r="C2415" s="1">
        <v>11</v>
      </c>
      <c r="D2415" s="1">
        <v>3</v>
      </c>
      <c r="E2415" s="1">
        <v>2</v>
      </c>
      <c r="F2415" s="1">
        <v>3</v>
      </c>
      <c r="G2415" s="1">
        <v>9</v>
      </c>
      <c r="H2415" s="1">
        <v>1</v>
      </c>
      <c r="I2415" s="1">
        <v>2</v>
      </c>
      <c r="J2415" s="1">
        <v>5</v>
      </c>
    </row>
    <row r="2416" spans="1:10" x14ac:dyDescent="0.2">
      <c r="A2416" s="1">
        <v>627</v>
      </c>
      <c r="B2416" s="1">
        <v>1</v>
      </c>
      <c r="C2416" s="1">
        <v>15</v>
      </c>
      <c r="D2416" s="1">
        <v>3</v>
      </c>
      <c r="E2416" s="1">
        <v>2</v>
      </c>
      <c r="F2416" s="1">
        <v>3</v>
      </c>
      <c r="G2416" s="1">
        <v>9</v>
      </c>
      <c r="H2416" s="1">
        <v>0</v>
      </c>
      <c r="I2416" s="1">
        <v>2</v>
      </c>
      <c r="J2416" s="1">
        <v>5</v>
      </c>
    </row>
    <row r="2417" spans="1:10" x14ac:dyDescent="0.2">
      <c r="A2417" s="1">
        <v>1201</v>
      </c>
      <c r="B2417" s="1">
        <v>1</v>
      </c>
      <c r="C2417" s="1">
        <v>15</v>
      </c>
      <c r="D2417" s="1">
        <v>5</v>
      </c>
      <c r="E2417" s="1">
        <v>2</v>
      </c>
      <c r="F2417" s="1">
        <v>3</v>
      </c>
      <c r="G2417" s="1">
        <v>9</v>
      </c>
      <c r="H2417" s="1">
        <v>1</v>
      </c>
      <c r="I2417" s="1">
        <v>3</v>
      </c>
      <c r="J2417" s="1">
        <v>5</v>
      </c>
    </row>
    <row r="2418" spans="1:10" x14ac:dyDescent="0.2">
      <c r="A2418" s="1">
        <v>949</v>
      </c>
      <c r="B2418" s="1">
        <v>1</v>
      </c>
      <c r="C2418" s="1">
        <v>15</v>
      </c>
      <c r="D2418" s="1">
        <v>3</v>
      </c>
      <c r="E2418" s="1">
        <v>1</v>
      </c>
      <c r="F2418" s="1">
        <v>4</v>
      </c>
      <c r="G2418" s="1">
        <v>9</v>
      </c>
      <c r="H2418" s="1">
        <v>0</v>
      </c>
      <c r="I2418" s="1">
        <v>3</v>
      </c>
      <c r="J2418" s="1">
        <v>5</v>
      </c>
    </row>
    <row r="2419" spans="1:10" x14ac:dyDescent="0.2">
      <c r="A2419" s="1">
        <v>1333</v>
      </c>
      <c r="B2419" s="1">
        <v>1</v>
      </c>
      <c r="C2419" s="1">
        <v>7</v>
      </c>
      <c r="D2419" s="1">
        <v>5</v>
      </c>
      <c r="E2419" s="1">
        <v>2</v>
      </c>
      <c r="F2419" s="1">
        <v>4</v>
      </c>
      <c r="G2419" s="1">
        <v>9</v>
      </c>
      <c r="H2419" s="1">
        <v>0</v>
      </c>
      <c r="I2419" s="1">
        <v>0</v>
      </c>
      <c r="J2419" s="1">
        <v>5</v>
      </c>
    </row>
    <row r="2420" spans="1:10" x14ac:dyDescent="0.2">
      <c r="A2420" s="1">
        <v>1943</v>
      </c>
      <c r="B2420" s="1">
        <v>1</v>
      </c>
      <c r="C2420" s="1">
        <v>7</v>
      </c>
      <c r="D2420" s="1">
        <v>5</v>
      </c>
      <c r="E2420" s="1">
        <v>2</v>
      </c>
      <c r="F2420" s="1">
        <v>4</v>
      </c>
      <c r="G2420" s="1">
        <v>9</v>
      </c>
      <c r="H2420" s="1">
        <v>1</v>
      </c>
      <c r="I2420" s="1">
        <v>2</v>
      </c>
      <c r="J2420" s="1">
        <v>5</v>
      </c>
    </row>
    <row r="2421" spans="1:10" x14ac:dyDescent="0.2">
      <c r="A2421" s="1">
        <v>980</v>
      </c>
      <c r="B2421" s="1">
        <v>1</v>
      </c>
      <c r="C2421" s="1">
        <v>11</v>
      </c>
      <c r="D2421" s="1">
        <v>1</v>
      </c>
      <c r="E2421" s="1">
        <v>2</v>
      </c>
      <c r="F2421" s="1">
        <v>4</v>
      </c>
      <c r="G2421" s="1">
        <v>9</v>
      </c>
      <c r="H2421" s="1">
        <v>1</v>
      </c>
      <c r="I2421" s="1">
        <v>3</v>
      </c>
      <c r="J2421" s="1">
        <v>5</v>
      </c>
    </row>
    <row r="2422" spans="1:10" x14ac:dyDescent="0.2">
      <c r="A2422" s="1">
        <v>1095</v>
      </c>
      <c r="B2422" s="1">
        <v>1</v>
      </c>
      <c r="C2422" s="1">
        <v>17</v>
      </c>
      <c r="D2422" s="1">
        <v>3</v>
      </c>
      <c r="E2422" s="1">
        <v>2</v>
      </c>
      <c r="F2422" s="1">
        <v>4</v>
      </c>
      <c r="G2422" s="1">
        <v>9</v>
      </c>
      <c r="H2422" s="1">
        <v>1</v>
      </c>
      <c r="I2422" s="1">
        <v>0</v>
      </c>
      <c r="J2422" s="1">
        <v>5</v>
      </c>
    </row>
    <row r="2423" spans="1:10" x14ac:dyDescent="0.2">
      <c r="A2423" s="1">
        <v>1650</v>
      </c>
      <c r="B2423" s="1">
        <v>1</v>
      </c>
      <c r="C2423" s="1">
        <v>18</v>
      </c>
      <c r="D2423" s="1">
        <v>2</v>
      </c>
      <c r="E2423" s="1">
        <v>2</v>
      </c>
      <c r="F2423" s="1">
        <v>4</v>
      </c>
      <c r="G2423" s="1">
        <v>9</v>
      </c>
      <c r="H2423" s="1">
        <v>0</v>
      </c>
      <c r="I2423" s="1">
        <v>1</v>
      </c>
      <c r="J2423" s="1">
        <v>5</v>
      </c>
    </row>
    <row r="2424" spans="1:10" x14ac:dyDescent="0.2">
      <c r="A2424" s="1">
        <v>1869</v>
      </c>
      <c r="B2424" s="1">
        <v>1</v>
      </c>
      <c r="C2424" s="1">
        <v>20</v>
      </c>
      <c r="D2424" s="1">
        <v>2</v>
      </c>
      <c r="E2424" s="1">
        <v>2</v>
      </c>
      <c r="F2424" s="1">
        <v>4</v>
      </c>
      <c r="G2424" s="1">
        <v>9</v>
      </c>
      <c r="H2424" s="1">
        <v>1</v>
      </c>
      <c r="I2424" s="1">
        <v>0</v>
      </c>
      <c r="J2424" s="1">
        <v>5</v>
      </c>
    </row>
    <row r="2425" spans="1:10" x14ac:dyDescent="0.2">
      <c r="A2425" s="1">
        <v>308</v>
      </c>
      <c r="B2425" s="1">
        <v>1</v>
      </c>
      <c r="C2425" s="1">
        <v>12</v>
      </c>
      <c r="D2425" s="1">
        <v>5</v>
      </c>
      <c r="E2425" s="1">
        <v>1</v>
      </c>
      <c r="F2425" s="1">
        <v>5</v>
      </c>
      <c r="G2425" s="1">
        <v>9</v>
      </c>
      <c r="H2425" s="1">
        <v>1</v>
      </c>
      <c r="I2425" s="1">
        <v>0</v>
      </c>
      <c r="J2425" s="1">
        <v>5</v>
      </c>
    </row>
    <row r="2426" spans="1:10" x14ac:dyDescent="0.2">
      <c r="A2426" s="1">
        <v>1162</v>
      </c>
      <c r="B2426" s="1">
        <v>1</v>
      </c>
      <c r="C2426" s="1">
        <v>14</v>
      </c>
      <c r="D2426" s="1">
        <v>1</v>
      </c>
      <c r="E2426" s="1">
        <v>2</v>
      </c>
      <c r="F2426" s="1">
        <v>5</v>
      </c>
      <c r="G2426" s="1">
        <v>9</v>
      </c>
      <c r="H2426" s="1">
        <v>1</v>
      </c>
      <c r="I2426" s="1">
        <v>0</v>
      </c>
      <c r="J2426" s="1">
        <v>5</v>
      </c>
    </row>
    <row r="2427" spans="1:10" x14ac:dyDescent="0.2">
      <c r="A2427" s="1">
        <v>399</v>
      </c>
      <c r="B2427" s="1">
        <v>1</v>
      </c>
      <c r="C2427" s="1">
        <v>20</v>
      </c>
      <c r="D2427" s="1">
        <v>2</v>
      </c>
      <c r="E2427" s="1">
        <v>2</v>
      </c>
      <c r="F2427" s="1">
        <v>5</v>
      </c>
      <c r="G2427" s="1">
        <v>9</v>
      </c>
      <c r="H2427" s="1">
        <v>1</v>
      </c>
      <c r="I2427" s="1">
        <v>0</v>
      </c>
      <c r="J2427" s="1">
        <v>5</v>
      </c>
    </row>
    <row r="2428" spans="1:10" x14ac:dyDescent="0.2">
      <c r="A2428" s="1">
        <v>85</v>
      </c>
      <c r="B2428" s="1">
        <v>1</v>
      </c>
      <c r="C2428" s="1">
        <v>6</v>
      </c>
      <c r="D2428" s="1">
        <v>3</v>
      </c>
      <c r="E2428" s="1">
        <v>3</v>
      </c>
      <c r="F2428" s="1">
        <v>5</v>
      </c>
      <c r="G2428" s="1">
        <v>9</v>
      </c>
      <c r="H2428" s="1">
        <v>0</v>
      </c>
      <c r="I2428" s="1">
        <v>3</v>
      </c>
      <c r="J2428" s="1">
        <v>5</v>
      </c>
    </row>
    <row r="2429" spans="1:10" x14ac:dyDescent="0.2">
      <c r="A2429" s="1">
        <v>1625</v>
      </c>
      <c r="B2429" s="1">
        <v>1</v>
      </c>
      <c r="C2429" s="1">
        <v>7</v>
      </c>
      <c r="D2429" s="1">
        <v>5</v>
      </c>
      <c r="E2429" s="1">
        <v>1</v>
      </c>
      <c r="F2429" s="1">
        <v>6</v>
      </c>
      <c r="G2429" s="1">
        <v>9</v>
      </c>
      <c r="H2429" s="1">
        <v>0</v>
      </c>
      <c r="I2429" s="1">
        <v>0</v>
      </c>
      <c r="J2429" s="1">
        <v>5</v>
      </c>
    </row>
    <row r="2430" spans="1:10" x14ac:dyDescent="0.2">
      <c r="A2430" s="1">
        <v>2295</v>
      </c>
      <c r="B2430" s="1">
        <v>1</v>
      </c>
      <c r="C2430" s="1">
        <v>20</v>
      </c>
      <c r="D2430" s="1">
        <v>5</v>
      </c>
      <c r="E2430" s="1">
        <v>1</v>
      </c>
      <c r="F2430" s="1">
        <v>6</v>
      </c>
      <c r="G2430" s="1">
        <v>9</v>
      </c>
      <c r="H2430" s="1">
        <v>0</v>
      </c>
      <c r="I2430" s="1">
        <v>3</v>
      </c>
      <c r="J2430" s="1">
        <v>5</v>
      </c>
    </row>
    <row r="2431" spans="1:10" x14ac:dyDescent="0.2">
      <c r="A2431" s="1">
        <v>164</v>
      </c>
      <c r="B2431" s="1">
        <v>1</v>
      </c>
      <c r="C2431" s="1">
        <v>9</v>
      </c>
      <c r="D2431" s="1">
        <v>1</v>
      </c>
      <c r="E2431" s="1">
        <v>2</v>
      </c>
      <c r="F2431" s="1">
        <v>6</v>
      </c>
      <c r="G2431" s="1">
        <v>9</v>
      </c>
      <c r="H2431" s="1">
        <v>0</v>
      </c>
      <c r="I2431" s="1">
        <v>1</v>
      </c>
      <c r="J2431" s="1">
        <v>5</v>
      </c>
    </row>
    <row r="2432" spans="1:10" x14ac:dyDescent="0.2">
      <c r="A2432" s="1">
        <v>2218</v>
      </c>
      <c r="B2432" s="1">
        <v>1</v>
      </c>
      <c r="C2432" s="1">
        <v>16</v>
      </c>
      <c r="D2432" s="1">
        <v>5</v>
      </c>
      <c r="E2432" s="1">
        <v>2</v>
      </c>
      <c r="F2432" s="1">
        <v>6</v>
      </c>
      <c r="G2432" s="1">
        <v>9</v>
      </c>
      <c r="H2432" s="1">
        <v>0</v>
      </c>
      <c r="I2432" s="1">
        <v>0</v>
      </c>
      <c r="J2432" s="1">
        <v>5</v>
      </c>
    </row>
    <row r="2433" spans="1:10" x14ac:dyDescent="0.2">
      <c r="A2433" s="1">
        <v>1607</v>
      </c>
      <c r="B2433" s="1">
        <v>1</v>
      </c>
      <c r="C2433" s="1">
        <v>17</v>
      </c>
      <c r="D2433" s="1">
        <v>1</v>
      </c>
      <c r="E2433" s="1">
        <v>2</v>
      </c>
      <c r="F2433" s="1">
        <v>6</v>
      </c>
      <c r="G2433" s="1">
        <v>9</v>
      </c>
      <c r="H2433" s="1">
        <v>0</v>
      </c>
      <c r="I2433" s="1">
        <v>0</v>
      </c>
      <c r="J2433" s="1">
        <v>5</v>
      </c>
    </row>
    <row r="2434" spans="1:10" x14ac:dyDescent="0.2">
      <c r="A2434" s="1">
        <v>2439</v>
      </c>
      <c r="B2434" s="1">
        <v>1</v>
      </c>
      <c r="C2434" s="1">
        <v>18</v>
      </c>
      <c r="D2434" s="1">
        <v>4</v>
      </c>
      <c r="E2434" s="1">
        <v>2</v>
      </c>
      <c r="F2434" s="1">
        <v>6</v>
      </c>
      <c r="G2434" s="1">
        <v>9</v>
      </c>
      <c r="H2434" s="1">
        <v>1</v>
      </c>
      <c r="I2434" s="1">
        <v>2</v>
      </c>
      <c r="J2434" s="1">
        <v>5</v>
      </c>
    </row>
    <row r="2435" spans="1:10" x14ac:dyDescent="0.2">
      <c r="A2435" s="1">
        <v>136</v>
      </c>
      <c r="B2435" s="1">
        <v>1</v>
      </c>
      <c r="C2435" s="1">
        <v>5</v>
      </c>
      <c r="D2435" s="1">
        <v>4</v>
      </c>
      <c r="E2435" s="1">
        <v>3</v>
      </c>
      <c r="F2435" s="1">
        <v>6</v>
      </c>
      <c r="G2435" s="1">
        <v>9</v>
      </c>
      <c r="H2435" s="1">
        <v>1</v>
      </c>
      <c r="I2435" s="1">
        <v>2</v>
      </c>
      <c r="J2435" s="1">
        <v>5</v>
      </c>
    </row>
    <row r="2436" spans="1:10" x14ac:dyDescent="0.2">
      <c r="A2436" s="1">
        <v>1272</v>
      </c>
      <c r="B2436" s="1">
        <v>1</v>
      </c>
      <c r="C2436" s="1">
        <v>13</v>
      </c>
      <c r="D2436" s="1">
        <v>5</v>
      </c>
      <c r="E2436" s="1">
        <v>3</v>
      </c>
      <c r="F2436" s="1">
        <v>6</v>
      </c>
      <c r="G2436" s="1">
        <v>9</v>
      </c>
      <c r="H2436" s="1">
        <v>0</v>
      </c>
      <c r="I2436" s="1">
        <v>3</v>
      </c>
      <c r="J2436" s="1">
        <v>5</v>
      </c>
    </row>
    <row r="2437" spans="1:10" x14ac:dyDescent="0.2">
      <c r="A2437" s="1">
        <v>2053</v>
      </c>
      <c r="B2437" s="1">
        <v>1</v>
      </c>
      <c r="C2437" s="1">
        <v>19</v>
      </c>
      <c r="D2437" s="1">
        <v>2</v>
      </c>
      <c r="E2437" s="1">
        <v>1</v>
      </c>
      <c r="F2437" s="1">
        <v>7</v>
      </c>
      <c r="G2437" s="1">
        <v>9</v>
      </c>
      <c r="H2437" s="1">
        <v>1</v>
      </c>
      <c r="I2437" s="1">
        <v>3</v>
      </c>
      <c r="J2437" s="1">
        <v>5</v>
      </c>
    </row>
    <row r="2438" spans="1:10" x14ac:dyDescent="0.2">
      <c r="A2438" s="1">
        <v>467</v>
      </c>
      <c r="B2438" s="1">
        <v>1</v>
      </c>
      <c r="C2438" s="1">
        <v>8</v>
      </c>
      <c r="D2438" s="1">
        <v>5</v>
      </c>
      <c r="E2438" s="1">
        <v>2</v>
      </c>
      <c r="F2438" s="1">
        <v>7</v>
      </c>
      <c r="G2438" s="1">
        <v>9</v>
      </c>
      <c r="H2438" s="1">
        <v>0</v>
      </c>
      <c r="I2438" s="1">
        <v>1</v>
      </c>
      <c r="J2438" s="1">
        <v>5</v>
      </c>
    </row>
    <row r="2439" spans="1:10" x14ac:dyDescent="0.2">
      <c r="A2439" s="1">
        <v>1019</v>
      </c>
      <c r="B2439" s="1">
        <v>1</v>
      </c>
      <c r="C2439" s="1">
        <v>10</v>
      </c>
      <c r="D2439" s="1">
        <v>1</v>
      </c>
      <c r="E2439" s="1">
        <v>2</v>
      </c>
      <c r="F2439" s="1">
        <v>7</v>
      </c>
      <c r="G2439" s="1">
        <v>9</v>
      </c>
      <c r="H2439" s="1">
        <v>1</v>
      </c>
      <c r="I2439" s="1">
        <v>3</v>
      </c>
      <c r="J2439" s="1">
        <v>5</v>
      </c>
    </row>
    <row r="2440" spans="1:10" x14ac:dyDescent="0.2">
      <c r="A2440" s="1">
        <v>372</v>
      </c>
      <c r="B2440" s="1">
        <v>1</v>
      </c>
      <c r="C2440" s="1">
        <v>16</v>
      </c>
      <c r="D2440" s="1">
        <v>1</v>
      </c>
      <c r="E2440" s="1">
        <v>2</v>
      </c>
      <c r="F2440" s="1">
        <v>7</v>
      </c>
      <c r="G2440" s="1">
        <v>9</v>
      </c>
      <c r="H2440" s="1">
        <v>0</v>
      </c>
      <c r="I2440" s="1">
        <v>0</v>
      </c>
      <c r="J2440" s="1">
        <v>5</v>
      </c>
    </row>
    <row r="2441" spans="1:10" x14ac:dyDescent="0.2">
      <c r="A2441" s="1">
        <v>1534</v>
      </c>
      <c r="B2441" s="1">
        <v>1</v>
      </c>
      <c r="C2441" s="1">
        <v>19</v>
      </c>
      <c r="D2441" s="1">
        <v>5</v>
      </c>
      <c r="E2441" s="1">
        <v>2</v>
      </c>
      <c r="F2441" s="1">
        <v>7</v>
      </c>
      <c r="G2441" s="1">
        <v>9</v>
      </c>
      <c r="H2441" s="1">
        <v>1</v>
      </c>
      <c r="I2441" s="1">
        <v>0</v>
      </c>
      <c r="J2441" s="1">
        <v>5</v>
      </c>
    </row>
    <row r="2442" spans="1:10" x14ac:dyDescent="0.2">
      <c r="A2442" s="1">
        <v>1076</v>
      </c>
      <c r="B2442" s="1">
        <v>1</v>
      </c>
      <c r="C2442" s="1">
        <v>20</v>
      </c>
      <c r="D2442" s="1">
        <v>4</v>
      </c>
      <c r="E2442" s="1">
        <v>3</v>
      </c>
      <c r="F2442" s="1">
        <v>7</v>
      </c>
      <c r="G2442" s="1">
        <v>9</v>
      </c>
      <c r="H2442" s="1">
        <v>1</v>
      </c>
      <c r="I2442" s="1">
        <v>0</v>
      </c>
      <c r="J2442" s="1">
        <v>5</v>
      </c>
    </row>
    <row r="2443" spans="1:10" x14ac:dyDescent="0.2">
      <c r="A2443" s="1">
        <v>1216</v>
      </c>
      <c r="B2443" s="1">
        <v>1</v>
      </c>
      <c r="C2443" s="1">
        <v>17</v>
      </c>
      <c r="D2443" s="1">
        <v>2</v>
      </c>
      <c r="E2443" s="1">
        <v>1</v>
      </c>
      <c r="F2443" s="1">
        <v>8</v>
      </c>
      <c r="G2443" s="1">
        <v>9</v>
      </c>
      <c r="H2443" s="1">
        <v>1</v>
      </c>
      <c r="I2443" s="1">
        <v>1</v>
      </c>
      <c r="J2443" s="1">
        <v>5</v>
      </c>
    </row>
    <row r="2444" spans="1:10" x14ac:dyDescent="0.2">
      <c r="A2444" s="1">
        <v>2177</v>
      </c>
      <c r="B2444" s="1">
        <v>1</v>
      </c>
      <c r="C2444" s="1">
        <v>20</v>
      </c>
      <c r="D2444" s="1">
        <v>2</v>
      </c>
      <c r="E2444" s="1">
        <v>2</v>
      </c>
      <c r="F2444" s="1">
        <v>8</v>
      </c>
      <c r="G2444" s="1">
        <v>9</v>
      </c>
      <c r="H2444" s="1">
        <v>1</v>
      </c>
      <c r="I2444" s="1">
        <v>0</v>
      </c>
      <c r="J2444" s="1">
        <v>5</v>
      </c>
    </row>
    <row r="2445" spans="1:10" x14ac:dyDescent="0.2">
      <c r="A2445" s="1">
        <v>2288</v>
      </c>
      <c r="B2445" s="1">
        <v>1</v>
      </c>
      <c r="C2445" s="1">
        <v>11</v>
      </c>
      <c r="D2445" s="1">
        <v>1</v>
      </c>
      <c r="E2445" s="1">
        <v>3</v>
      </c>
      <c r="F2445" s="1">
        <v>8</v>
      </c>
      <c r="G2445" s="1">
        <v>9</v>
      </c>
      <c r="H2445" s="1">
        <v>0</v>
      </c>
      <c r="I2445" s="1">
        <v>2</v>
      </c>
      <c r="J2445" s="1">
        <v>5</v>
      </c>
    </row>
    <row r="2446" spans="1:10" x14ac:dyDescent="0.2">
      <c r="A2446" s="1">
        <v>333</v>
      </c>
      <c r="B2446" s="1">
        <v>1</v>
      </c>
      <c r="C2446" s="1">
        <v>5</v>
      </c>
      <c r="D2446" s="1">
        <v>4</v>
      </c>
      <c r="E2446" s="1">
        <v>1</v>
      </c>
      <c r="F2446" s="1">
        <v>9</v>
      </c>
      <c r="G2446" s="1">
        <v>9</v>
      </c>
      <c r="H2446" s="1">
        <v>0</v>
      </c>
      <c r="I2446" s="1">
        <v>0</v>
      </c>
      <c r="J2446" s="1">
        <v>5</v>
      </c>
    </row>
    <row r="2447" spans="1:10" x14ac:dyDescent="0.2">
      <c r="A2447" s="1">
        <v>2340</v>
      </c>
      <c r="B2447" s="1">
        <v>1</v>
      </c>
      <c r="C2447" s="1">
        <v>9</v>
      </c>
      <c r="D2447" s="1">
        <v>5</v>
      </c>
      <c r="E2447" s="1">
        <v>2</v>
      </c>
      <c r="F2447" s="1">
        <v>9</v>
      </c>
      <c r="G2447" s="1">
        <v>9</v>
      </c>
      <c r="H2447" s="1">
        <v>0</v>
      </c>
      <c r="I2447" s="1">
        <v>1</v>
      </c>
      <c r="J2447" s="1">
        <v>5</v>
      </c>
    </row>
    <row r="2448" spans="1:10" x14ac:dyDescent="0.2">
      <c r="A2448" s="1">
        <v>1636</v>
      </c>
      <c r="B2448" s="1">
        <v>1</v>
      </c>
      <c r="C2448" s="1">
        <v>13</v>
      </c>
      <c r="D2448" s="1">
        <v>3</v>
      </c>
      <c r="E2448" s="1">
        <v>3</v>
      </c>
      <c r="F2448" s="1">
        <v>9</v>
      </c>
      <c r="G2448" s="1">
        <v>9</v>
      </c>
      <c r="H2448" s="1">
        <v>1</v>
      </c>
      <c r="I2448" s="1">
        <v>0</v>
      </c>
      <c r="J2448" s="1">
        <v>5</v>
      </c>
    </row>
    <row r="2449" spans="1:10" x14ac:dyDescent="0.2">
      <c r="A2449" s="1">
        <v>1277</v>
      </c>
      <c r="B2449" s="1">
        <v>1</v>
      </c>
      <c r="C2449" s="1">
        <v>10</v>
      </c>
      <c r="D2449" s="1">
        <v>2</v>
      </c>
      <c r="E2449" s="1">
        <v>1</v>
      </c>
      <c r="F2449" s="1">
        <v>10</v>
      </c>
      <c r="G2449" s="1">
        <v>9</v>
      </c>
      <c r="H2449" s="1">
        <v>1</v>
      </c>
      <c r="I2449" s="1">
        <v>3</v>
      </c>
      <c r="J2449" s="1">
        <v>5</v>
      </c>
    </row>
    <row r="2450" spans="1:10" x14ac:dyDescent="0.2">
      <c r="A2450" s="1">
        <v>780</v>
      </c>
      <c r="B2450" s="1">
        <v>1</v>
      </c>
      <c r="C2450" s="1">
        <v>15</v>
      </c>
      <c r="D2450" s="1">
        <v>3</v>
      </c>
      <c r="E2450" s="1">
        <v>1</v>
      </c>
      <c r="F2450" s="1">
        <v>10</v>
      </c>
      <c r="G2450" s="1">
        <v>9</v>
      </c>
      <c r="H2450" s="1">
        <v>0</v>
      </c>
      <c r="I2450" s="1">
        <v>2</v>
      </c>
      <c r="J2450" s="1">
        <v>5</v>
      </c>
    </row>
    <row r="2451" spans="1:10" x14ac:dyDescent="0.2">
      <c r="A2451" s="1">
        <v>730</v>
      </c>
      <c r="B2451" s="1">
        <v>1</v>
      </c>
      <c r="C2451" s="1">
        <v>9</v>
      </c>
      <c r="D2451" s="1">
        <v>1</v>
      </c>
      <c r="E2451" s="1">
        <v>2</v>
      </c>
      <c r="F2451" s="1">
        <v>10</v>
      </c>
      <c r="G2451" s="1">
        <v>9</v>
      </c>
      <c r="H2451" s="1">
        <v>0</v>
      </c>
      <c r="I2451" s="1">
        <v>0</v>
      </c>
      <c r="J2451" s="1">
        <v>5</v>
      </c>
    </row>
    <row r="2452" spans="1:10" x14ac:dyDescent="0.2">
      <c r="A2452" s="1">
        <v>2253</v>
      </c>
      <c r="B2452" s="1">
        <v>1</v>
      </c>
      <c r="C2452" s="1">
        <v>8</v>
      </c>
      <c r="D2452" s="1">
        <v>2</v>
      </c>
      <c r="E2452" s="1">
        <v>3</v>
      </c>
      <c r="F2452" s="1">
        <v>10</v>
      </c>
      <c r="G2452" s="1">
        <v>9</v>
      </c>
      <c r="H2452" s="1">
        <v>1</v>
      </c>
      <c r="I2452" s="1">
        <v>3</v>
      </c>
      <c r="J2452" s="1">
        <v>5</v>
      </c>
    </row>
    <row r="2453" spans="1:10" x14ac:dyDescent="0.2">
      <c r="A2453" s="1">
        <v>155</v>
      </c>
      <c r="B2453" s="1">
        <v>1</v>
      </c>
      <c r="C2453" s="1">
        <v>14</v>
      </c>
      <c r="D2453" s="1">
        <v>2</v>
      </c>
      <c r="E2453" s="1">
        <v>3</v>
      </c>
      <c r="F2453" s="1">
        <v>10</v>
      </c>
      <c r="G2453" s="1">
        <v>9</v>
      </c>
      <c r="H2453" s="1">
        <v>1</v>
      </c>
      <c r="I2453" s="1">
        <v>3</v>
      </c>
      <c r="J2453" s="1">
        <v>5</v>
      </c>
    </row>
    <row r="2454" spans="1:10" x14ac:dyDescent="0.2">
      <c r="A2454" s="1">
        <v>1056</v>
      </c>
      <c r="B2454" s="1">
        <v>1</v>
      </c>
      <c r="C2454" s="1">
        <v>15</v>
      </c>
      <c r="D2454" s="1">
        <v>2</v>
      </c>
      <c r="E2454" s="1">
        <v>3</v>
      </c>
      <c r="F2454" s="1">
        <v>10</v>
      </c>
      <c r="G2454" s="1">
        <v>9</v>
      </c>
      <c r="H2454" s="1">
        <v>0</v>
      </c>
      <c r="I2454" s="1">
        <v>3</v>
      </c>
      <c r="J2454" s="1">
        <v>5</v>
      </c>
    </row>
    <row r="2455" spans="1:10" x14ac:dyDescent="0.2">
      <c r="A2455" s="1">
        <v>868</v>
      </c>
      <c r="B2455" s="1">
        <v>1</v>
      </c>
      <c r="C2455" s="1">
        <v>16</v>
      </c>
      <c r="D2455" s="1">
        <v>3</v>
      </c>
      <c r="E2455" s="1">
        <v>3</v>
      </c>
      <c r="F2455" s="1">
        <v>10</v>
      </c>
      <c r="G2455" s="1">
        <v>9</v>
      </c>
      <c r="H2455" s="1">
        <v>0</v>
      </c>
      <c r="I2455" s="1">
        <v>2</v>
      </c>
      <c r="J2455" s="1">
        <v>5</v>
      </c>
    </row>
    <row r="2456" spans="1:10" x14ac:dyDescent="0.2">
      <c r="A2456" s="1">
        <v>297</v>
      </c>
      <c r="B2456" s="1">
        <v>1</v>
      </c>
      <c r="C2456" s="1">
        <v>6</v>
      </c>
      <c r="D2456" s="1">
        <v>3</v>
      </c>
      <c r="E2456" s="1">
        <v>2</v>
      </c>
      <c r="F2456" s="1">
        <v>1</v>
      </c>
      <c r="G2456" s="1">
        <v>10</v>
      </c>
      <c r="H2456" s="1">
        <v>1</v>
      </c>
      <c r="I2456" s="1">
        <v>2</v>
      </c>
      <c r="J2456" s="1">
        <v>5</v>
      </c>
    </row>
    <row r="2457" spans="1:10" x14ac:dyDescent="0.2">
      <c r="A2457" s="1">
        <v>437</v>
      </c>
      <c r="B2457" s="1">
        <v>1</v>
      </c>
      <c r="C2457" s="1">
        <v>19</v>
      </c>
      <c r="D2457" s="1">
        <v>4</v>
      </c>
      <c r="E2457" s="1">
        <v>3</v>
      </c>
      <c r="F2457" s="1">
        <v>1</v>
      </c>
      <c r="G2457" s="1">
        <v>10</v>
      </c>
      <c r="H2457" s="1">
        <v>1</v>
      </c>
      <c r="I2457" s="1">
        <v>2</v>
      </c>
      <c r="J2457" s="1">
        <v>5</v>
      </c>
    </row>
    <row r="2458" spans="1:10" x14ac:dyDescent="0.2">
      <c r="A2458" s="1">
        <v>56</v>
      </c>
      <c r="B2458" s="1">
        <v>1</v>
      </c>
      <c r="C2458" s="1">
        <v>13</v>
      </c>
      <c r="D2458" s="1">
        <v>2</v>
      </c>
      <c r="E2458" s="1">
        <v>1</v>
      </c>
      <c r="F2458" s="1">
        <v>2</v>
      </c>
      <c r="G2458" s="1">
        <v>10</v>
      </c>
      <c r="H2458" s="1">
        <v>0</v>
      </c>
      <c r="I2458" s="1">
        <v>2</v>
      </c>
      <c r="J2458" s="1">
        <v>5</v>
      </c>
    </row>
    <row r="2459" spans="1:10" x14ac:dyDescent="0.2">
      <c r="A2459" s="1">
        <v>321</v>
      </c>
      <c r="B2459" s="1">
        <v>1</v>
      </c>
      <c r="C2459" s="1">
        <v>15</v>
      </c>
      <c r="D2459" s="1">
        <v>1</v>
      </c>
      <c r="E2459" s="1">
        <v>1</v>
      </c>
      <c r="F2459" s="1">
        <v>2</v>
      </c>
      <c r="G2459" s="1">
        <v>10</v>
      </c>
      <c r="H2459" s="1">
        <v>1</v>
      </c>
      <c r="I2459" s="1">
        <v>1</v>
      </c>
      <c r="J2459" s="1">
        <v>5</v>
      </c>
    </row>
    <row r="2460" spans="1:10" x14ac:dyDescent="0.2">
      <c r="A2460" s="1">
        <v>300</v>
      </c>
      <c r="B2460" s="1">
        <v>1</v>
      </c>
      <c r="C2460" s="1">
        <v>20</v>
      </c>
      <c r="D2460" s="1">
        <v>5</v>
      </c>
      <c r="E2460" s="1">
        <v>2</v>
      </c>
      <c r="F2460" s="1">
        <v>2</v>
      </c>
      <c r="G2460" s="1">
        <v>10</v>
      </c>
      <c r="H2460" s="1">
        <v>0</v>
      </c>
      <c r="I2460" s="1">
        <v>0</v>
      </c>
      <c r="J2460" s="1">
        <v>5</v>
      </c>
    </row>
    <row r="2461" spans="1:10" x14ac:dyDescent="0.2">
      <c r="A2461" s="1">
        <v>1116</v>
      </c>
      <c r="B2461" s="1">
        <v>1</v>
      </c>
      <c r="C2461" s="1">
        <v>17</v>
      </c>
      <c r="D2461" s="1">
        <v>2</v>
      </c>
      <c r="E2461" s="1">
        <v>3</v>
      </c>
      <c r="F2461" s="1">
        <v>2</v>
      </c>
      <c r="G2461" s="1">
        <v>10</v>
      </c>
      <c r="H2461" s="1">
        <v>0</v>
      </c>
      <c r="I2461" s="1">
        <v>1</v>
      </c>
      <c r="J2461" s="1">
        <v>5</v>
      </c>
    </row>
    <row r="2462" spans="1:10" x14ac:dyDescent="0.2">
      <c r="A2462" s="1">
        <v>2314</v>
      </c>
      <c r="B2462" s="1">
        <v>1</v>
      </c>
      <c r="C2462" s="1">
        <v>17</v>
      </c>
      <c r="D2462" s="1">
        <v>2</v>
      </c>
      <c r="E2462" s="1">
        <v>3</v>
      </c>
      <c r="F2462" s="1">
        <v>2</v>
      </c>
      <c r="G2462" s="1">
        <v>10</v>
      </c>
      <c r="H2462" s="1">
        <v>1</v>
      </c>
      <c r="I2462" s="1">
        <v>1</v>
      </c>
      <c r="J2462" s="1">
        <v>5</v>
      </c>
    </row>
    <row r="2463" spans="1:10" x14ac:dyDescent="0.2">
      <c r="A2463" s="1">
        <v>248</v>
      </c>
      <c r="B2463" s="1">
        <v>1</v>
      </c>
      <c r="C2463" s="1">
        <v>17</v>
      </c>
      <c r="D2463" s="1">
        <v>4</v>
      </c>
      <c r="E2463" s="1">
        <v>1</v>
      </c>
      <c r="F2463" s="1">
        <v>3</v>
      </c>
      <c r="G2463" s="1">
        <v>10</v>
      </c>
      <c r="H2463" s="1">
        <v>0</v>
      </c>
      <c r="I2463" s="1">
        <v>0</v>
      </c>
      <c r="J2463" s="1">
        <v>5</v>
      </c>
    </row>
    <row r="2464" spans="1:10" x14ac:dyDescent="0.2">
      <c r="A2464" s="1">
        <v>1173</v>
      </c>
      <c r="B2464" s="1">
        <v>1</v>
      </c>
      <c r="C2464" s="1">
        <v>10</v>
      </c>
      <c r="D2464" s="1">
        <v>3</v>
      </c>
      <c r="E2464" s="1">
        <v>2</v>
      </c>
      <c r="F2464" s="1">
        <v>3</v>
      </c>
      <c r="G2464" s="1">
        <v>10</v>
      </c>
      <c r="H2464" s="1">
        <v>0</v>
      </c>
      <c r="I2464" s="1">
        <v>3</v>
      </c>
      <c r="J2464" s="1">
        <v>5</v>
      </c>
    </row>
    <row r="2465" spans="1:10" x14ac:dyDescent="0.2">
      <c r="A2465" s="1">
        <v>1938</v>
      </c>
      <c r="B2465" s="1">
        <v>1</v>
      </c>
      <c r="C2465" s="1">
        <v>10</v>
      </c>
      <c r="D2465" s="1">
        <v>1</v>
      </c>
      <c r="E2465" s="1">
        <v>2</v>
      </c>
      <c r="F2465" s="1">
        <v>3</v>
      </c>
      <c r="G2465" s="1">
        <v>10</v>
      </c>
      <c r="H2465" s="1">
        <v>0</v>
      </c>
      <c r="I2465" s="1">
        <v>0</v>
      </c>
      <c r="J2465" s="1">
        <v>5</v>
      </c>
    </row>
    <row r="2466" spans="1:10" x14ac:dyDescent="0.2">
      <c r="A2466" s="1">
        <v>355</v>
      </c>
      <c r="B2466" s="1">
        <v>1</v>
      </c>
      <c r="C2466" s="1">
        <v>12</v>
      </c>
      <c r="D2466" s="1">
        <v>4</v>
      </c>
      <c r="E2466" s="1">
        <v>2</v>
      </c>
      <c r="F2466" s="1">
        <v>3</v>
      </c>
      <c r="G2466" s="1">
        <v>10</v>
      </c>
      <c r="H2466" s="1">
        <v>0</v>
      </c>
      <c r="I2466" s="1">
        <v>0</v>
      </c>
      <c r="J2466" s="1">
        <v>5</v>
      </c>
    </row>
    <row r="2467" spans="1:10" x14ac:dyDescent="0.2">
      <c r="A2467" s="1">
        <v>2117</v>
      </c>
      <c r="B2467" s="1">
        <v>1</v>
      </c>
      <c r="C2467" s="1">
        <v>5</v>
      </c>
      <c r="D2467" s="1">
        <v>3</v>
      </c>
      <c r="E2467" s="1">
        <v>3</v>
      </c>
      <c r="F2467" s="1">
        <v>3</v>
      </c>
      <c r="G2467" s="1">
        <v>10</v>
      </c>
      <c r="H2467" s="1">
        <v>1</v>
      </c>
      <c r="I2467" s="1">
        <v>3</v>
      </c>
      <c r="J2467" s="1">
        <v>5</v>
      </c>
    </row>
    <row r="2468" spans="1:10" x14ac:dyDescent="0.2">
      <c r="A2468" s="1">
        <v>2297</v>
      </c>
      <c r="B2468" s="1">
        <v>1</v>
      </c>
      <c r="C2468" s="1">
        <v>7</v>
      </c>
      <c r="D2468" s="1">
        <v>5</v>
      </c>
      <c r="E2468" s="1">
        <v>3</v>
      </c>
      <c r="F2468" s="1">
        <v>3</v>
      </c>
      <c r="G2468" s="1">
        <v>10</v>
      </c>
      <c r="H2468" s="1">
        <v>0</v>
      </c>
      <c r="I2468" s="1">
        <v>2</v>
      </c>
      <c r="J2468" s="1">
        <v>5</v>
      </c>
    </row>
    <row r="2469" spans="1:10" x14ac:dyDescent="0.2">
      <c r="A2469" s="1">
        <v>249</v>
      </c>
      <c r="B2469" s="1">
        <v>1</v>
      </c>
      <c r="C2469" s="1">
        <v>11</v>
      </c>
      <c r="D2469" s="1">
        <v>2</v>
      </c>
      <c r="E2469" s="1">
        <v>2</v>
      </c>
      <c r="F2469" s="1">
        <v>4</v>
      </c>
      <c r="G2469" s="1">
        <v>10</v>
      </c>
      <c r="H2469" s="1">
        <v>0</v>
      </c>
      <c r="I2469" s="1">
        <v>0</v>
      </c>
      <c r="J2469" s="1">
        <v>5</v>
      </c>
    </row>
    <row r="2470" spans="1:10" x14ac:dyDescent="0.2">
      <c r="A2470" s="1">
        <v>2109</v>
      </c>
      <c r="B2470" s="1">
        <v>1</v>
      </c>
      <c r="C2470" s="1">
        <v>14</v>
      </c>
      <c r="D2470" s="1">
        <v>2</v>
      </c>
      <c r="E2470" s="1">
        <v>3</v>
      </c>
      <c r="F2470" s="1">
        <v>4</v>
      </c>
      <c r="G2470" s="1">
        <v>10</v>
      </c>
      <c r="H2470" s="1">
        <v>0</v>
      </c>
      <c r="I2470" s="1">
        <v>3</v>
      </c>
      <c r="J2470" s="1">
        <v>5</v>
      </c>
    </row>
    <row r="2471" spans="1:10" x14ac:dyDescent="0.2">
      <c r="A2471" s="1">
        <v>1633</v>
      </c>
      <c r="B2471" s="1">
        <v>1</v>
      </c>
      <c r="C2471" s="1">
        <v>17</v>
      </c>
      <c r="D2471" s="1">
        <v>2</v>
      </c>
      <c r="E2471" s="1">
        <v>3</v>
      </c>
      <c r="F2471" s="1">
        <v>4</v>
      </c>
      <c r="G2471" s="1">
        <v>10</v>
      </c>
      <c r="H2471" s="1">
        <v>1</v>
      </c>
      <c r="I2471" s="1">
        <v>2</v>
      </c>
      <c r="J2471" s="1">
        <v>5</v>
      </c>
    </row>
    <row r="2472" spans="1:10" x14ac:dyDescent="0.2">
      <c r="A2472" s="1">
        <v>614</v>
      </c>
      <c r="B2472" s="1">
        <v>1</v>
      </c>
      <c r="C2472" s="1">
        <v>7</v>
      </c>
      <c r="D2472" s="1">
        <v>3</v>
      </c>
      <c r="E2472" s="1">
        <v>2</v>
      </c>
      <c r="F2472" s="1">
        <v>5</v>
      </c>
      <c r="G2472" s="1">
        <v>10</v>
      </c>
      <c r="H2472" s="1">
        <v>0</v>
      </c>
      <c r="I2472" s="1">
        <v>1</v>
      </c>
      <c r="J2472" s="1">
        <v>5</v>
      </c>
    </row>
    <row r="2473" spans="1:10" x14ac:dyDescent="0.2">
      <c r="A2473" s="1">
        <v>2308</v>
      </c>
      <c r="B2473" s="1">
        <v>1</v>
      </c>
      <c r="C2473" s="1">
        <v>18</v>
      </c>
      <c r="D2473" s="1">
        <v>4</v>
      </c>
      <c r="E2473" s="1">
        <v>2</v>
      </c>
      <c r="F2473" s="1">
        <v>5</v>
      </c>
      <c r="G2473" s="1">
        <v>10</v>
      </c>
      <c r="H2473" s="1">
        <v>0</v>
      </c>
      <c r="I2473" s="1">
        <v>2</v>
      </c>
      <c r="J2473" s="1">
        <v>5</v>
      </c>
    </row>
    <row r="2474" spans="1:10" x14ac:dyDescent="0.2">
      <c r="A2474" s="1">
        <v>1620</v>
      </c>
      <c r="B2474" s="1">
        <v>1</v>
      </c>
      <c r="C2474" s="1">
        <v>5</v>
      </c>
      <c r="D2474" s="1">
        <v>1</v>
      </c>
      <c r="E2474" s="1">
        <v>3</v>
      </c>
      <c r="F2474" s="1">
        <v>5</v>
      </c>
      <c r="G2474" s="1">
        <v>10</v>
      </c>
      <c r="H2474" s="1">
        <v>0</v>
      </c>
      <c r="I2474" s="1">
        <v>1</v>
      </c>
      <c r="J2474" s="1">
        <v>5</v>
      </c>
    </row>
    <row r="2475" spans="1:10" x14ac:dyDescent="0.2">
      <c r="A2475" s="1">
        <v>1734</v>
      </c>
      <c r="B2475" s="1">
        <v>1</v>
      </c>
      <c r="C2475" s="1">
        <v>20</v>
      </c>
      <c r="D2475" s="1">
        <v>4</v>
      </c>
      <c r="E2475" s="1">
        <v>3</v>
      </c>
      <c r="F2475" s="1">
        <v>5</v>
      </c>
      <c r="G2475" s="1">
        <v>10</v>
      </c>
      <c r="H2475" s="1">
        <v>0</v>
      </c>
      <c r="I2475" s="1">
        <v>0</v>
      </c>
      <c r="J2475" s="1">
        <v>5</v>
      </c>
    </row>
    <row r="2476" spans="1:10" x14ac:dyDescent="0.2">
      <c r="A2476" s="1">
        <v>1646</v>
      </c>
      <c r="B2476" s="1">
        <v>1</v>
      </c>
      <c r="C2476" s="1">
        <v>12</v>
      </c>
      <c r="D2476" s="1">
        <v>1</v>
      </c>
      <c r="E2476" s="1">
        <v>2</v>
      </c>
      <c r="F2476" s="1">
        <v>6</v>
      </c>
      <c r="G2476" s="1">
        <v>10</v>
      </c>
      <c r="H2476" s="1">
        <v>0</v>
      </c>
      <c r="I2476" s="1">
        <v>3</v>
      </c>
      <c r="J2476" s="1">
        <v>5</v>
      </c>
    </row>
    <row r="2477" spans="1:10" x14ac:dyDescent="0.2">
      <c r="A2477" s="1">
        <v>684</v>
      </c>
      <c r="B2477" s="1">
        <v>1</v>
      </c>
      <c r="C2477" s="1">
        <v>13</v>
      </c>
      <c r="D2477" s="1">
        <v>4</v>
      </c>
      <c r="E2477" s="1">
        <v>2</v>
      </c>
      <c r="F2477" s="1">
        <v>6</v>
      </c>
      <c r="G2477" s="1">
        <v>10</v>
      </c>
      <c r="H2477" s="1">
        <v>1</v>
      </c>
      <c r="I2477" s="1">
        <v>0</v>
      </c>
      <c r="J2477" s="1">
        <v>5</v>
      </c>
    </row>
    <row r="2478" spans="1:10" x14ac:dyDescent="0.2">
      <c r="A2478" s="1">
        <v>976</v>
      </c>
      <c r="B2478" s="1">
        <v>1</v>
      </c>
      <c r="C2478" s="1">
        <v>10</v>
      </c>
      <c r="D2478" s="1">
        <v>5</v>
      </c>
      <c r="E2478" s="1">
        <v>3</v>
      </c>
      <c r="F2478" s="1">
        <v>6</v>
      </c>
      <c r="G2478" s="1">
        <v>10</v>
      </c>
      <c r="H2478" s="1">
        <v>0</v>
      </c>
      <c r="I2478" s="1">
        <v>1</v>
      </c>
      <c r="J2478" s="1">
        <v>5</v>
      </c>
    </row>
    <row r="2479" spans="1:10" x14ac:dyDescent="0.2">
      <c r="A2479" s="1">
        <v>2214</v>
      </c>
      <c r="B2479" s="1">
        <v>1</v>
      </c>
      <c r="C2479" s="1">
        <v>15</v>
      </c>
      <c r="D2479" s="1">
        <v>2</v>
      </c>
      <c r="E2479" s="1">
        <v>3</v>
      </c>
      <c r="F2479" s="1">
        <v>6</v>
      </c>
      <c r="G2479" s="1">
        <v>10</v>
      </c>
      <c r="H2479" s="1">
        <v>1</v>
      </c>
      <c r="I2479" s="1">
        <v>2</v>
      </c>
      <c r="J2479" s="1">
        <v>5</v>
      </c>
    </row>
    <row r="2480" spans="1:10" x14ac:dyDescent="0.2">
      <c r="A2480" s="1">
        <v>1697</v>
      </c>
      <c r="B2480" s="1">
        <v>1</v>
      </c>
      <c r="C2480" s="1">
        <v>8</v>
      </c>
      <c r="D2480" s="1">
        <v>4</v>
      </c>
      <c r="E2480" s="1">
        <v>1</v>
      </c>
      <c r="F2480" s="1">
        <v>7</v>
      </c>
      <c r="G2480" s="1">
        <v>10</v>
      </c>
      <c r="H2480" s="1">
        <v>0</v>
      </c>
      <c r="I2480" s="1">
        <v>0</v>
      </c>
      <c r="J2480" s="1">
        <v>5</v>
      </c>
    </row>
    <row r="2481" spans="1:10" x14ac:dyDescent="0.2">
      <c r="A2481" s="1">
        <v>2254</v>
      </c>
      <c r="B2481" s="1">
        <v>1</v>
      </c>
      <c r="C2481" s="1">
        <v>5</v>
      </c>
      <c r="D2481" s="1">
        <v>3</v>
      </c>
      <c r="E2481" s="1">
        <v>2</v>
      </c>
      <c r="F2481" s="1">
        <v>7</v>
      </c>
      <c r="G2481" s="1">
        <v>10</v>
      </c>
      <c r="H2481" s="1">
        <v>1</v>
      </c>
      <c r="I2481" s="1">
        <v>0</v>
      </c>
      <c r="J2481" s="1">
        <v>5</v>
      </c>
    </row>
    <row r="2482" spans="1:10" x14ac:dyDescent="0.2">
      <c r="A2482" s="1">
        <v>934</v>
      </c>
      <c r="B2482" s="1">
        <v>1</v>
      </c>
      <c r="C2482" s="1">
        <v>14</v>
      </c>
      <c r="D2482" s="1">
        <v>2</v>
      </c>
      <c r="E2482" s="1">
        <v>2</v>
      </c>
      <c r="F2482" s="1">
        <v>7</v>
      </c>
      <c r="G2482" s="1">
        <v>10</v>
      </c>
      <c r="H2482" s="1">
        <v>0</v>
      </c>
      <c r="I2482" s="1">
        <v>3</v>
      </c>
      <c r="J2482" s="1">
        <v>5</v>
      </c>
    </row>
    <row r="2483" spans="1:10" x14ac:dyDescent="0.2">
      <c r="A2483" s="1">
        <v>2083</v>
      </c>
      <c r="B2483" s="1">
        <v>1</v>
      </c>
      <c r="C2483" s="1">
        <v>5</v>
      </c>
      <c r="D2483" s="1">
        <v>5</v>
      </c>
      <c r="E2483" s="1">
        <v>3</v>
      </c>
      <c r="F2483" s="1">
        <v>7</v>
      </c>
      <c r="G2483" s="1">
        <v>10</v>
      </c>
      <c r="H2483" s="1">
        <v>1</v>
      </c>
      <c r="I2483" s="1">
        <v>3</v>
      </c>
      <c r="J2483" s="1">
        <v>5</v>
      </c>
    </row>
    <row r="2484" spans="1:10" x14ac:dyDescent="0.2">
      <c r="A2484" s="1">
        <v>2270</v>
      </c>
      <c r="B2484" s="1">
        <v>1</v>
      </c>
      <c r="C2484" s="1">
        <v>9</v>
      </c>
      <c r="D2484" s="1">
        <v>3</v>
      </c>
      <c r="E2484" s="1">
        <v>3</v>
      </c>
      <c r="F2484" s="1">
        <v>7</v>
      </c>
      <c r="G2484" s="1">
        <v>10</v>
      </c>
      <c r="H2484" s="1">
        <v>1</v>
      </c>
      <c r="I2484" s="1">
        <v>0</v>
      </c>
      <c r="J2484" s="1">
        <v>5</v>
      </c>
    </row>
    <row r="2485" spans="1:10" x14ac:dyDescent="0.2">
      <c r="A2485" s="1">
        <v>1664</v>
      </c>
      <c r="B2485" s="1">
        <v>1</v>
      </c>
      <c r="C2485" s="1">
        <v>20</v>
      </c>
      <c r="D2485" s="1">
        <v>3</v>
      </c>
      <c r="E2485" s="1">
        <v>3</v>
      </c>
      <c r="F2485" s="1">
        <v>7</v>
      </c>
      <c r="G2485" s="1">
        <v>10</v>
      </c>
      <c r="H2485" s="1">
        <v>0</v>
      </c>
      <c r="I2485" s="1">
        <v>3</v>
      </c>
      <c r="J2485" s="1">
        <v>5</v>
      </c>
    </row>
    <row r="2486" spans="1:10" x14ac:dyDescent="0.2">
      <c r="A2486" s="1">
        <v>2356</v>
      </c>
      <c r="B2486" s="1">
        <v>1</v>
      </c>
      <c r="C2486" s="1">
        <v>16</v>
      </c>
      <c r="D2486" s="1">
        <v>5</v>
      </c>
      <c r="E2486" s="1">
        <v>2</v>
      </c>
      <c r="F2486" s="1">
        <v>8</v>
      </c>
      <c r="G2486" s="1">
        <v>10</v>
      </c>
      <c r="H2486" s="1">
        <v>1</v>
      </c>
      <c r="I2486" s="1">
        <v>3</v>
      </c>
      <c r="J2486" s="1">
        <v>5</v>
      </c>
    </row>
    <row r="2487" spans="1:10" x14ac:dyDescent="0.2">
      <c r="A2487" s="1">
        <v>2467</v>
      </c>
      <c r="B2487" s="1">
        <v>1</v>
      </c>
      <c r="C2487" s="1">
        <v>7</v>
      </c>
      <c r="D2487" s="1">
        <v>2</v>
      </c>
      <c r="E2487" s="1">
        <v>3</v>
      </c>
      <c r="F2487" s="1">
        <v>8</v>
      </c>
      <c r="G2487" s="1">
        <v>10</v>
      </c>
      <c r="H2487" s="1">
        <v>1</v>
      </c>
      <c r="I2487" s="1">
        <v>2</v>
      </c>
      <c r="J2487" s="1">
        <v>5</v>
      </c>
    </row>
    <row r="2488" spans="1:10" x14ac:dyDescent="0.2">
      <c r="A2488" s="1">
        <v>2223</v>
      </c>
      <c r="B2488" s="1">
        <v>1</v>
      </c>
      <c r="C2488" s="1">
        <v>18</v>
      </c>
      <c r="D2488" s="1">
        <v>5</v>
      </c>
      <c r="E2488" s="1">
        <v>3</v>
      </c>
      <c r="F2488" s="1">
        <v>8</v>
      </c>
      <c r="G2488" s="1">
        <v>10</v>
      </c>
      <c r="H2488" s="1">
        <v>1</v>
      </c>
      <c r="I2488" s="1">
        <v>2</v>
      </c>
      <c r="J2488" s="1">
        <v>5</v>
      </c>
    </row>
    <row r="2489" spans="1:10" x14ac:dyDescent="0.2">
      <c r="A2489" s="1">
        <v>903</v>
      </c>
      <c r="B2489" s="1">
        <v>1</v>
      </c>
      <c r="C2489" s="1">
        <v>6</v>
      </c>
      <c r="D2489" s="1">
        <v>3</v>
      </c>
      <c r="E2489" s="1">
        <v>1</v>
      </c>
      <c r="F2489" s="1">
        <v>9</v>
      </c>
      <c r="G2489" s="1">
        <v>10</v>
      </c>
      <c r="H2489" s="1">
        <v>0</v>
      </c>
      <c r="I2489" s="1">
        <v>1</v>
      </c>
      <c r="J2489" s="1">
        <v>5</v>
      </c>
    </row>
    <row r="2490" spans="1:10" x14ac:dyDescent="0.2">
      <c r="A2490" s="1">
        <v>2119</v>
      </c>
      <c r="B2490" s="1">
        <v>1</v>
      </c>
      <c r="C2490" s="1">
        <v>14</v>
      </c>
      <c r="D2490" s="1">
        <v>5</v>
      </c>
      <c r="E2490" s="1">
        <v>1</v>
      </c>
      <c r="F2490" s="1">
        <v>9</v>
      </c>
      <c r="G2490" s="1">
        <v>10</v>
      </c>
      <c r="H2490" s="1">
        <v>1</v>
      </c>
      <c r="I2490" s="1">
        <v>1</v>
      </c>
      <c r="J2490" s="1">
        <v>5</v>
      </c>
    </row>
    <row r="2491" spans="1:10" x14ac:dyDescent="0.2">
      <c r="A2491" s="1">
        <v>701</v>
      </c>
      <c r="B2491" s="1">
        <v>1</v>
      </c>
      <c r="C2491" s="1">
        <v>18</v>
      </c>
      <c r="D2491" s="1">
        <v>4</v>
      </c>
      <c r="E2491" s="1">
        <v>1</v>
      </c>
      <c r="F2491" s="1">
        <v>9</v>
      </c>
      <c r="G2491" s="1">
        <v>10</v>
      </c>
      <c r="H2491" s="1">
        <v>0</v>
      </c>
      <c r="I2491" s="1">
        <v>2</v>
      </c>
      <c r="J2491" s="1">
        <v>5</v>
      </c>
    </row>
    <row r="2492" spans="1:10" x14ac:dyDescent="0.2">
      <c r="A2492" s="1">
        <v>465</v>
      </c>
      <c r="B2492" s="1">
        <v>1</v>
      </c>
      <c r="C2492" s="1">
        <v>19</v>
      </c>
      <c r="D2492" s="1">
        <v>2</v>
      </c>
      <c r="E2492" s="1">
        <v>3</v>
      </c>
      <c r="F2492" s="1">
        <v>9</v>
      </c>
      <c r="G2492" s="1">
        <v>10</v>
      </c>
      <c r="H2492" s="1">
        <v>1</v>
      </c>
      <c r="I2492" s="1">
        <v>1</v>
      </c>
      <c r="J2492" s="1">
        <v>5</v>
      </c>
    </row>
    <row r="2493" spans="1:10" x14ac:dyDescent="0.2">
      <c r="A2493" s="1">
        <v>1089</v>
      </c>
      <c r="B2493" s="1">
        <v>1</v>
      </c>
      <c r="C2493" s="1">
        <v>19</v>
      </c>
      <c r="D2493" s="1">
        <v>1</v>
      </c>
      <c r="E2493" s="1">
        <v>3</v>
      </c>
      <c r="F2493" s="1">
        <v>9</v>
      </c>
      <c r="G2493" s="1">
        <v>10</v>
      </c>
      <c r="H2493" s="1">
        <v>1</v>
      </c>
      <c r="I2493" s="1">
        <v>1</v>
      </c>
      <c r="J2493" s="1">
        <v>5</v>
      </c>
    </row>
    <row r="2494" spans="1:10" x14ac:dyDescent="0.2">
      <c r="A2494" s="1">
        <v>2329</v>
      </c>
      <c r="B2494" s="1">
        <v>1</v>
      </c>
      <c r="C2494" s="1">
        <v>6</v>
      </c>
      <c r="D2494" s="1">
        <v>3</v>
      </c>
      <c r="E2494" s="1">
        <v>1</v>
      </c>
      <c r="F2494" s="1">
        <v>10</v>
      </c>
      <c r="G2494" s="1">
        <v>10</v>
      </c>
      <c r="H2494" s="1">
        <v>1</v>
      </c>
      <c r="I2494" s="1">
        <v>2</v>
      </c>
      <c r="J2494" s="1">
        <v>5</v>
      </c>
    </row>
    <row r="2495" spans="1:10" x14ac:dyDescent="0.2">
      <c r="A2495" s="1">
        <v>757</v>
      </c>
      <c r="B2495" s="1">
        <v>1</v>
      </c>
      <c r="C2495" s="1">
        <v>12</v>
      </c>
      <c r="D2495" s="1">
        <v>2</v>
      </c>
      <c r="E2495" s="1">
        <v>1</v>
      </c>
      <c r="F2495" s="1">
        <v>10</v>
      </c>
      <c r="G2495" s="1">
        <v>10</v>
      </c>
      <c r="H2495" s="1">
        <v>1</v>
      </c>
      <c r="I2495" s="1">
        <v>3</v>
      </c>
      <c r="J2495" s="1">
        <v>5</v>
      </c>
    </row>
    <row r="2496" spans="1:10" x14ac:dyDescent="0.2">
      <c r="A2496" s="1">
        <v>1241</v>
      </c>
      <c r="B2496" s="1">
        <v>1</v>
      </c>
      <c r="C2496" s="1">
        <v>8</v>
      </c>
      <c r="D2496" s="1">
        <v>4</v>
      </c>
      <c r="E2496" s="1">
        <v>2</v>
      </c>
      <c r="F2496" s="1">
        <v>10</v>
      </c>
      <c r="G2496" s="1">
        <v>10</v>
      </c>
      <c r="H2496" s="1">
        <v>1</v>
      </c>
      <c r="I2496" s="1">
        <v>2</v>
      </c>
      <c r="J2496" s="1">
        <v>5</v>
      </c>
    </row>
    <row r="2497" spans="1:10" x14ac:dyDescent="0.2">
      <c r="A2497" s="1">
        <v>45</v>
      </c>
      <c r="B2497" s="1">
        <v>1</v>
      </c>
      <c r="C2497" s="1">
        <v>10</v>
      </c>
      <c r="D2497" s="1">
        <v>5</v>
      </c>
      <c r="E2497" s="1">
        <v>2</v>
      </c>
      <c r="F2497" s="1">
        <v>10</v>
      </c>
      <c r="G2497" s="1">
        <v>10</v>
      </c>
      <c r="H2497" s="1">
        <v>1</v>
      </c>
      <c r="I2497" s="1">
        <v>1</v>
      </c>
      <c r="J2497" s="1">
        <v>5</v>
      </c>
    </row>
    <row r="2498" spans="1:10" x14ac:dyDescent="0.2">
      <c r="A2498" s="1">
        <v>810</v>
      </c>
      <c r="B2498" s="1">
        <v>1</v>
      </c>
      <c r="C2498" s="1">
        <v>12</v>
      </c>
      <c r="D2498" s="1">
        <v>4</v>
      </c>
      <c r="E2498" s="1">
        <v>2</v>
      </c>
      <c r="F2498" s="1">
        <v>10</v>
      </c>
      <c r="G2498" s="1">
        <v>10</v>
      </c>
      <c r="H2498" s="1">
        <v>0</v>
      </c>
      <c r="I2498" s="1">
        <v>0</v>
      </c>
      <c r="J2498" s="1">
        <v>5</v>
      </c>
    </row>
    <row r="2499" spans="1:10" x14ac:dyDescent="0.2">
      <c r="A2499" s="1">
        <v>1293</v>
      </c>
      <c r="B2499" s="1">
        <v>1</v>
      </c>
      <c r="C2499" s="1">
        <v>16</v>
      </c>
      <c r="D2499" s="1">
        <v>1</v>
      </c>
      <c r="E2499" s="1">
        <v>2</v>
      </c>
      <c r="F2499" s="1">
        <v>10</v>
      </c>
      <c r="G2499" s="1">
        <v>10</v>
      </c>
      <c r="H2499" s="1">
        <v>1</v>
      </c>
      <c r="I2499" s="1">
        <v>1</v>
      </c>
      <c r="J2499" s="1">
        <v>5</v>
      </c>
    </row>
    <row r="2500" spans="1:10" x14ac:dyDescent="0.2">
      <c r="A2500" s="1">
        <v>1861</v>
      </c>
      <c r="B2500" s="1">
        <v>1</v>
      </c>
      <c r="C2500" s="1">
        <v>17</v>
      </c>
      <c r="D2500" s="1">
        <v>4</v>
      </c>
      <c r="E2500" s="1">
        <v>2</v>
      </c>
      <c r="F2500" s="1">
        <v>10</v>
      </c>
      <c r="G2500" s="1">
        <v>10</v>
      </c>
      <c r="H2500" s="1">
        <v>1</v>
      </c>
      <c r="I2500" s="1">
        <v>2</v>
      </c>
      <c r="J2500" s="1">
        <v>5</v>
      </c>
    </row>
    <row r="2501" spans="1:10" x14ac:dyDescent="0.2">
      <c r="A2501" s="1">
        <v>190</v>
      </c>
      <c r="B2501" s="1">
        <v>1</v>
      </c>
      <c r="C2501" s="1">
        <v>20</v>
      </c>
      <c r="D2501" s="1">
        <v>3</v>
      </c>
      <c r="E2501" s="1">
        <v>3</v>
      </c>
      <c r="F2501" s="1">
        <v>10</v>
      </c>
      <c r="G2501" s="1">
        <v>10</v>
      </c>
      <c r="H2501" s="1">
        <v>0</v>
      </c>
      <c r="I2501" s="1">
        <v>3</v>
      </c>
      <c r="J2501" s="1">
        <v>5</v>
      </c>
    </row>
  </sheetData>
  <sortState ref="A2:J2501">
    <sortCondition ref="B2:B2501"/>
    <sortCondition ref="J2:J250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election activeCell="B10" sqref="B10"/>
    </sheetView>
  </sheetViews>
  <sheetFormatPr baseColWidth="10" defaultColWidth="8.83203125" defaultRowHeight="1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Q6"/>
  <sheetViews>
    <sheetView showGridLines="0" workbookViewId="0"/>
  </sheetViews>
  <sheetFormatPr baseColWidth="10" defaultColWidth="8.83203125" defaultRowHeight="15" x14ac:dyDescent="0.2"/>
  <cols>
    <col min="14" max="14" width="11.1640625" bestFit="1" customWidth="1"/>
  </cols>
  <sheetData>
    <row r="2" spans="2:17" ht="19" x14ac:dyDescent="0.25">
      <c r="B2" s="6" t="s">
        <v>163</v>
      </c>
      <c r="N2" t="s">
        <v>162</v>
      </c>
    </row>
    <row r="4" spans="2:17" ht="16" x14ac:dyDescent="0.2">
      <c r="B4" s="14" t="s">
        <v>80</v>
      </c>
      <c r="C4" s="15"/>
      <c r="D4" s="15"/>
      <c r="E4" s="15"/>
      <c r="F4" s="15"/>
      <c r="G4" s="15"/>
      <c r="H4" s="15"/>
      <c r="I4" s="15"/>
      <c r="J4" s="15"/>
      <c r="K4" s="16"/>
      <c r="N4" s="14" t="s">
        <v>81</v>
      </c>
      <c r="O4" s="15"/>
      <c r="P4" s="15"/>
      <c r="Q4" s="16"/>
    </row>
    <row r="5" spans="2:17" x14ac:dyDescent="0.2">
      <c r="B5" s="17" t="s">
        <v>86</v>
      </c>
      <c r="C5" s="18"/>
      <c r="D5" s="17" t="s">
        <v>87</v>
      </c>
      <c r="E5" s="18"/>
      <c r="F5" s="17" t="s">
        <v>88</v>
      </c>
      <c r="G5" s="18"/>
      <c r="H5" s="17" t="s">
        <v>89</v>
      </c>
      <c r="I5" s="18"/>
      <c r="J5" s="17" t="s">
        <v>90</v>
      </c>
      <c r="K5" s="18"/>
      <c r="N5" s="4" t="s">
        <v>82</v>
      </c>
      <c r="O5" s="4" t="s">
        <v>83</v>
      </c>
      <c r="P5" s="4" t="s">
        <v>84</v>
      </c>
      <c r="Q5" s="4" t="s">
        <v>85</v>
      </c>
    </row>
    <row r="6" spans="2:17" x14ac:dyDescent="0.2">
      <c r="B6" s="17" t="s">
        <v>91</v>
      </c>
      <c r="C6" s="18"/>
      <c r="D6" s="17" t="s">
        <v>92</v>
      </c>
      <c r="E6" s="18"/>
      <c r="F6" s="17" t="s">
        <v>93</v>
      </c>
      <c r="G6" s="18"/>
      <c r="H6" s="17" t="s">
        <v>164</v>
      </c>
      <c r="I6" s="18"/>
      <c r="J6" s="19"/>
      <c r="K6" s="18"/>
      <c r="N6" s="3">
        <v>0</v>
      </c>
      <c r="O6" s="3">
        <v>16</v>
      </c>
      <c r="P6" s="3">
        <v>31</v>
      </c>
      <c r="Q6" s="3">
        <v>47</v>
      </c>
    </row>
  </sheetData>
  <mergeCells count="12">
    <mergeCell ref="B6:C6"/>
    <mergeCell ref="D6:E6"/>
    <mergeCell ref="F6:G6"/>
    <mergeCell ref="H6:I6"/>
    <mergeCell ref="J6:K6"/>
    <mergeCell ref="B4:K4"/>
    <mergeCell ref="N4:Q4"/>
    <mergeCell ref="B5:C5"/>
    <mergeCell ref="D5:E5"/>
    <mergeCell ref="F5:G5"/>
    <mergeCell ref="H5:I5"/>
    <mergeCell ref="J5:K5"/>
  </mergeCells>
  <hyperlinks>
    <hyperlink ref="B5" location="'CT_Output'!$B$12:$B$12" display="Inputs"/>
    <hyperlink ref="D5" location="'CT_Output'!$B$40:$B$40" display="Prior class probs"/>
    <hyperlink ref="F5" location="'CT_Output'!$B$48:$B$48" display="Train Log"/>
    <hyperlink ref="H5" location="'CT_Output'!$B$64:$B$64" display="Full-Grown Tree Rules"/>
    <hyperlink ref="J5" location="'CT_Output'!$B$94:$B$94" display="Train. Score Summary."/>
    <hyperlink ref="B6" location="'CT_Output'!$B$117:$B$117" display="Best-Pruned Tree Rules"/>
    <hyperlink ref="D6" location="'CT_Output'!$B$133:$B$133" display="Valid. Score Summary"/>
    <hyperlink ref="F6" location="'CT_PruneLog'!$B$2:$B$2" display="Prune Log"/>
    <hyperlink ref="H6" location="'CT_PruneTree'!$B$12:$B$12" display="Best-Pruned Tree"/>
  </hyperlink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BN1500"/>
  <sheetViews>
    <sheetView showGridLines="0" workbookViewId="0">
      <selection activeCell="N18" sqref="N18"/>
    </sheetView>
  </sheetViews>
  <sheetFormatPr baseColWidth="10" defaultColWidth="8.83203125" defaultRowHeight="15" x14ac:dyDescent="0.2"/>
  <cols>
    <col min="14" max="14" width="11.1640625" bestFit="1" customWidth="1"/>
  </cols>
  <sheetData>
    <row r="1" spans="2:66" x14ac:dyDescent="0.2">
      <c r="BF1" s="3">
        <v>0</v>
      </c>
      <c r="BG1" s="3" t="str">
        <f t="shared" ref="BG1:BG19" si="0">"0"</f>
        <v>0</v>
      </c>
      <c r="BH1" t="str">
        <f ca="1">IF((OFFSET($A$1, 1 - 1, 58 - 1)) &gt;= (OFFSET($A$1, 96 - 1, 7 - 1)), "1","0")</f>
        <v>0</v>
      </c>
      <c r="BI1">
        <f ca="1" xml:space="preserve"> IF( AND( OFFSET($A$1, 1 - 1, 59 - 1) = "1", OFFSET($A$1, 1 - 1, 60 - 1) = "1" ), 1, IF( AND( OFFSET($A$1, 1 - 1, 59 - 1) = "1", OFFSET($A$1, 1 - 1, 60 - 1) = "0" ), 2, IF( AND( OFFSET($A$1, 1 - 1, 59 - 1) = "0", OFFSET($A$1, 1 - 1, 60 - 1) = "1" ), 3, 4 ) ) )</f>
        <v>4</v>
      </c>
      <c r="BK1" s="3">
        <v>6.6350710900473939E-2</v>
      </c>
      <c r="BL1" s="3" t="str">
        <f>"0"</f>
        <v>0</v>
      </c>
      <c r="BM1" t="str">
        <f ca="1">IF((OFFSET($A$1, 1 - 1, 63 - 1)) &gt;= (OFFSET($A$1, 135 - 1, 7 - 1)), "1","0")</f>
        <v>0</v>
      </c>
      <c r="BN1">
        <f ca="1" xml:space="preserve"> IF( AND( OFFSET($A$1, 1 - 1, 64 - 1) = "1", OFFSET($A$1, 1 - 1, 65 - 1) = "1" ), 1, IF( AND( OFFSET($A$1, 1 - 1, 64 - 1) = "1", OFFSET($A$1, 1 - 1, 65 - 1) = "0" ), 2, IF( AND( OFFSET($A$1, 1 - 1, 64 - 1) = "0", OFFSET($A$1, 1 - 1, 65 - 1) = "1" ), 3, 4 ) ) )</f>
        <v>4</v>
      </c>
    </row>
    <row r="2" spans="2:66" ht="19" x14ac:dyDescent="0.25">
      <c r="B2" s="6" t="s">
        <v>101</v>
      </c>
      <c r="N2" t="s">
        <v>162</v>
      </c>
      <c r="BF2" s="3">
        <v>0.08</v>
      </c>
      <c r="BG2" s="3" t="str">
        <f t="shared" si="0"/>
        <v>0</v>
      </c>
      <c r="BH2" t="str">
        <f ca="1">IF((OFFSET($A$1, 2 - 1, 58 - 1)) &gt;= (OFFSET($A$1, 96 - 1, 7 - 1)), "1","0")</f>
        <v>0</v>
      </c>
      <c r="BI2">
        <f ca="1" xml:space="preserve"> IF( AND( OFFSET($A$1, 2 - 1, 59 - 1) = "1", OFFSET($A$1, 2 - 1, 60 - 1) = "1" ), 1, IF( AND( OFFSET($A$1, 2 - 1, 59 - 1) = "1", OFFSET($A$1, 2 - 1, 60 - 1) = "0" ), 2, IF( AND( OFFSET($A$1, 2 - 1, 59 - 1) = "0", OFFSET($A$1, 2 - 1, 60 - 1) = "1" ), 3, 4 ) ) )</f>
        <v>4</v>
      </c>
      <c r="BK2" s="3">
        <v>6.6350710900473939E-2</v>
      </c>
      <c r="BL2" s="3" t="str">
        <f>"0"</f>
        <v>0</v>
      </c>
      <c r="BM2" t="str">
        <f ca="1">IF((OFFSET($A$1, 2 - 1, 63 - 1)) &gt;= (OFFSET($A$1, 135 - 1, 7 - 1)), "1","0")</f>
        <v>0</v>
      </c>
      <c r="BN2">
        <f ca="1" xml:space="preserve"> IF( AND( OFFSET($A$1, 2 - 1, 64 - 1) = "1", OFFSET($A$1, 2 - 1, 65 - 1) = "1" ), 1, IF( AND( OFFSET($A$1, 2 - 1, 64 - 1) = "1", OFFSET($A$1, 2 - 1, 65 - 1) = "0" ), 2, IF( AND( OFFSET($A$1, 2 - 1, 64 - 1) = "0", OFFSET($A$1, 2 - 1, 65 - 1) = "1" ), 3, 4 ) ) )</f>
        <v>4</v>
      </c>
    </row>
    <row r="3" spans="2:66" x14ac:dyDescent="0.2">
      <c r="BF3" s="3">
        <v>0</v>
      </c>
      <c r="BG3" s="3" t="str">
        <f t="shared" si="0"/>
        <v>0</v>
      </c>
      <c r="BH3" t="str">
        <f ca="1">IF((OFFSET($A$1, 3 - 1, 58 - 1)) &gt;= (OFFSET($A$1, 96 - 1, 7 - 1)), "1","0")</f>
        <v>0</v>
      </c>
      <c r="BI3">
        <f ca="1" xml:space="preserve"> IF( AND( OFFSET($A$1, 3 - 1, 59 - 1) = "1", OFFSET($A$1, 3 - 1, 60 - 1) = "1" ), 1, IF( AND( OFFSET($A$1, 3 - 1, 59 - 1) = "1", OFFSET($A$1, 3 - 1, 60 - 1) = "0" ), 2, IF( AND( OFFSET($A$1, 3 - 1, 59 - 1) = "0", OFFSET($A$1, 3 - 1, 60 - 1) = "1" ), 3, 4 ) ) )</f>
        <v>4</v>
      </c>
      <c r="BK3" s="3">
        <v>6.6350710900473939E-2</v>
      </c>
      <c r="BL3" s="3" t="str">
        <f>"0"</f>
        <v>0</v>
      </c>
      <c r="BM3" t="str">
        <f ca="1">IF((OFFSET($A$1, 3 - 1, 63 - 1)) &gt;= (OFFSET($A$1, 135 - 1, 7 - 1)), "1","0")</f>
        <v>0</v>
      </c>
      <c r="BN3">
        <f ca="1" xml:space="preserve"> IF( AND( OFFSET($A$1, 3 - 1, 64 - 1) = "1", OFFSET($A$1, 3 - 1, 65 - 1) = "1" ), 1, IF( AND( OFFSET($A$1, 3 - 1, 64 - 1) = "1", OFFSET($A$1, 3 - 1, 65 - 1) = "0" ), 2, IF( AND( OFFSET($A$1, 3 - 1, 64 - 1) = "0", OFFSET($A$1, 3 - 1, 65 - 1) = "1" ), 3, 4 ) ) )</f>
        <v>4</v>
      </c>
    </row>
    <row r="4" spans="2:66" ht="16" x14ac:dyDescent="0.2">
      <c r="B4" s="14" t="s">
        <v>80</v>
      </c>
      <c r="C4" s="15"/>
      <c r="D4" s="15"/>
      <c r="E4" s="15"/>
      <c r="F4" s="15"/>
      <c r="G4" s="15"/>
      <c r="H4" s="15"/>
      <c r="I4" s="15"/>
      <c r="J4" s="15"/>
      <c r="K4" s="16"/>
      <c r="N4" s="14" t="s">
        <v>81</v>
      </c>
      <c r="O4" s="15"/>
      <c r="P4" s="15"/>
      <c r="Q4" s="16"/>
      <c r="BF4" s="3">
        <v>0.1081081081081081</v>
      </c>
      <c r="BG4" s="3" t="str">
        <f t="shared" si="0"/>
        <v>0</v>
      </c>
      <c r="BH4" t="str">
        <f ca="1">IF((OFFSET($A$1, 4 - 1, 58 - 1)) &gt;= (OFFSET($A$1, 96 - 1, 7 - 1)), "1","0")</f>
        <v>0</v>
      </c>
      <c r="BI4">
        <f ca="1" xml:space="preserve"> IF( AND( OFFSET($A$1, 4 - 1, 59 - 1) = "1", OFFSET($A$1, 4 - 1, 60 - 1) = "1" ), 1, IF( AND( OFFSET($A$1, 4 - 1, 59 - 1) = "1", OFFSET($A$1, 4 - 1, 60 - 1) = "0" ), 2, IF( AND( OFFSET($A$1, 4 - 1, 59 - 1) = "0", OFFSET($A$1, 4 - 1, 60 - 1) = "1" ), 3, 4 ) ) )</f>
        <v>4</v>
      </c>
      <c r="BK4" s="3">
        <v>6.6350710900473939E-2</v>
      </c>
      <c r="BL4" s="3" t="str">
        <f>"1"</f>
        <v>1</v>
      </c>
      <c r="BM4" t="str">
        <f ca="1">IF((OFFSET($A$1, 4 - 1, 63 - 1)) &gt;= (OFFSET($A$1, 135 - 1, 7 - 1)), "1","0")</f>
        <v>0</v>
      </c>
      <c r="BN4">
        <f ca="1" xml:space="preserve"> IF( AND( OFFSET($A$1, 4 - 1, 64 - 1) = "1", OFFSET($A$1, 4 - 1, 65 - 1) = "1" ), 1, IF( AND( OFFSET($A$1, 4 - 1, 64 - 1) = "1", OFFSET($A$1, 4 - 1, 65 - 1) = "0" ), 2, IF( AND( OFFSET($A$1, 4 - 1, 64 - 1) = "0", OFFSET($A$1, 4 - 1, 65 - 1) = "1" ), 3, 4 ) ) )</f>
        <v>2</v>
      </c>
    </row>
    <row r="5" spans="2:66" x14ac:dyDescent="0.2">
      <c r="B5" s="17" t="s">
        <v>86</v>
      </c>
      <c r="C5" s="18"/>
      <c r="D5" s="17" t="s">
        <v>87</v>
      </c>
      <c r="E5" s="18"/>
      <c r="F5" s="17" t="s">
        <v>88</v>
      </c>
      <c r="G5" s="18"/>
      <c r="H5" s="17" t="s">
        <v>89</v>
      </c>
      <c r="I5" s="18"/>
      <c r="J5" s="17" t="s">
        <v>90</v>
      </c>
      <c r="K5" s="18"/>
      <c r="N5" s="4" t="s">
        <v>82</v>
      </c>
      <c r="O5" s="4" t="s">
        <v>83</v>
      </c>
      <c r="P5" s="4" t="s">
        <v>84</v>
      </c>
      <c r="Q5" s="4" t="s">
        <v>85</v>
      </c>
      <c r="BF5" s="3">
        <v>0</v>
      </c>
      <c r="BG5" s="3" t="str">
        <f t="shared" si="0"/>
        <v>0</v>
      </c>
      <c r="BH5" t="str">
        <f ca="1">IF((OFFSET($A$1, 5 - 1, 58 - 1)) &gt;= (OFFSET($A$1, 96 - 1, 7 - 1)), "1","0")</f>
        <v>0</v>
      </c>
      <c r="BI5">
        <f ca="1" xml:space="preserve"> IF( AND( OFFSET($A$1, 5 - 1, 59 - 1) = "1", OFFSET($A$1, 5 - 1, 60 - 1) = "1" ), 1, IF( AND( OFFSET($A$1, 5 - 1, 59 - 1) = "1", OFFSET($A$1, 5 - 1, 60 - 1) = "0" ), 2, IF( AND( OFFSET($A$1, 5 - 1, 59 - 1) = "0", OFFSET($A$1, 5 - 1, 60 - 1) = "1" ), 3, 4 ) ) )</f>
        <v>4</v>
      </c>
      <c r="BK5" s="3">
        <v>6.6350710900473939E-2</v>
      </c>
      <c r="BL5" s="3" t="str">
        <f>"0"</f>
        <v>0</v>
      </c>
      <c r="BM5" t="str">
        <f ca="1">IF((OFFSET($A$1, 5 - 1, 63 - 1)) &gt;= (OFFSET($A$1, 135 - 1, 7 - 1)), "1","0")</f>
        <v>0</v>
      </c>
      <c r="BN5">
        <f ca="1" xml:space="preserve"> IF( AND( OFFSET($A$1, 5 - 1, 64 - 1) = "1", OFFSET($A$1, 5 - 1, 65 - 1) = "1" ), 1, IF( AND( OFFSET($A$1, 5 - 1, 64 - 1) = "1", OFFSET($A$1, 5 - 1, 65 - 1) = "0" ), 2, IF( AND( OFFSET($A$1, 5 - 1, 64 - 1) = "0", OFFSET($A$1, 5 - 1, 65 - 1) = "1" ), 3, 4 ) ) )</f>
        <v>4</v>
      </c>
    </row>
    <row r="6" spans="2:66" x14ac:dyDescent="0.2">
      <c r="B6" s="17" t="s">
        <v>91</v>
      </c>
      <c r="C6" s="18"/>
      <c r="D6" s="17" t="s">
        <v>92</v>
      </c>
      <c r="E6" s="18"/>
      <c r="F6" s="17" t="s">
        <v>93</v>
      </c>
      <c r="G6" s="18"/>
      <c r="H6" s="17" t="s">
        <v>164</v>
      </c>
      <c r="I6" s="18"/>
      <c r="J6" s="19"/>
      <c r="K6" s="18"/>
      <c r="N6" s="3">
        <v>0</v>
      </c>
      <c r="O6" s="3">
        <v>16</v>
      </c>
      <c r="P6" s="3">
        <v>31</v>
      </c>
      <c r="Q6" s="3">
        <v>47</v>
      </c>
      <c r="BF6" s="3">
        <v>0</v>
      </c>
      <c r="BG6" s="3" t="str">
        <f t="shared" si="0"/>
        <v>0</v>
      </c>
      <c r="BH6" t="str">
        <f ca="1">IF((OFFSET($A$1, 6 - 1, 58 - 1)) &gt;= (OFFSET($A$1, 96 - 1, 7 - 1)), "1","0")</f>
        <v>0</v>
      </c>
      <c r="BI6">
        <f ca="1" xml:space="preserve"> IF( AND( OFFSET($A$1, 6 - 1, 59 - 1) = "1", OFFSET($A$1, 6 - 1, 60 - 1) = "1" ), 1, IF( AND( OFFSET($A$1, 6 - 1, 59 - 1) = "1", OFFSET($A$1, 6 - 1, 60 - 1) = "0" ), 2, IF( AND( OFFSET($A$1, 6 - 1, 59 - 1) = "0", OFFSET($A$1, 6 - 1, 60 - 1) = "1" ), 3, 4 ) ) )</f>
        <v>4</v>
      </c>
      <c r="BK6" s="3">
        <v>0.90579710144927539</v>
      </c>
      <c r="BL6" s="3" t="str">
        <f>"1"</f>
        <v>1</v>
      </c>
      <c r="BM6" t="str">
        <f ca="1">IF((OFFSET($A$1, 6 - 1, 63 - 1)) &gt;= (OFFSET($A$1, 135 - 1, 7 - 1)), "1","0")</f>
        <v>1</v>
      </c>
      <c r="BN6">
        <f ca="1" xml:space="preserve"> IF( AND( OFFSET($A$1, 6 - 1, 64 - 1) = "1", OFFSET($A$1, 6 - 1, 65 - 1) = "1" ), 1, IF( AND( OFFSET($A$1, 6 - 1, 64 - 1) = "1", OFFSET($A$1, 6 - 1, 65 - 1) = "0" ), 2, IF( AND( OFFSET($A$1, 6 - 1, 64 - 1) = "0", OFFSET($A$1, 6 - 1, 65 - 1) = "1" ), 3, 4 ) ) )</f>
        <v>1</v>
      </c>
    </row>
    <row r="7" spans="2:66" x14ac:dyDescent="0.2">
      <c r="BF7" s="3">
        <v>0</v>
      </c>
      <c r="BG7" s="3" t="str">
        <f t="shared" si="0"/>
        <v>0</v>
      </c>
      <c r="BH7" t="str">
        <f ca="1">IF((OFFSET($A$1, 7 - 1, 58 - 1)) &gt;= (OFFSET($A$1, 96 - 1, 7 - 1)), "1","0")</f>
        <v>0</v>
      </c>
      <c r="BI7">
        <f ca="1" xml:space="preserve"> IF( AND( OFFSET($A$1, 7 - 1, 59 - 1) = "1", OFFSET($A$1, 7 - 1, 60 - 1) = "1" ), 1, IF( AND( OFFSET($A$1, 7 - 1, 59 - 1) = "1", OFFSET($A$1, 7 - 1, 60 - 1) = "0" ), 2, IF( AND( OFFSET($A$1, 7 - 1, 59 - 1) = "0", OFFSET($A$1, 7 - 1, 60 - 1) = "1" ), 3, 4 ) ) )</f>
        <v>4</v>
      </c>
      <c r="BK7" s="3">
        <v>6.6350710900473939E-2</v>
      </c>
      <c r="BL7" s="3" t="str">
        <f t="shared" ref="BL7:BL50" si="1">"0"</f>
        <v>0</v>
      </c>
      <c r="BM7" t="str">
        <f ca="1">IF((OFFSET($A$1, 7 - 1, 63 - 1)) &gt;= (OFFSET($A$1, 135 - 1, 7 - 1)), "1","0")</f>
        <v>0</v>
      </c>
      <c r="BN7">
        <f ca="1" xml:space="preserve"> IF( AND( OFFSET($A$1, 7 - 1, 64 - 1) = "1", OFFSET($A$1, 7 - 1, 65 - 1) = "1" ), 1, IF( AND( OFFSET($A$1, 7 - 1, 64 - 1) = "1", OFFSET($A$1, 7 - 1, 65 - 1) = "0" ), 2, IF( AND( OFFSET($A$1, 7 - 1, 64 - 1) = "0", OFFSET($A$1, 7 - 1, 65 - 1) = "1" ), 3, 4 ) ) )</f>
        <v>4</v>
      </c>
    </row>
    <row r="8" spans="2:66" x14ac:dyDescent="0.2">
      <c r="BF8" s="3">
        <v>0.08</v>
      </c>
      <c r="BG8" s="3" t="str">
        <f t="shared" si="0"/>
        <v>0</v>
      </c>
      <c r="BH8" t="str">
        <f ca="1">IF((OFFSET($A$1, 8 - 1, 58 - 1)) &gt;= (OFFSET($A$1, 96 - 1, 7 - 1)), "1","0")</f>
        <v>0</v>
      </c>
      <c r="BI8">
        <f ca="1" xml:space="preserve"> IF( AND( OFFSET($A$1, 8 - 1, 59 - 1) = "1", OFFSET($A$1, 8 - 1, 60 - 1) = "1" ), 1, IF( AND( OFFSET($A$1, 8 - 1, 59 - 1) = "1", OFFSET($A$1, 8 - 1, 60 - 1) = "0" ), 2, IF( AND( OFFSET($A$1, 8 - 1, 59 - 1) = "0", OFFSET($A$1, 8 - 1, 60 - 1) = "1" ), 3, 4 ) ) )</f>
        <v>4</v>
      </c>
      <c r="BK8" s="3">
        <v>6.6350710900473939E-2</v>
      </c>
      <c r="BL8" s="3" t="str">
        <f t="shared" si="1"/>
        <v>0</v>
      </c>
      <c r="BM8" t="str">
        <f ca="1">IF((OFFSET($A$1, 8 - 1, 63 - 1)) &gt;= (OFFSET($A$1, 135 - 1, 7 - 1)), "1","0")</f>
        <v>0</v>
      </c>
      <c r="BN8">
        <f ca="1" xml:space="preserve"> IF( AND( OFFSET($A$1, 8 - 1, 64 - 1) = "1", OFFSET($A$1, 8 - 1, 65 - 1) = "1" ), 1, IF( AND( OFFSET($A$1, 8 - 1, 64 - 1) = "1", OFFSET($A$1, 8 - 1, 65 - 1) = "0" ), 2, IF( AND( OFFSET($A$1, 8 - 1, 64 - 1) = "0", OFFSET($A$1, 8 - 1, 65 - 1) = "1" ), 3, 4 ) ) )</f>
        <v>4</v>
      </c>
    </row>
    <row r="9" spans="2:66" x14ac:dyDescent="0.2">
      <c r="BF9" s="3">
        <v>0.1081081081081081</v>
      </c>
      <c r="BG9" s="3" t="str">
        <f t="shared" si="0"/>
        <v>0</v>
      </c>
      <c r="BH9" t="str">
        <f ca="1">IF((OFFSET($A$1, 9 - 1, 58 - 1)) &gt;= (OFFSET($A$1, 96 - 1, 7 - 1)), "1","0")</f>
        <v>0</v>
      </c>
      <c r="BI9">
        <f ca="1" xml:space="preserve"> IF( AND( OFFSET($A$1, 9 - 1, 59 - 1) = "1", OFFSET($A$1, 9 - 1, 60 - 1) = "1" ), 1, IF( AND( OFFSET($A$1, 9 - 1, 59 - 1) = "1", OFFSET($A$1, 9 - 1, 60 - 1) = "0" ), 2, IF( AND( OFFSET($A$1, 9 - 1, 59 - 1) = "0", OFFSET($A$1, 9 - 1, 60 - 1) = "1" ), 3, 4 ) ) )</f>
        <v>4</v>
      </c>
      <c r="BK9" s="3">
        <v>2.5316455696202531E-2</v>
      </c>
      <c r="BL9" s="3" t="str">
        <f t="shared" si="1"/>
        <v>0</v>
      </c>
      <c r="BM9" t="str">
        <f ca="1">IF((OFFSET($A$1, 9 - 1, 63 - 1)) &gt;= (OFFSET($A$1, 135 - 1, 7 - 1)), "1","0")</f>
        <v>0</v>
      </c>
      <c r="BN9">
        <f ca="1" xml:space="preserve"> IF( AND( OFFSET($A$1, 9 - 1, 64 - 1) = "1", OFFSET($A$1, 9 - 1, 65 - 1) = "1" ), 1, IF( AND( OFFSET($A$1, 9 - 1, 64 - 1) = "1", OFFSET($A$1, 9 - 1, 65 - 1) = "0" ), 2, IF( AND( OFFSET($A$1, 9 - 1, 64 - 1) = "0", OFFSET($A$1, 9 - 1, 65 - 1) = "1" ), 3, 4 ) ) )</f>
        <v>4</v>
      </c>
    </row>
    <row r="10" spans="2:66" x14ac:dyDescent="0.2">
      <c r="BF10" s="3">
        <v>0</v>
      </c>
      <c r="BG10" s="3" t="str">
        <f t="shared" si="0"/>
        <v>0</v>
      </c>
      <c r="BH10" t="str">
        <f ca="1">IF((OFFSET($A$1, 10 - 1, 58 - 1)) &gt;= (OFFSET($A$1, 96 - 1, 7 - 1)), "1","0")</f>
        <v>0</v>
      </c>
      <c r="BI10">
        <f ca="1" xml:space="preserve"> IF( AND( OFFSET($A$1, 10 - 1, 59 - 1) = "1", OFFSET($A$1, 10 - 1, 60 - 1) = "1" ), 1, IF( AND( OFFSET($A$1, 10 - 1, 59 - 1) = "1", OFFSET($A$1, 10 - 1, 60 - 1) = "0" ), 2, IF( AND( OFFSET($A$1, 10 - 1, 59 - 1) = "0", OFFSET($A$1, 10 - 1, 60 - 1) = "1" ), 3, 4 ) ) )</f>
        <v>4</v>
      </c>
      <c r="BK10" s="3">
        <v>0.36</v>
      </c>
      <c r="BL10" s="3" t="str">
        <f t="shared" si="1"/>
        <v>0</v>
      </c>
      <c r="BM10" t="str">
        <f ca="1">IF((OFFSET($A$1, 10 - 1, 63 - 1)) &gt;= (OFFSET($A$1, 135 - 1, 7 - 1)), "1","0")</f>
        <v>0</v>
      </c>
      <c r="BN10">
        <f ca="1" xml:space="preserve"> IF( AND( OFFSET($A$1, 10 - 1, 64 - 1) = "1", OFFSET($A$1, 10 - 1, 65 - 1) = "1" ), 1, IF( AND( OFFSET($A$1, 10 - 1, 64 - 1) = "1", OFFSET($A$1, 10 - 1, 65 - 1) = "0" ), 2, IF( AND( OFFSET($A$1, 10 - 1, 64 - 1) = "0", OFFSET($A$1, 10 - 1, 65 - 1) = "1" ), 3, 4 ) ) )</f>
        <v>4</v>
      </c>
    </row>
    <row r="11" spans="2:66" x14ac:dyDescent="0.2">
      <c r="BF11" s="3">
        <v>0.08</v>
      </c>
      <c r="BG11" s="3" t="str">
        <f t="shared" si="0"/>
        <v>0</v>
      </c>
      <c r="BH11" t="str">
        <f ca="1">IF((OFFSET($A$1, 11 - 1, 58 - 1)) &gt;= (OFFSET($A$1, 96 - 1, 7 - 1)), "1","0")</f>
        <v>0</v>
      </c>
      <c r="BI11">
        <f ca="1" xml:space="preserve"> IF( AND( OFFSET($A$1, 11 - 1, 59 - 1) = "1", OFFSET($A$1, 11 - 1, 60 - 1) = "1" ), 1, IF( AND( OFFSET($A$1, 11 - 1, 59 - 1) = "1", OFFSET($A$1, 11 - 1, 60 - 1) = "0" ), 2, IF( AND( OFFSET($A$1, 11 - 1, 59 - 1) = "0", OFFSET($A$1, 11 - 1, 60 - 1) = "1" ), 3, 4 ) ) )</f>
        <v>4</v>
      </c>
      <c r="BK11" s="3">
        <v>6.6350710900473939E-2</v>
      </c>
      <c r="BL11" s="3" t="str">
        <f t="shared" si="1"/>
        <v>0</v>
      </c>
      <c r="BM11" t="str">
        <f ca="1">IF((OFFSET($A$1, 11 - 1, 63 - 1)) &gt;= (OFFSET($A$1, 135 - 1, 7 - 1)), "1","0")</f>
        <v>0</v>
      </c>
      <c r="BN11">
        <f ca="1" xml:space="preserve"> IF( AND( OFFSET($A$1, 11 - 1, 64 - 1) = "1", OFFSET($A$1, 11 - 1, 65 - 1) = "1" ), 1, IF( AND( OFFSET($A$1, 11 - 1, 64 - 1) = "1", OFFSET($A$1, 11 - 1, 65 - 1) = "0" ), 2, IF( AND( OFFSET($A$1, 11 - 1, 64 - 1) = "0", OFFSET($A$1, 11 - 1, 65 - 1) = "1" ), 3, 4 ) ) )</f>
        <v>4</v>
      </c>
    </row>
    <row r="12" spans="2:66" ht="19" x14ac:dyDescent="0.25">
      <c r="B12" s="7" t="s">
        <v>86</v>
      </c>
      <c r="BF12" s="3">
        <v>3.7037037037037042E-2</v>
      </c>
      <c r="BG12" s="3" t="str">
        <f t="shared" si="0"/>
        <v>0</v>
      </c>
      <c r="BH12" t="str">
        <f ca="1">IF((OFFSET($A$1, 12 - 1, 58 - 1)) &gt;= (OFFSET($A$1, 96 - 1, 7 - 1)), "1","0")</f>
        <v>0</v>
      </c>
      <c r="BI12">
        <f ca="1" xml:space="preserve"> IF( AND( OFFSET($A$1, 12 - 1, 59 - 1) = "1", OFFSET($A$1, 12 - 1, 60 - 1) = "1" ), 1, IF( AND( OFFSET($A$1, 12 - 1, 59 - 1) = "1", OFFSET($A$1, 12 - 1, 60 - 1) = "0" ), 2, IF( AND( OFFSET($A$1, 12 - 1, 59 - 1) = "0", OFFSET($A$1, 12 - 1, 60 - 1) = "1" ), 3, 4 ) ) )</f>
        <v>4</v>
      </c>
      <c r="BK12" s="3">
        <v>6.6350710900473939E-2</v>
      </c>
      <c r="BL12" s="3" t="str">
        <f t="shared" si="1"/>
        <v>0</v>
      </c>
      <c r="BM12" t="str">
        <f ca="1">IF((OFFSET($A$1, 12 - 1, 63 - 1)) &gt;= (OFFSET($A$1, 135 - 1, 7 - 1)), "1","0")</f>
        <v>0</v>
      </c>
      <c r="BN12">
        <f ca="1" xml:space="preserve"> IF( AND( OFFSET($A$1, 12 - 1, 64 - 1) = "1", OFFSET($A$1, 12 - 1, 65 - 1) = "1" ), 1, IF( AND( OFFSET($A$1, 12 - 1, 64 - 1) = "1", OFFSET($A$1, 12 - 1, 65 - 1) = "0" ), 2, IF( AND( OFFSET($A$1, 12 - 1, 64 - 1) = "0", OFFSET($A$1, 12 - 1, 65 - 1) = "1" ), 3, 4 ) ) )</f>
        <v>4</v>
      </c>
    </row>
    <row r="13" spans="2:66" x14ac:dyDescent="0.2">
      <c r="BF13" s="3">
        <v>0</v>
      </c>
      <c r="BG13" s="3" t="str">
        <f t="shared" si="0"/>
        <v>0</v>
      </c>
      <c r="BH13" t="str">
        <f ca="1">IF((OFFSET($A$1, 13 - 1, 58 - 1)) &gt;= (OFFSET($A$1, 96 - 1, 7 - 1)), "1","0")</f>
        <v>0</v>
      </c>
      <c r="BI13">
        <f ca="1" xml:space="preserve"> IF( AND( OFFSET($A$1, 13 - 1, 59 - 1) = "1", OFFSET($A$1, 13 - 1, 60 - 1) = "1" ), 1, IF( AND( OFFSET($A$1, 13 - 1, 59 - 1) = "1", OFFSET($A$1, 13 - 1, 60 - 1) = "0" ), 2, IF( AND( OFFSET($A$1, 13 - 1, 59 - 1) = "0", OFFSET($A$1, 13 - 1, 60 - 1) = "1" ), 3, 4 ) ) )</f>
        <v>4</v>
      </c>
      <c r="BK13" s="3">
        <v>6.6350710900473939E-2</v>
      </c>
      <c r="BL13" s="3" t="str">
        <f t="shared" si="1"/>
        <v>0</v>
      </c>
      <c r="BM13" t="str">
        <f ca="1">IF((OFFSET($A$1, 13 - 1, 63 - 1)) &gt;= (OFFSET($A$1, 135 - 1, 7 - 1)), "1","0")</f>
        <v>0</v>
      </c>
      <c r="BN13">
        <f ca="1" xml:space="preserve"> IF( AND( OFFSET($A$1, 13 - 1, 64 - 1) = "1", OFFSET($A$1, 13 - 1, 65 - 1) = "1" ), 1, IF( AND( OFFSET($A$1, 13 - 1, 64 - 1) = "1", OFFSET($A$1, 13 - 1, 65 - 1) = "0" ), 2, IF( AND( OFFSET($A$1, 13 - 1, 64 - 1) = "0", OFFSET($A$1, 13 - 1, 65 - 1) = "1" ), 3, 4 ) ) )</f>
        <v>4</v>
      </c>
    </row>
    <row r="14" spans="2:66" ht="16" x14ac:dyDescent="0.2">
      <c r="C14" s="14" t="s">
        <v>102</v>
      </c>
      <c r="D14" s="15"/>
      <c r="E14" s="15"/>
      <c r="F14" s="15"/>
      <c r="G14" s="15"/>
      <c r="H14" s="15"/>
      <c r="I14" s="15"/>
      <c r="J14" s="15"/>
      <c r="K14" s="16"/>
      <c r="BF14" s="3">
        <v>3.7037037037037042E-2</v>
      </c>
      <c r="BG14" s="3" t="str">
        <f t="shared" si="0"/>
        <v>0</v>
      </c>
      <c r="BH14" t="str">
        <f ca="1">IF((OFFSET($A$1, 14 - 1, 58 - 1)) &gt;= (OFFSET($A$1, 96 - 1, 7 - 1)), "1","0")</f>
        <v>0</v>
      </c>
      <c r="BI14">
        <f ca="1" xml:space="preserve"> IF( AND( OFFSET($A$1, 14 - 1, 59 - 1) = "1", OFFSET($A$1, 14 - 1, 60 - 1) = "1" ), 1, IF( AND( OFFSET($A$1, 14 - 1, 59 - 1) = "1", OFFSET($A$1, 14 - 1, 60 - 1) = "0" ), 2, IF( AND( OFFSET($A$1, 14 - 1, 59 - 1) = "0", OFFSET($A$1, 14 - 1, 60 - 1) = "1" ), 3, 4 ) ) )</f>
        <v>4</v>
      </c>
      <c r="BK14" s="3">
        <v>6.6350710900473939E-2</v>
      </c>
      <c r="BL14" s="3" t="str">
        <f t="shared" si="1"/>
        <v>0</v>
      </c>
      <c r="BM14" t="str">
        <f ca="1">IF((OFFSET($A$1, 14 - 1, 63 - 1)) &gt;= (OFFSET($A$1, 135 - 1, 7 - 1)), "1","0")</f>
        <v>0</v>
      </c>
      <c r="BN14">
        <f ca="1" xml:space="preserve"> IF( AND( OFFSET($A$1, 14 - 1, 64 - 1) = "1", OFFSET($A$1, 14 - 1, 65 - 1) = "1" ), 1, IF( AND( OFFSET($A$1, 14 - 1, 64 - 1) = "1", OFFSET($A$1, 14 - 1, 65 - 1) = "0" ), 2, IF( AND( OFFSET($A$1, 14 - 1, 64 - 1) = "0", OFFSET($A$1, 14 - 1, 65 - 1) = "1" ), 3, 4 ) ) )</f>
        <v>4</v>
      </c>
    </row>
    <row r="15" spans="2:66" x14ac:dyDescent="0.2">
      <c r="C15" s="20" t="s">
        <v>103</v>
      </c>
      <c r="D15" s="29"/>
      <c r="E15" s="29"/>
      <c r="F15" s="21"/>
      <c r="G15" s="30" t="s">
        <v>104</v>
      </c>
      <c r="H15" s="31"/>
      <c r="I15" s="31"/>
      <c r="J15" s="31"/>
      <c r="K15" s="32"/>
      <c r="BF15" s="3">
        <v>0.38775510204081637</v>
      </c>
      <c r="BG15" s="3" t="str">
        <f t="shared" si="0"/>
        <v>0</v>
      </c>
      <c r="BH15" t="str">
        <f ca="1">IF((OFFSET($A$1, 15 - 1, 58 - 1)) &gt;= (OFFSET($A$1, 96 - 1, 7 - 1)), "1","0")</f>
        <v>0</v>
      </c>
      <c r="BI15">
        <f ca="1" xml:space="preserve"> IF( AND( OFFSET($A$1, 15 - 1, 59 - 1) = "1", OFFSET($A$1, 15 - 1, 60 - 1) = "1" ), 1, IF( AND( OFFSET($A$1, 15 - 1, 59 - 1) = "1", OFFSET($A$1, 15 - 1, 60 - 1) = "0" ), 2, IF( AND( OFFSET($A$1, 15 - 1, 59 - 1) = "0", OFFSET($A$1, 15 - 1, 60 - 1) = "1" ), 3, 4 ) ) )</f>
        <v>4</v>
      </c>
      <c r="BK15" s="3">
        <v>6.6350710900473939E-2</v>
      </c>
      <c r="BL15" s="3" t="str">
        <f t="shared" si="1"/>
        <v>0</v>
      </c>
      <c r="BM15" t="str">
        <f ca="1">IF((OFFSET($A$1, 15 - 1, 63 - 1)) &gt;= (OFFSET($A$1, 135 - 1, 7 - 1)), "1","0")</f>
        <v>0</v>
      </c>
      <c r="BN15">
        <f ca="1" xml:space="preserve"> IF( AND( OFFSET($A$1, 15 - 1, 64 - 1) = "1", OFFSET($A$1, 15 - 1, 65 - 1) = "1" ), 1, IF( AND( OFFSET($A$1, 15 - 1, 64 - 1) = "1", OFFSET($A$1, 15 - 1, 65 - 1) = "0" ), 2, IF( AND( OFFSET($A$1, 15 - 1, 64 - 1) = "0", OFFSET($A$1, 15 - 1, 65 - 1) = "1" ), 3, 4 ) ) )</f>
        <v>4</v>
      </c>
    </row>
    <row r="16" spans="2:66" x14ac:dyDescent="0.2">
      <c r="C16" s="20" t="s">
        <v>105</v>
      </c>
      <c r="D16" s="29"/>
      <c r="E16" s="29"/>
      <c r="F16" s="21"/>
      <c r="G16" s="30" t="s">
        <v>102</v>
      </c>
      <c r="H16" s="31"/>
      <c r="I16" s="31"/>
      <c r="J16" s="31"/>
      <c r="K16" s="32"/>
      <c r="BF16" s="3">
        <v>0</v>
      </c>
      <c r="BG16" s="3" t="str">
        <f t="shared" si="0"/>
        <v>0</v>
      </c>
      <c r="BH16" t="str">
        <f ca="1">IF((OFFSET($A$1, 16 - 1, 58 - 1)) &gt;= (OFFSET($A$1, 96 - 1, 7 - 1)), "1","0")</f>
        <v>0</v>
      </c>
      <c r="BI16">
        <f ca="1" xml:space="preserve"> IF( AND( OFFSET($A$1, 16 - 1, 59 - 1) = "1", OFFSET($A$1, 16 - 1, 60 - 1) = "1" ), 1, IF( AND( OFFSET($A$1, 16 - 1, 59 - 1) = "1", OFFSET($A$1, 16 - 1, 60 - 1) = "0" ), 2, IF( AND( OFFSET($A$1, 16 - 1, 59 - 1) = "0", OFFSET($A$1, 16 - 1, 60 - 1) = "1" ), 3, 4 ) ) )</f>
        <v>4</v>
      </c>
      <c r="BK16" s="3">
        <v>6.6350710900473939E-2</v>
      </c>
      <c r="BL16" s="3" t="str">
        <f t="shared" si="1"/>
        <v>0</v>
      </c>
      <c r="BM16" t="str">
        <f ca="1">IF((OFFSET($A$1, 16 - 1, 63 - 1)) &gt;= (OFFSET($A$1, 135 - 1, 7 - 1)), "1","0")</f>
        <v>0</v>
      </c>
      <c r="BN16">
        <f ca="1" xml:space="preserve"> IF( AND( OFFSET($A$1, 16 - 1, 64 - 1) = "1", OFFSET($A$1, 16 - 1, 65 - 1) = "1" ), 1, IF( AND( OFFSET($A$1, 16 - 1, 64 - 1) = "1", OFFSET($A$1, 16 - 1, 65 - 1) = "0" ), 2, IF( AND( OFFSET($A$1, 16 - 1, 64 - 1) = "0", OFFSET($A$1, 16 - 1, 65 - 1) = "1" ), 3, 4 ) ) )</f>
        <v>4</v>
      </c>
    </row>
    <row r="17" spans="3:66" x14ac:dyDescent="0.2">
      <c r="C17" s="20" t="s">
        <v>106</v>
      </c>
      <c r="D17" s="29"/>
      <c r="E17" s="29"/>
      <c r="F17" s="21"/>
      <c r="G17" s="30">
        <v>1500</v>
      </c>
      <c r="H17" s="31"/>
      <c r="I17" s="31"/>
      <c r="J17" s="31"/>
      <c r="K17" s="32"/>
      <c r="BF17" s="3">
        <v>0</v>
      </c>
      <c r="BG17" s="3" t="str">
        <f t="shared" si="0"/>
        <v>0</v>
      </c>
      <c r="BH17" t="str">
        <f ca="1">IF((OFFSET($A$1, 17 - 1, 58 - 1)) &gt;= (OFFSET($A$1, 96 - 1, 7 - 1)), "1","0")</f>
        <v>0</v>
      </c>
      <c r="BI17">
        <f ca="1" xml:space="preserve"> IF( AND( OFFSET($A$1, 17 - 1, 59 - 1) = "1", OFFSET($A$1, 17 - 1, 60 - 1) = "1" ), 1, IF( AND( OFFSET($A$1, 17 - 1, 59 - 1) = "1", OFFSET($A$1, 17 - 1, 60 - 1) = "0" ), 2, IF( AND( OFFSET($A$1, 17 - 1, 59 - 1) = "0", OFFSET($A$1, 17 - 1, 60 - 1) = "1" ), 3, 4 ) ) )</f>
        <v>4</v>
      </c>
      <c r="BK17" s="3">
        <v>2.5316455696202531E-2</v>
      </c>
      <c r="BL17" s="3" t="str">
        <f t="shared" si="1"/>
        <v>0</v>
      </c>
      <c r="BM17" t="str">
        <f ca="1">IF((OFFSET($A$1, 17 - 1, 63 - 1)) &gt;= (OFFSET($A$1, 135 - 1, 7 - 1)), "1","0")</f>
        <v>0</v>
      </c>
      <c r="BN17">
        <f ca="1" xml:space="preserve"> IF( AND( OFFSET($A$1, 17 - 1, 64 - 1) = "1", OFFSET($A$1, 17 - 1, 65 - 1) = "1" ), 1, IF( AND( OFFSET($A$1, 17 - 1, 64 - 1) = "1", OFFSET($A$1, 17 - 1, 65 - 1) = "0" ), 2, IF( AND( OFFSET($A$1, 17 - 1, 64 - 1) = "0", OFFSET($A$1, 17 - 1, 65 - 1) = "1" ), 3, 4 ) ) )</f>
        <v>4</v>
      </c>
    </row>
    <row r="18" spans="3:66" x14ac:dyDescent="0.2">
      <c r="C18" s="20" t="s">
        <v>107</v>
      </c>
      <c r="D18" s="29"/>
      <c r="E18" s="29"/>
      <c r="F18" s="21"/>
      <c r="G18" s="30">
        <v>1000</v>
      </c>
      <c r="H18" s="31"/>
      <c r="I18" s="31"/>
      <c r="J18" s="31"/>
      <c r="K18" s="32"/>
      <c r="BF18" s="3">
        <v>0.36</v>
      </c>
      <c r="BG18" s="3" t="str">
        <f t="shared" si="0"/>
        <v>0</v>
      </c>
      <c r="BH18" t="str">
        <f ca="1">IF((OFFSET($A$1, 18 - 1, 58 - 1)) &gt;= (OFFSET($A$1, 96 - 1, 7 - 1)), "1","0")</f>
        <v>0</v>
      </c>
      <c r="BI18">
        <f ca="1" xml:space="preserve"> IF( AND( OFFSET($A$1, 18 - 1, 59 - 1) = "1", OFFSET($A$1, 18 - 1, 60 - 1) = "1" ), 1, IF( AND( OFFSET($A$1, 18 - 1, 59 - 1) = "1", OFFSET($A$1, 18 - 1, 60 - 1) = "0" ), 2, IF( AND( OFFSET($A$1, 18 - 1, 59 - 1) = "0", OFFSET($A$1, 18 - 1, 60 - 1) = "1" ), 3, 4 ) ) )</f>
        <v>4</v>
      </c>
      <c r="BK18" s="3">
        <v>0.36</v>
      </c>
      <c r="BL18" s="3" t="str">
        <f t="shared" si="1"/>
        <v>0</v>
      </c>
      <c r="BM18" t="str">
        <f ca="1">IF((OFFSET($A$1, 18 - 1, 63 - 1)) &gt;= (OFFSET($A$1, 135 - 1, 7 - 1)), "1","0")</f>
        <v>0</v>
      </c>
      <c r="BN18">
        <f ca="1" xml:space="preserve"> IF( AND( OFFSET($A$1, 18 - 1, 64 - 1) = "1", OFFSET($A$1, 18 - 1, 65 - 1) = "1" ), 1, IF( AND( OFFSET($A$1, 18 - 1, 64 - 1) = "1", OFFSET($A$1, 18 - 1, 65 - 1) = "0" ), 2, IF( AND( OFFSET($A$1, 18 - 1, 64 - 1) = "0", OFFSET($A$1, 18 - 1, 65 - 1) = "1" ), 3, 4 ) ) )</f>
        <v>4</v>
      </c>
    </row>
    <row r="19" spans="3:66" x14ac:dyDescent="0.2">
      <c r="BF19" s="3">
        <v>3.7037037037037042E-2</v>
      </c>
      <c r="BG19" s="3" t="str">
        <f t="shared" si="0"/>
        <v>0</v>
      </c>
      <c r="BH19" t="str">
        <f ca="1">IF((OFFSET($A$1, 19 - 1, 58 - 1)) &gt;= (OFFSET($A$1, 96 - 1, 7 - 1)), "1","0")</f>
        <v>0</v>
      </c>
      <c r="BI19">
        <f ca="1" xml:space="preserve"> IF( AND( OFFSET($A$1, 19 - 1, 59 - 1) = "1", OFFSET($A$1, 19 - 1, 60 - 1) = "1" ), 1, IF( AND( OFFSET($A$1, 19 - 1, 59 - 1) = "1", OFFSET($A$1, 19 - 1, 60 - 1) = "0" ), 2, IF( AND( OFFSET($A$1, 19 - 1, 59 - 1) = "0", OFFSET($A$1, 19 - 1, 60 - 1) = "1" ), 3, 4 ) ) )</f>
        <v>4</v>
      </c>
      <c r="BK19" s="3">
        <v>2.5316455696202531E-2</v>
      </c>
      <c r="BL19" s="3" t="str">
        <f t="shared" si="1"/>
        <v>0</v>
      </c>
      <c r="BM19" t="str">
        <f ca="1">IF((OFFSET($A$1, 19 - 1, 63 - 1)) &gt;= (OFFSET($A$1, 135 - 1, 7 - 1)), "1","0")</f>
        <v>0</v>
      </c>
      <c r="BN19">
        <f ca="1" xml:space="preserve"> IF( AND( OFFSET($A$1, 19 - 1, 64 - 1) = "1", OFFSET($A$1, 19 - 1, 65 - 1) = "1" ), 1, IF( AND( OFFSET($A$1, 19 - 1, 64 - 1) = "1", OFFSET($A$1, 19 - 1, 65 - 1) = "0" ), 2, IF( AND( OFFSET($A$1, 19 - 1, 64 - 1) = "0", OFFSET($A$1, 19 - 1, 65 - 1) = "1" ), 3, 4 ) ) )</f>
        <v>4</v>
      </c>
    </row>
    <row r="20" spans="3:66" ht="16" x14ac:dyDescent="0.2">
      <c r="C20" s="14" t="s">
        <v>108</v>
      </c>
      <c r="D20" s="15"/>
      <c r="E20" s="15"/>
      <c r="F20" s="15"/>
      <c r="G20" s="15"/>
      <c r="H20" s="15"/>
      <c r="I20" s="15"/>
      <c r="J20" s="15"/>
      <c r="K20" s="15"/>
      <c r="L20" s="16"/>
      <c r="BF20" s="3">
        <v>0.90579710144927539</v>
      </c>
      <c r="BG20" s="3" t="str">
        <f>"1"</f>
        <v>1</v>
      </c>
      <c r="BH20" t="str">
        <f ca="1">IF((OFFSET($A$1, 20 - 1, 58 - 1)) &gt;= (OFFSET($A$1, 96 - 1, 7 - 1)), "1","0")</f>
        <v>1</v>
      </c>
      <c r="BI20">
        <f ca="1" xml:space="preserve"> IF( AND( OFFSET($A$1, 20 - 1, 59 - 1) = "1", OFFSET($A$1, 20 - 1, 60 - 1) = "1" ), 1, IF( AND( OFFSET($A$1, 20 - 1, 59 - 1) = "1", OFFSET($A$1, 20 - 1, 60 - 1) = "0" ), 2, IF( AND( OFFSET($A$1, 20 - 1, 59 - 1) = "0", OFFSET($A$1, 20 - 1, 60 - 1) = "1" ), 3, 4 ) ) )</f>
        <v>1</v>
      </c>
      <c r="BK20" s="3">
        <v>6.6350710900473939E-2</v>
      </c>
      <c r="BL20" s="3" t="str">
        <f t="shared" si="1"/>
        <v>0</v>
      </c>
      <c r="BM20" t="str">
        <f ca="1">IF((OFFSET($A$1, 20 - 1, 63 - 1)) &gt;= (OFFSET($A$1, 135 - 1, 7 - 1)), "1","0")</f>
        <v>0</v>
      </c>
      <c r="BN20">
        <f ca="1" xml:space="preserve"> IF( AND( OFFSET($A$1, 20 - 1, 64 - 1) = "1", OFFSET($A$1, 20 - 1, 65 - 1) = "1" ), 1, IF( AND( OFFSET($A$1, 20 - 1, 64 - 1) = "1", OFFSET($A$1, 20 - 1, 65 - 1) = "0" ), 2, IF( AND( OFFSET($A$1, 20 - 1, 64 - 1) = "0", OFFSET($A$1, 20 - 1, 65 - 1) = "1" ), 3, 4 ) ) )</f>
        <v>4</v>
      </c>
    </row>
    <row r="21" spans="3:66" x14ac:dyDescent="0.2">
      <c r="C21" s="20" t="s">
        <v>109</v>
      </c>
      <c r="D21" s="21"/>
      <c r="E21" s="30">
        <v>8</v>
      </c>
      <c r="F21" s="31"/>
      <c r="G21" s="31"/>
      <c r="H21" s="31"/>
      <c r="I21" s="31"/>
      <c r="J21" s="31"/>
      <c r="K21" s="31"/>
      <c r="L21" s="32"/>
      <c r="BF21" s="3">
        <v>0</v>
      </c>
      <c r="BG21" s="3" t="str">
        <f>"0"</f>
        <v>0</v>
      </c>
      <c r="BH21" t="str">
        <f ca="1">IF((OFFSET($A$1, 21 - 1, 58 - 1)) &gt;= (OFFSET($A$1, 96 - 1, 7 - 1)), "1","0")</f>
        <v>0</v>
      </c>
      <c r="BI21">
        <f ca="1" xml:space="preserve"> IF( AND( OFFSET($A$1, 21 - 1, 59 - 1) = "1", OFFSET($A$1, 21 - 1, 60 - 1) = "1" ), 1, IF( AND( OFFSET($A$1, 21 - 1, 59 - 1) = "1", OFFSET($A$1, 21 - 1, 60 - 1) = "0" ), 2, IF( AND( OFFSET($A$1, 21 - 1, 59 - 1) = "0", OFFSET($A$1, 21 - 1, 60 - 1) = "1" ), 3, 4 ) ) )</f>
        <v>4</v>
      </c>
      <c r="BK21" s="3">
        <v>6.6350710900473939E-2</v>
      </c>
      <c r="BL21" s="3" t="str">
        <f t="shared" si="1"/>
        <v>0</v>
      </c>
      <c r="BM21" t="str">
        <f ca="1">IF((OFFSET($A$1, 21 - 1, 63 - 1)) &gt;= (OFFSET($A$1, 135 - 1, 7 - 1)), "1","0")</f>
        <v>0</v>
      </c>
      <c r="BN21">
        <f ca="1" xml:space="preserve"> IF( AND( OFFSET($A$1, 21 - 1, 64 - 1) = "1", OFFSET($A$1, 21 - 1, 65 - 1) = "1" ), 1, IF( AND( OFFSET($A$1, 21 - 1, 64 - 1) = "1", OFFSET($A$1, 21 - 1, 65 - 1) = "0" ), 2, IF( AND( OFFSET($A$1, 21 - 1, 64 - 1) = "0", OFFSET($A$1, 21 - 1, 65 - 1) = "1" ), 3, 4 ) ) )</f>
        <v>4</v>
      </c>
    </row>
    <row r="22" spans="3:66" x14ac:dyDescent="0.2">
      <c r="C22" s="20" t="s">
        <v>110</v>
      </c>
      <c r="D22" s="21"/>
      <c r="E22" s="3" t="s">
        <v>1</v>
      </c>
      <c r="F22" s="3" t="s">
        <v>3</v>
      </c>
      <c r="G22" s="3" t="s">
        <v>4</v>
      </c>
      <c r="H22" s="3" t="s">
        <v>5</v>
      </c>
      <c r="I22" s="3" t="s">
        <v>6</v>
      </c>
      <c r="J22" s="3" t="s">
        <v>7</v>
      </c>
      <c r="K22" s="3" t="s">
        <v>8</v>
      </c>
      <c r="L22" s="3" t="s">
        <v>9</v>
      </c>
      <c r="BF22" s="3">
        <v>0.08</v>
      </c>
      <c r="BG22" s="3" t="str">
        <f>"0"</f>
        <v>0</v>
      </c>
      <c r="BH22" t="str">
        <f ca="1">IF((OFFSET($A$1, 22 - 1, 58 - 1)) &gt;= (OFFSET($A$1, 96 - 1, 7 - 1)), "1","0")</f>
        <v>0</v>
      </c>
      <c r="BI22">
        <f ca="1" xml:space="preserve"> IF( AND( OFFSET($A$1, 22 - 1, 59 - 1) = "1", OFFSET($A$1, 22 - 1, 60 - 1) = "1" ), 1, IF( AND( OFFSET($A$1, 22 - 1, 59 - 1) = "1", OFFSET($A$1, 22 - 1, 60 - 1) = "0" ), 2, IF( AND( OFFSET($A$1, 22 - 1, 59 - 1) = "0", OFFSET($A$1, 22 - 1, 60 - 1) = "1" ), 3, 4 ) ) )</f>
        <v>4</v>
      </c>
      <c r="BK22" s="3">
        <v>6.6350710900473939E-2</v>
      </c>
      <c r="BL22" s="3" t="str">
        <f t="shared" si="1"/>
        <v>0</v>
      </c>
      <c r="BM22" t="str">
        <f ca="1">IF((OFFSET($A$1, 22 - 1, 63 - 1)) &gt;= (OFFSET($A$1, 135 - 1, 7 - 1)), "1","0")</f>
        <v>0</v>
      </c>
      <c r="BN22">
        <f ca="1" xml:space="preserve"> IF( AND( OFFSET($A$1, 22 - 1, 64 - 1) = "1", OFFSET($A$1, 22 - 1, 65 - 1) = "1" ), 1, IF( AND( OFFSET($A$1, 22 - 1, 64 - 1) = "1", OFFSET($A$1, 22 - 1, 65 - 1) = "0" ), 2, IF( AND( OFFSET($A$1, 22 - 1, 64 - 1) = "0", OFFSET($A$1, 22 - 1, 65 - 1) = "1" ), 3, 4 ) ) )</f>
        <v>4</v>
      </c>
    </row>
    <row r="23" spans="3:66" x14ac:dyDescent="0.2">
      <c r="C23" s="20" t="s">
        <v>111</v>
      </c>
      <c r="D23" s="21"/>
      <c r="E23" s="19" t="s">
        <v>2</v>
      </c>
      <c r="F23" s="27"/>
      <c r="G23" s="27"/>
      <c r="H23" s="27"/>
      <c r="I23" s="27"/>
      <c r="J23" s="27"/>
      <c r="K23" s="27"/>
      <c r="L23" s="18"/>
      <c r="BF23" s="3">
        <v>0</v>
      </c>
      <c r="BG23" s="3" t="str">
        <f>"0"</f>
        <v>0</v>
      </c>
      <c r="BH23" t="str">
        <f ca="1">IF((OFFSET($A$1, 23 - 1, 58 - 1)) &gt;= (OFFSET($A$1, 96 - 1, 7 - 1)), "1","0")</f>
        <v>0</v>
      </c>
      <c r="BI23">
        <f ca="1" xml:space="preserve"> IF( AND( OFFSET($A$1, 23 - 1, 59 - 1) = "1", OFFSET($A$1, 23 - 1, 60 - 1) = "1" ), 1, IF( AND( OFFSET($A$1, 23 - 1, 59 - 1) = "1", OFFSET($A$1, 23 - 1, 60 - 1) = "0" ), 2, IF( AND( OFFSET($A$1, 23 - 1, 59 - 1) = "0", OFFSET($A$1, 23 - 1, 60 - 1) = "1" ), 3, 4 ) ) )</f>
        <v>4</v>
      </c>
      <c r="BK23" s="3">
        <v>0.38775510204081637</v>
      </c>
      <c r="BL23" s="3" t="str">
        <f t="shared" si="1"/>
        <v>0</v>
      </c>
      <c r="BM23" t="str">
        <f ca="1">IF((OFFSET($A$1, 23 - 1, 63 - 1)) &gt;= (OFFSET($A$1, 135 - 1, 7 - 1)), "1","0")</f>
        <v>0</v>
      </c>
      <c r="BN23">
        <f ca="1" xml:space="preserve"> IF( AND( OFFSET($A$1, 23 - 1, 64 - 1) = "1", OFFSET($A$1, 23 - 1, 65 - 1) = "1" ), 1, IF( AND( OFFSET($A$1, 23 - 1, 64 - 1) = "1", OFFSET($A$1, 23 - 1, 65 - 1) = "0" ), 2, IF( AND( OFFSET($A$1, 23 - 1, 64 - 1) = "0", OFFSET($A$1, 23 - 1, 65 - 1) = "1" ), 3, 4 ) ) )</f>
        <v>4</v>
      </c>
    </row>
    <row r="24" spans="3:66" x14ac:dyDescent="0.2">
      <c r="BF24" s="3">
        <v>0.90579710144927539</v>
      </c>
      <c r="BG24" s="3" t="str">
        <f>"1"</f>
        <v>1</v>
      </c>
      <c r="BH24" t="str">
        <f ca="1">IF((OFFSET($A$1, 24 - 1, 58 - 1)) &gt;= (OFFSET($A$1, 96 - 1, 7 - 1)), "1","0")</f>
        <v>1</v>
      </c>
      <c r="BI24">
        <f ca="1" xml:space="preserve"> IF( AND( OFFSET($A$1, 24 - 1, 59 - 1) = "1", OFFSET($A$1, 24 - 1, 60 - 1) = "1" ), 1, IF( AND( OFFSET($A$1, 24 - 1, 59 - 1) = "1", OFFSET($A$1, 24 - 1, 60 - 1) = "0" ), 2, IF( AND( OFFSET($A$1, 24 - 1, 59 - 1) = "0", OFFSET($A$1, 24 - 1, 60 - 1) = "1" ), 3, 4 ) ) )</f>
        <v>1</v>
      </c>
      <c r="BK24" s="3">
        <v>6.6350710900473939E-2</v>
      </c>
      <c r="BL24" s="3" t="str">
        <f t="shared" si="1"/>
        <v>0</v>
      </c>
      <c r="BM24" t="str">
        <f ca="1">IF((OFFSET($A$1, 24 - 1, 63 - 1)) &gt;= (OFFSET($A$1, 135 - 1, 7 - 1)), "1","0")</f>
        <v>0</v>
      </c>
      <c r="BN24">
        <f ca="1" xml:space="preserve"> IF( AND( OFFSET($A$1, 24 - 1, 64 - 1) = "1", OFFSET($A$1, 24 - 1, 65 - 1) = "1" ), 1, IF( AND( OFFSET($A$1, 24 - 1, 64 - 1) = "1", OFFSET($A$1, 24 - 1, 65 - 1) = "0" ), 2, IF( AND( OFFSET($A$1, 24 - 1, 64 - 1) = "0", OFFSET($A$1, 24 - 1, 65 - 1) = "1" ), 3, 4 ) ) )</f>
        <v>4</v>
      </c>
    </row>
    <row r="25" spans="3:66" ht="16" x14ac:dyDescent="0.2">
      <c r="C25" s="14" t="s">
        <v>112</v>
      </c>
      <c r="D25" s="15"/>
      <c r="E25" s="15"/>
      <c r="F25" s="15"/>
      <c r="G25" s="16"/>
      <c r="BF25" s="3">
        <v>0.90579710144927539</v>
      </c>
      <c r="BG25" s="3" t="str">
        <f>"1"</f>
        <v>1</v>
      </c>
      <c r="BH25" t="str">
        <f ca="1">IF((OFFSET($A$1, 25 - 1, 58 - 1)) &gt;= (OFFSET($A$1, 96 - 1, 7 - 1)), "1","0")</f>
        <v>1</v>
      </c>
      <c r="BI25">
        <f ca="1" xml:space="preserve"> IF( AND( OFFSET($A$1, 25 - 1, 59 - 1) = "1", OFFSET($A$1, 25 - 1, 60 - 1) = "1" ), 1, IF( AND( OFFSET($A$1, 25 - 1, 59 - 1) = "1", OFFSET($A$1, 25 - 1, 60 - 1) = "0" ), 2, IF( AND( OFFSET($A$1, 25 - 1, 59 - 1) = "0", OFFSET($A$1, 25 - 1, 60 - 1) = "1" ), 3, 4 ) ) )</f>
        <v>1</v>
      </c>
      <c r="BK25" s="3">
        <v>6.6350710900473939E-2</v>
      </c>
      <c r="BL25" s="3" t="str">
        <f t="shared" si="1"/>
        <v>0</v>
      </c>
      <c r="BM25" t="str">
        <f ca="1">IF((OFFSET($A$1, 25 - 1, 63 - 1)) &gt;= (OFFSET($A$1, 135 - 1, 7 - 1)), "1","0")</f>
        <v>0</v>
      </c>
      <c r="BN25">
        <f ca="1" xml:space="preserve"> IF( AND( OFFSET($A$1, 25 - 1, 64 - 1) = "1", OFFSET($A$1, 25 - 1, 65 - 1) = "1" ), 1, IF( AND( OFFSET($A$1, 25 - 1, 64 - 1) = "1", OFFSET($A$1, 25 - 1, 65 - 1) = "0" ), 2, IF( AND( OFFSET($A$1, 25 - 1, 64 - 1) = "0", OFFSET($A$1, 25 - 1, 65 - 1) = "1" ), 3, 4 ) ) )</f>
        <v>4</v>
      </c>
    </row>
    <row r="26" spans="3:66" x14ac:dyDescent="0.2">
      <c r="C26" s="20" t="s">
        <v>113</v>
      </c>
      <c r="D26" s="29"/>
      <c r="E26" s="29"/>
      <c r="F26" s="21"/>
      <c r="G26" s="8" t="s">
        <v>114</v>
      </c>
      <c r="BF26" s="3">
        <v>0.34722222222222221</v>
      </c>
      <c r="BG26" s="3" t="str">
        <f>"1"</f>
        <v>1</v>
      </c>
      <c r="BH26" t="str">
        <f ca="1">IF((OFFSET($A$1, 26 - 1, 58 - 1)) &gt;= (OFFSET($A$1, 96 - 1, 7 - 1)), "1","0")</f>
        <v>0</v>
      </c>
      <c r="BI26">
        <f ca="1" xml:space="preserve"> IF( AND( OFFSET($A$1, 26 - 1, 59 - 1) = "1", OFFSET($A$1, 26 - 1, 60 - 1) = "1" ), 1, IF( AND( OFFSET($A$1, 26 - 1, 59 - 1) = "1", OFFSET($A$1, 26 - 1, 60 - 1) = "0" ), 2, IF( AND( OFFSET($A$1, 26 - 1, 59 - 1) = "0", OFFSET($A$1, 26 - 1, 60 - 1) = "1" ), 3, 4 ) ) )</f>
        <v>2</v>
      </c>
      <c r="BK26" s="3">
        <v>6.6350710900473939E-2</v>
      </c>
      <c r="BL26" s="3" t="str">
        <f t="shared" si="1"/>
        <v>0</v>
      </c>
      <c r="BM26" t="str">
        <f ca="1">IF((OFFSET($A$1, 26 - 1, 63 - 1)) &gt;= (OFFSET($A$1, 135 - 1, 7 - 1)), "1","0")</f>
        <v>0</v>
      </c>
      <c r="BN26">
        <f ca="1" xml:space="preserve"> IF( AND( OFFSET($A$1, 26 - 1, 64 - 1) = "1", OFFSET($A$1, 26 - 1, 65 - 1) = "1" ), 1, IF( AND( OFFSET($A$1, 26 - 1, 64 - 1) = "1", OFFSET($A$1, 26 - 1, 65 - 1) = "0" ), 2, IF( AND( OFFSET($A$1, 26 - 1, 64 - 1) = "0", OFFSET($A$1, 26 - 1, 65 - 1) = "1" ), 3, 4 ) ) )</f>
        <v>4</v>
      </c>
    </row>
    <row r="27" spans="3:66" x14ac:dyDescent="0.2">
      <c r="C27" s="20" t="s">
        <v>115</v>
      </c>
      <c r="D27" s="29"/>
      <c r="E27" s="29"/>
      <c r="F27" s="21"/>
      <c r="G27" s="8">
        <v>150</v>
      </c>
      <c r="BF27" s="3">
        <v>0.36</v>
      </c>
      <c r="BG27" s="3" t="str">
        <f>"1"</f>
        <v>1</v>
      </c>
      <c r="BH27" t="str">
        <f ca="1">IF((OFFSET($A$1, 27 - 1, 58 - 1)) &gt;= (OFFSET($A$1, 96 - 1, 7 - 1)), "1","0")</f>
        <v>0</v>
      </c>
      <c r="BI27">
        <f ca="1" xml:space="preserve"> IF( AND( OFFSET($A$1, 27 - 1, 59 - 1) = "1", OFFSET($A$1, 27 - 1, 60 - 1) = "1" ), 1, IF( AND( OFFSET($A$1, 27 - 1, 59 - 1) = "1", OFFSET($A$1, 27 - 1, 60 - 1) = "0" ), 2, IF( AND( OFFSET($A$1, 27 - 1, 59 - 1) = "0", OFFSET($A$1, 27 - 1, 60 - 1) = "1" ), 3, 4 ) ) )</f>
        <v>2</v>
      </c>
      <c r="BK27" s="3">
        <v>6.6350710900473939E-2</v>
      </c>
      <c r="BL27" s="3" t="str">
        <f t="shared" si="1"/>
        <v>0</v>
      </c>
      <c r="BM27" t="str">
        <f ca="1">IF((OFFSET($A$1, 27 - 1, 63 - 1)) &gt;= (OFFSET($A$1, 135 - 1, 7 - 1)), "1","0")</f>
        <v>0</v>
      </c>
      <c r="BN27">
        <f ca="1" xml:space="preserve"> IF( AND( OFFSET($A$1, 27 - 1, 64 - 1) = "1", OFFSET($A$1, 27 - 1, 65 - 1) = "1" ), 1, IF( AND( OFFSET($A$1, 27 - 1, 64 - 1) = "1", OFFSET($A$1, 27 - 1, 65 - 1) = "0" ), 2, IF( AND( OFFSET($A$1, 27 - 1, 64 - 1) = "0", OFFSET($A$1, 27 - 1, 65 - 1) = "1" ), 3, 4 ) ) )</f>
        <v>4</v>
      </c>
    </row>
    <row r="28" spans="3:66" x14ac:dyDescent="0.2">
      <c r="C28" s="20" t="s">
        <v>116</v>
      </c>
      <c r="D28" s="29"/>
      <c r="E28" s="29"/>
      <c r="F28" s="21"/>
      <c r="G28" s="8" t="s">
        <v>114</v>
      </c>
      <c r="BF28" s="3">
        <v>0.36</v>
      </c>
      <c r="BG28" s="3" t="str">
        <f>"1"</f>
        <v>1</v>
      </c>
      <c r="BH28" t="str">
        <f ca="1">IF((OFFSET($A$1, 28 - 1, 58 - 1)) &gt;= (OFFSET($A$1, 96 - 1, 7 - 1)), "1","0")</f>
        <v>0</v>
      </c>
      <c r="BI28">
        <f ca="1" xml:space="preserve"> IF( AND( OFFSET($A$1, 28 - 1, 59 - 1) = "1", OFFSET($A$1, 28 - 1, 60 - 1) = "1" ), 1, IF( AND( OFFSET($A$1, 28 - 1, 59 - 1) = "1", OFFSET($A$1, 28 - 1, 60 - 1) = "0" ), 2, IF( AND( OFFSET($A$1, 28 - 1, 59 - 1) = "0", OFFSET($A$1, 28 - 1, 60 - 1) = "1" ), 3, 4 ) ) )</f>
        <v>2</v>
      </c>
      <c r="BK28" s="3">
        <v>6.6350710900473939E-2</v>
      </c>
      <c r="BL28" s="3" t="str">
        <f t="shared" si="1"/>
        <v>0</v>
      </c>
      <c r="BM28" t="str">
        <f ca="1">IF((OFFSET($A$1, 28 - 1, 63 - 1)) &gt;= (OFFSET($A$1, 135 - 1, 7 - 1)), "1","0")</f>
        <v>0</v>
      </c>
      <c r="BN28">
        <f ca="1" xml:space="preserve"> IF( AND( OFFSET($A$1, 28 - 1, 64 - 1) = "1", OFFSET($A$1, 28 - 1, 65 - 1) = "1" ), 1, IF( AND( OFFSET($A$1, 28 - 1, 64 - 1) = "1", OFFSET($A$1, 28 - 1, 65 - 1) = "0" ), 2, IF( AND( OFFSET($A$1, 28 - 1, 64 - 1) = "0", OFFSET($A$1, 28 - 1, 65 - 1) = "1" ), 3, 4 ) ) )</f>
        <v>4</v>
      </c>
    </row>
    <row r="29" spans="3:66" x14ac:dyDescent="0.2">
      <c r="C29" s="20" t="s">
        <v>117</v>
      </c>
      <c r="D29" s="29"/>
      <c r="E29" s="29"/>
      <c r="F29" s="21"/>
      <c r="G29" s="8">
        <v>7</v>
      </c>
      <c r="BF29" s="3">
        <v>4.3478260869565216E-2</v>
      </c>
      <c r="BG29" s="3" t="str">
        <f>"0"</f>
        <v>0</v>
      </c>
      <c r="BH29" t="str">
        <f ca="1">IF((OFFSET($A$1, 29 - 1, 58 - 1)) &gt;= (OFFSET($A$1, 96 - 1, 7 - 1)), "1","0")</f>
        <v>0</v>
      </c>
      <c r="BI29">
        <f ca="1" xml:space="preserve"> IF( AND( OFFSET($A$1, 29 - 1, 59 - 1) = "1", OFFSET($A$1, 29 - 1, 60 - 1) = "1" ), 1, IF( AND( OFFSET($A$1, 29 - 1, 59 - 1) = "1", OFFSET($A$1, 29 - 1, 60 - 1) = "0" ), 2, IF( AND( OFFSET($A$1, 29 - 1, 59 - 1) = "0", OFFSET($A$1, 29 - 1, 60 - 1) = "1" ), 3, 4 ) ) )</f>
        <v>4</v>
      </c>
      <c r="BK29" s="3">
        <v>6.6350710900473939E-2</v>
      </c>
      <c r="BL29" s="3" t="str">
        <f t="shared" si="1"/>
        <v>0</v>
      </c>
      <c r="BM29" t="str">
        <f ca="1">IF((OFFSET($A$1, 29 - 1, 63 - 1)) &gt;= (OFFSET($A$1, 135 - 1, 7 - 1)), "1","0")</f>
        <v>0</v>
      </c>
      <c r="BN29">
        <f ca="1" xml:space="preserve"> IF( AND( OFFSET($A$1, 29 - 1, 64 - 1) = "1", OFFSET($A$1, 29 - 1, 65 - 1) = "1" ), 1, IF( AND( OFFSET($A$1, 29 - 1, 64 - 1) = "1", OFFSET($A$1, 29 - 1, 65 - 1) = "0" ), 2, IF( AND( OFFSET($A$1, 29 - 1, 64 - 1) = "0", OFFSET($A$1, 29 - 1, 65 - 1) = "1" ), 3, 4 ) ) )</f>
        <v>4</v>
      </c>
    </row>
    <row r="30" spans="3:66" x14ac:dyDescent="0.2">
      <c r="C30" s="20" t="s">
        <v>118</v>
      </c>
      <c r="D30" s="29"/>
      <c r="E30" s="29"/>
      <c r="F30" s="21"/>
      <c r="G30" s="8">
        <v>7</v>
      </c>
      <c r="BF30" s="3">
        <v>0.90579710144927539</v>
      </c>
      <c r="BG30" s="3" t="str">
        <f>"1"</f>
        <v>1</v>
      </c>
      <c r="BH30" t="str">
        <f ca="1">IF((OFFSET($A$1, 30 - 1, 58 - 1)) &gt;= (OFFSET($A$1, 96 - 1, 7 - 1)), "1","0")</f>
        <v>1</v>
      </c>
      <c r="BI30">
        <f ca="1" xml:space="preserve"> IF( AND( OFFSET($A$1, 30 - 1, 59 - 1) = "1", OFFSET($A$1, 30 - 1, 60 - 1) = "1" ), 1, IF( AND( OFFSET($A$1, 30 - 1, 59 - 1) = "1", OFFSET($A$1, 30 - 1, 60 - 1) = "0" ), 2, IF( AND( OFFSET($A$1, 30 - 1, 59 - 1) = "0", OFFSET($A$1, 30 - 1, 60 - 1) = "1" ), 3, 4 ) ) )</f>
        <v>1</v>
      </c>
      <c r="BK30" s="3">
        <v>0.38775510204081637</v>
      </c>
      <c r="BL30" s="3" t="str">
        <f t="shared" si="1"/>
        <v>0</v>
      </c>
      <c r="BM30" t="str">
        <f ca="1">IF((OFFSET($A$1, 30 - 1, 63 - 1)) &gt;= (OFFSET($A$1, 135 - 1, 7 - 1)), "1","0")</f>
        <v>0</v>
      </c>
      <c r="BN30">
        <f ca="1" xml:space="preserve"> IF( AND( OFFSET($A$1, 30 - 1, 64 - 1) = "1", OFFSET($A$1, 30 - 1, 65 - 1) = "1" ), 1, IF( AND( OFFSET($A$1, 30 - 1, 64 - 1) = "1", OFFSET($A$1, 30 - 1, 65 - 1) = "0" ), 2, IF( AND( OFFSET($A$1, 30 - 1, 64 - 1) = "0", OFFSET($A$1, 30 - 1, 65 - 1) = "1" ), 3, 4 ) ) )</f>
        <v>4</v>
      </c>
    </row>
    <row r="31" spans="3:66" x14ac:dyDescent="0.2">
      <c r="C31" s="20" t="s">
        <v>119</v>
      </c>
      <c r="D31" s="29"/>
      <c r="E31" s="29"/>
      <c r="F31" s="21"/>
      <c r="G31" s="8" t="s">
        <v>120</v>
      </c>
      <c r="BF31" s="3">
        <v>0.08</v>
      </c>
      <c r="BG31" s="3" t="str">
        <f>"0"</f>
        <v>0</v>
      </c>
      <c r="BH31" t="str">
        <f ca="1">IF((OFFSET($A$1, 31 - 1, 58 - 1)) &gt;= (OFFSET($A$1, 96 - 1, 7 - 1)), "1","0")</f>
        <v>0</v>
      </c>
      <c r="BI31">
        <f ca="1" xml:space="preserve"> IF( AND( OFFSET($A$1, 31 - 1, 59 - 1) = "1", OFFSET($A$1, 31 - 1, 60 - 1) = "1" ), 1, IF( AND( OFFSET($A$1, 31 - 1, 59 - 1) = "1", OFFSET($A$1, 31 - 1, 60 - 1) = "0" ), 2, IF( AND( OFFSET($A$1, 31 - 1, 59 - 1) = "0", OFFSET($A$1, 31 - 1, 60 - 1) = "1" ), 3, 4 ) ) )</f>
        <v>4</v>
      </c>
      <c r="BK31" s="3">
        <v>6.6350710900473939E-2</v>
      </c>
      <c r="BL31" s="3" t="str">
        <f t="shared" si="1"/>
        <v>0</v>
      </c>
      <c r="BM31" t="str">
        <f ca="1">IF((OFFSET($A$1, 31 - 1, 63 - 1)) &gt;= (OFFSET($A$1, 135 - 1, 7 - 1)), "1","0")</f>
        <v>0</v>
      </c>
      <c r="BN31">
        <f ca="1" xml:space="preserve"> IF( AND( OFFSET($A$1, 31 - 1, 64 - 1) = "1", OFFSET($A$1, 31 - 1, 65 - 1) = "1" ), 1, IF( AND( OFFSET($A$1, 31 - 1, 64 - 1) = "1", OFFSET($A$1, 31 - 1, 65 - 1) = "0" ), 2, IF( AND( OFFSET($A$1, 31 - 1, 64 - 1) = "0", OFFSET($A$1, 31 - 1, 65 - 1) = "1" ), 3, 4 ) ) )</f>
        <v>4</v>
      </c>
    </row>
    <row r="32" spans="3:66" x14ac:dyDescent="0.2">
      <c r="C32" s="20" t="s">
        <v>121</v>
      </c>
      <c r="D32" s="29"/>
      <c r="E32" s="29"/>
      <c r="F32" s="21"/>
      <c r="G32" s="8" t="s">
        <v>114</v>
      </c>
      <c r="BF32" s="3">
        <v>0</v>
      </c>
      <c r="BG32" s="3" t="str">
        <f>"0"</f>
        <v>0</v>
      </c>
      <c r="BH32" t="str">
        <f ca="1">IF((OFFSET($A$1, 32 - 1, 58 - 1)) &gt;= (OFFSET($A$1, 96 - 1, 7 - 1)), "1","0")</f>
        <v>0</v>
      </c>
      <c r="BI32">
        <f ca="1" xml:space="preserve"> IF( AND( OFFSET($A$1, 32 - 1, 59 - 1) = "1", OFFSET($A$1, 32 - 1, 60 - 1) = "1" ), 1, IF( AND( OFFSET($A$1, 32 - 1, 59 - 1) = "1", OFFSET($A$1, 32 - 1, 60 - 1) = "0" ), 2, IF( AND( OFFSET($A$1, 32 - 1, 59 - 1) = "0", OFFSET($A$1, 32 - 1, 60 - 1) = "1" ), 3, 4 ) ) )</f>
        <v>4</v>
      </c>
      <c r="BK32" s="3">
        <v>6.6350710900473939E-2</v>
      </c>
      <c r="BL32" s="3" t="str">
        <f t="shared" si="1"/>
        <v>0</v>
      </c>
      <c r="BM32" t="str">
        <f ca="1">IF((OFFSET($A$1, 32 - 1, 63 - 1)) &gt;= (OFFSET($A$1, 135 - 1, 7 - 1)), "1","0")</f>
        <v>0</v>
      </c>
      <c r="BN32">
        <f ca="1" xml:space="preserve"> IF( AND( OFFSET($A$1, 32 - 1, 64 - 1) = "1", OFFSET($A$1, 32 - 1, 65 - 1) = "1" ), 1, IF( AND( OFFSET($A$1, 32 - 1, 64 - 1) = "1", OFFSET($A$1, 32 - 1, 65 - 1) = "0" ), 2, IF( AND( OFFSET($A$1, 32 - 1, 64 - 1) = "0", OFFSET($A$1, 32 - 1, 65 - 1) = "1" ), 3, 4 ) ) )</f>
        <v>4</v>
      </c>
    </row>
    <row r="33" spans="2:66" x14ac:dyDescent="0.2">
      <c r="C33" s="20" t="s">
        <v>122</v>
      </c>
      <c r="D33" s="29"/>
      <c r="E33" s="29"/>
      <c r="F33" s="21"/>
      <c r="G33" s="8" t="s">
        <v>120</v>
      </c>
      <c r="BF33" s="3">
        <v>0</v>
      </c>
      <c r="BG33" s="3" t="str">
        <f>"0"</f>
        <v>0</v>
      </c>
      <c r="BH33" t="str">
        <f ca="1">IF((OFFSET($A$1, 33 - 1, 58 - 1)) &gt;= (OFFSET($A$1, 96 - 1, 7 - 1)), "1","0")</f>
        <v>0</v>
      </c>
      <c r="BI33">
        <f ca="1" xml:space="preserve"> IF( AND( OFFSET($A$1, 33 - 1, 59 - 1) = "1", OFFSET($A$1, 33 - 1, 60 - 1) = "1" ), 1, IF( AND( OFFSET($A$1, 33 - 1, 59 - 1) = "1", OFFSET($A$1, 33 - 1, 60 - 1) = "0" ), 2, IF( AND( OFFSET($A$1, 33 - 1, 59 - 1) = "0", OFFSET($A$1, 33 - 1, 60 - 1) = "1" ), 3, 4 ) ) )</f>
        <v>4</v>
      </c>
      <c r="BK33" s="3">
        <v>6.6350710900473939E-2</v>
      </c>
      <c r="BL33" s="3" t="str">
        <f t="shared" si="1"/>
        <v>0</v>
      </c>
      <c r="BM33" t="str">
        <f ca="1">IF((OFFSET($A$1, 33 - 1, 63 - 1)) &gt;= (OFFSET($A$1, 135 - 1, 7 - 1)), "1","0")</f>
        <v>0</v>
      </c>
      <c r="BN33">
        <f ca="1" xml:space="preserve"> IF( AND( OFFSET($A$1, 33 - 1, 64 - 1) = "1", OFFSET($A$1, 33 - 1, 65 - 1) = "1" ), 1, IF( AND( OFFSET($A$1, 33 - 1, 64 - 1) = "1", OFFSET($A$1, 33 - 1, 65 - 1) = "0" ), 2, IF( AND( OFFSET($A$1, 33 - 1, 64 - 1) = "0", OFFSET($A$1, 33 - 1, 65 - 1) = "1" ), 3, 4 ) ) )</f>
        <v>4</v>
      </c>
    </row>
    <row r="34" spans="2:66" x14ac:dyDescent="0.2">
      <c r="C34" s="20" t="s">
        <v>123</v>
      </c>
      <c r="D34" s="29"/>
      <c r="E34" s="29"/>
      <c r="F34" s="21"/>
      <c r="G34" s="8" t="s">
        <v>120</v>
      </c>
      <c r="BF34" s="3">
        <v>0.08</v>
      </c>
      <c r="BG34" s="3" t="str">
        <f>"0"</f>
        <v>0</v>
      </c>
      <c r="BH34" t="str">
        <f ca="1">IF((OFFSET($A$1, 34 - 1, 58 - 1)) &gt;= (OFFSET($A$1, 96 - 1, 7 - 1)), "1","0")</f>
        <v>0</v>
      </c>
      <c r="BI34">
        <f ca="1" xml:space="preserve"> IF( AND( OFFSET($A$1, 34 - 1, 59 - 1) = "1", OFFSET($A$1, 34 - 1, 60 - 1) = "1" ), 1, IF( AND( OFFSET($A$1, 34 - 1, 59 - 1) = "1", OFFSET($A$1, 34 - 1, 60 - 1) = "0" ), 2, IF( AND( OFFSET($A$1, 34 - 1, 59 - 1) = "0", OFFSET($A$1, 34 - 1, 60 - 1) = "1" ), 3, 4 ) ) )</f>
        <v>4</v>
      </c>
      <c r="BK34" s="3">
        <v>6.6350710900473939E-2</v>
      </c>
      <c r="BL34" s="3" t="str">
        <f t="shared" si="1"/>
        <v>0</v>
      </c>
      <c r="BM34" t="str">
        <f ca="1">IF((OFFSET($A$1, 34 - 1, 63 - 1)) &gt;= (OFFSET($A$1, 135 - 1, 7 - 1)), "1","0")</f>
        <v>0</v>
      </c>
      <c r="BN34">
        <f ca="1" xml:space="preserve"> IF( AND( OFFSET($A$1, 34 - 1, 64 - 1) = "1", OFFSET($A$1, 34 - 1, 65 - 1) = "1" ), 1, IF( AND( OFFSET($A$1, 34 - 1, 64 - 1) = "1", OFFSET($A$1, 34 - 1, 65 - 1) = "0" ), 2, IF( AND( OFFSET($A$1, 34 - 1, 64 - 1) = "0", OFFSET($A$1, 34 - 1, 65 - 1) = "1" ), 3, 4 ) ) )</f>
        <v>4</v>
      </c>
    </row>
    <row r="35" spans="2:66" x14ac:dyDescent="0.2">
      <c r="BF35" s="3">
        <v>3.7037037037037042E-2</v>
      </c>
      <c r="BG35" s="3" t="str">
        <f>"0"</f>
        <v>0</v>
      </c>
      <c r="BH35" t="str">
        <f ca="1">IF((OFFSET($A$1, 35 - 1, 58 - 1)) &gt;= (OFFSET($A$1, 96 - 1, 7 - 1)), "1","0")</f>
        <v>0</v>
      </c>
      <c r="BI35">
        <f ca="1" xml:space="preserve"> IF( AND( OFFSET($A$1, 35 - 1, 59 - 1) = "1", OFFSET($A$1, 35 - 1, 60 - 1) = "1" ), 1, IF( AND( OFFSET($A$1, 35 - 1, 59 - 1) = "1", OFFSET($A$1, 35 - 1, 60 - 1) = "0" ), 2, IF( AND( OFFSET($A$1, 35 - 1, 59 - 1) = "0", OFFSET($A$1, 35 - 1, 60 - 1) = "1" ), 3, 4 ) ) )</f>
        <v>4</v>
      </c>
      <c r="BK35" s="3">
        <v>6.6350710900473939E-2</v>
      </c>
      <c r="BL35" s="3" t="str">
        <f t="shared" si="1"/>
        <v>0</v>
      </c>
      <c r="BM35" t="str">
        <f ca="1">IF((OFFSET($A$1, 35 - 1, 63 - 1)) &gt;= (OFFSET($A$1, 135 - 1, 7 - 1)), "1","0")</f>
        <v>0</v>
      </c>
      <c r="BN35">
        <f ca="1" xml:space="preserve"> IF( AND( OFFSET($A$1, 35 - 1, 64 - 1) = "1", OFFSET($A$1, 35 - 1, 65 - 1) = "1" ), 1, IF( AND( OFFSET($A$1, 35 - 1, 64 - 1) = "1", OFFSET($A$1, 35 - 1, 65 - 1) = "0" ), 2, IF( AND( OFFSET($A$1, 35 - 1, 64 - 1) = "0", OFFSET($A$1, 35 - 1, 65 - 1) = "1" ), 3, 4 ) ) )</f>
        <v>4</v>
      </c>
    </row>
    <row r="36" spans="2:66" ht="16" x14ac:dyDescent="0.2">
      <c r="C36" s="14" t="s">
        <v>124</v>
      </c>
      <c r="D36" s="15"/>
      <c r="E36" s="15"/>
      <c r="F36" s="15"/>
      <c r="G36" s="16"/>
      <c r="BF36" s="3">
        <v>0.90579710144927539</v>
      </c>
      <c r="BG36" s="3" t="str">
        <f>"1"</f>
        <v>1</v>
      </c>
      <c r="BH36" t="str">
        <f ca="1">IF((OFFSET($A$1, 36 - 1, 58 - 1)) &gt;= (OFFSET($A$1, 96 - 1, 7 - 1)), "1","0")</f>
        <v>1</v>
      </c>
      <c r="BI36">
        <f ca="1" xml:space="preserve"> IF( AND( OFFSET($A$1, 36 - 1, 59 - 1) = "1", OFFSET($A$1, 36 - 1, 60 - 1) = "1" ), 1, IF( AND( OFFSET($A$1, 36 - 1, 59 - 1) = "1", OFFSET($A$1, 36 - 1, 60 - 1) = "0" ), 2, IF( AND( OFFSET($A$1, 36 - 1, 59 - 1) = "0", OFFSET($A$1, 36 - 1, 60 - 1) = "1" ), 3, 4 ) ) )</f>
        <v>1</v>
      </c>
      <c r="BK36" s="3">
        <v>6.6350710900473939E-2</v>
      </c>
      <c r="BL36" s="3" t="str">
        <f t="shared" si="1"/>
        <v>0</v>
      </c>
      <c r="BM36" t="str">
        <f ca="1">IF((OFFSET($A$1, 36 - 1, 63 - 1)) &gt;= (OFFSET($A$1, 135 - 1, 7 - 1)), "1","0")</f>
        <v>0</v>
      </c>
      <c r="BN36">
        <f ca="1" xml:space="preserve"> IF( AND( OFFSET($A$1, 36 - 1, 64 - 1) = "1", OFFSET($A$1, 36 - 1, 65 - 1) = "1" ), 1, IF( AND( OFFSET($A$1, 36 - 1, 64 - 1) = "1", OFFSET($A$1, 36 - 1, 65 - 1) = "0" ), 2, IF( AND( OFFSET($A$1, 36 - 1, 64 - 1) = "0", OFFSET($A$1, 36 - 1, 65 - 1) = "1" ), 3, 4 ) ) )</f>
        <v>4</v>
      </c>
    </row>
    <row r="37" spans="2:66" x14ac:dyDescent="0.2">
      <c r="C37" s="19" t="s">
        <v>125</v>
      </c>
      <c r="D37" s="27"/>
      <c r="E37" s="27"/>
      <c r="F37" s="27"/>
      <c r="G37" s="18"/>
      <c r="BF37" s="3">
        <v>0</v>
      </c>
      <c r="BG37" s="3" t="str">
        <f t="shared" ref="BG37:BG46" si="2">"0"</f>
        <v>0</v>
      </c>
      <c r="BH37" t="str">
        <f ca="1">IF((OFFSET($A$1, 37 - 1, 58 - 1)) &gt;= (OFFSET($A$1, 96 - 1, 7 - 1)), "1","0")</f>
        <v>0</v>
      </c>
      <c r="BI37">
        <f ca="1" xml:space="preserve"> IF( AND( OFFSET($A$1, 37 - 1, 59 - 1) = "1", OFFSET($A$1, 37 - 1, 60 - 1) = "1" ), 1, IF( AND( OFFSET($A$1, 37 - 1, 59 - 1) = "1", OFFSET($A$1, 37 - 1, 60 - 1) = "0" ), 2, IF( AND( OFFSET($A$1, 37 - 1, 59 - 1) = "0", OFFSET($A$1, 37 - 1, 60 - 1) = "1" ), 3, 4 ) ) )</f>
        <v>4</v>
      </c>
      <c r="BK37" s="3">
        <v>6.6350710900473939E-2</v>
      </c>
      <c r="BL37" s="3" t="str">
        <f t="shared" si="1"/>
        <v>0</v>
      </c>
      <c r="BM37" t="str">
        <f ca="1">IF((OFFSET($A$1, 37 - 1, 63 - 1)) &gt;= (OFFSET($A$1, 135 - 1, 7 - 1)), "1","0")</f>
        <v>0</v>
      </c>
      <c r="BN37">
        <f ca="1" xml:space="preserve"> IF( AND( OFFSET($A$1, 37 - 1, 64 - 1) = "1", OFFSET($A$1, 37 - 1, 65 - 1) = "1" ), 1, IF( AND( OFFSET($A$1, 37 - 1, 64 - 1) = "1", OFFSET($A$1, 37 - 1, 65 - 1) = "0" ), 2, IF( AND( OFFSET($A$1, 37 - 1, 64 - 1) = "0", OFFSET($A$1, 37 - 1, 65 - 1) = "1" ), 3, 4 ) ) )</f>
        <v>4</v>
      </c>
    </row>
    <row r="38" spans="2:66" x14ac:dyDescent="0.2">
      <c r="C38" s="19" t="s">
        <v>126</v>
      </c>
      <c r="D38" s="27"/>
      <c r="E38" s="27"/>
      <c r="F38" s="27"/>
      <c r="G38" s="18"/>
      <c r="BF38" s="3">
        <v>0</v>
      </c>
      <c r="BG38" s="3" t="str">
        <f t="shared" si="2"/>
        <v>0</v>
      </c>
      <c r="BH38" t="str">
        <f ca="1">IF((OFFSET($A$1, 38 - 1, 58 - 1)) &gt;= (OFFSET($A$1, 96 - 1, 7 - 1)), "1","0")</f>
        <v>0</v>
      </c>
      <c r="BI38">
        <f ca="1" xml:space="preserve"> IF( AND( OFFSET($A$1, 38 - 1, 59 - 1) = "1", OFFSET($A$1, 38 - 1, 60 - 1) = "1" ), 1, IF( AND( OFFSET($A$1, 38 - 1, 59 - 1) = "1", OFFSET($A$1, 38 - 1, 60 - 1) = "0" ), 2, IF( AND( OFFSET($A$1, 38 - 1, 59 - 1) = "0", OFFSET($A$1, 38 - 1, 60 - 1) = "1" ), 3, 4 ) ) )</f>
        <v>4</v>
      </c>
      <c r="BK38" s="3">
        <v>6.6350710900473939E-2</v>
      </c>
      <c r="BL38" s="3" t="str">
        <f t="shared" si="1"/>
        <v>0</v>
      </c>
      <c r="BM38" t="str">
        <f ca="1">IF((OFFSET($A$1, 38 - 1, 63 - 1)) &gt;= (OFFSET($A$1, 135 - 1, 7 - 1)), "1","0")</f>
        <v>0</v>
      </c>
      <c r="BN38">
        <f ca="1" xml:space="preserve"> IF( AND( OFFSET($A$1, 38 - 1, 64 - 1) = "1", OFFSET($A$1, 38 - 1, 65 - 1) = "1" ), 1, IF( AND( OFFSET($A$1, 38 - 1, 64 - 1) = "1", OFFSET($A$1, 38 - 1, 65 - 1) = "0" ), 2, IF( AND( OFFSET($A$1, 38 - 1, 64 - 1) = "0", OFFSET($A$1, 38 - 1, 65 - 1) = "1" ), 3, 4 ) ) )</f>
        <v>4</v>
      </c>
    </row>
    <row r="39" spans="2:66" x14ac:dyDescent="0.2">
      <c r="BF39" s="3">
        <v>0</v>
      </c>
      <c r="BG39" s="3" t="str">
        <f t="shared" si="2"/>
        <v>0</v>
      </c>
      <c r="BH39" t="str">
        <f ca="1">IF((OFFSET($A$1, 39 - 1, 58 - 1)) &gt;= (OFFSET($A$1, 96 - 1, 7 - 1)), "1","0")</f>
        <v>0</v>
      </c>
      <c r="BI39">
        <f ca="1" xml:space="preserve"> IF( AND( OFFSET($A$1, 39 - 1, 59 - 1) = "1", OFFSET($A$1, 39 - 1, 60 - 1) = "1" ), 1, IF( AND( OFFSET($A$1, 39 - 1, 59 - 1) = "1", OFFSET($A$1, 39 - 1, 60 - 1) = "0" ), 2, IF( AND( OFFSET($A$1, 39 - 1, 59 - 1) = "0", OFFSET($A$1, 39 - 1, 60 - 1) = "1" ), 3, 4 ) ) )</f>
        <v>4</v>
      </c>
      <c r="BK39" s="3">
        <v>2.5316455696202531E-2</v>
      </c>
      <c r="BL39" s="3" t="str">
        <f t="shared" si="1"/>
        <v>0</v>
      </c>
      <c r="BM39" t="str">
        <f ca="1">IF((OFFSET($A$1, 39 - 1, 63 - 1)) &gt;= (OFFSET($A$1, 135 - 1, 7 - 1)), "1","0")</f>
        <v>0</v>
      </c>
      <c r="BN39">
        <f ca="1" xml:space="preserve"> IF( AND( OFFSET($A$1, 39 - 1, 64 - 1) = "1", OFFSET($A$1, 39 - 1, 65 - 1) = "1" ), 1, IF( AND( OFFSET($A$1, 39 - 1, 64 - 1) = "1", OFFSET($A$1, 39 - 1, 65 - 1) = "0" ), 2, IF( AND( OFFSET($A$1, 39 - 1, 64 - 1) = "0", OFFSET($A$1, 39 - 1, 65 - 1) = "1" ), 3, 4 ) ) )</f>
        <v>4</v>
      </c>
    </row>
    <row r="40" spans="2:66" ht="19" x14ac:dyDescent="0.25">
      <c r="B40" s="7" t="s">
        <v>127</v>
      </c>
      <c r="BF40" s="3">
        <v>0</v>
      </c>
      <c r="BG40" s="3" t="str">
        <f t="shared" si="2"/>
        <v>0</v>
      </c>
      <c r="BH40" t="str">
        <f ca="1">IF((OFFSET($A$1, 40 - 1, 58 - 1)) &gt;= (OFFSET($A$1, 96 - 1, 7 - 1)), "1","0")</f>
        <v>0</v>
      </c>
      <c r="BI40">
        <f ca="1" xml:space="preserve"> IF( AND( OFFSET($A$1, 40 - 1, 59 - 1) = "1", OFFSET($A$1, 40 - 1, 60 - 1) = "1" ), 1, IF( AND( OFFSET($A$1, 40 - 1, 59 - 1) = "1", OFFSET($A$1, 40 - 1, 60 - 1) = "0" ), 2, IF( AND( OFFSET($A$1, 40 - 1, 59 - 1) = "0", OFFSET($A$1, 40 - 1, 60 - 1) = "1" ), 3, 4 ) ) )</f>
        <v>4</v>
      </c>
      <c r="BK40" s="3">
        <v>6.6350710900473939E-2</v>
      </c>
      <c r="BL40" s="3" t="str">
        <f t="shared" si="1"/>
        <v>0</v>
      </c>
      <c r="BM40" t="str">
        <f ca="1">IF((OFFSET($A$1, 40 - 1, 63 - 1)) &gt;= (OFFSET($A$1, 135 - 1, 7 - 1)), "1","0")</f>
        <v>0</v>
      </c>
      <c r="BN40">
        <f ca="1" xml:space="preserve"> IF( AND( OFFSET($A$1, 40 - 1, 64 - 1) = "1", OFFSET($A$1, 40 - 1, 65 - 1) = "1" ), 1, IF( AND( OFFSET($A$1, 40 - 1, 64 - 1) = "1", OFFSET($A$1, 40 - 1, 65 - 1) = "0" ), 2, IF( AND( OFFSET($A$1, 40 - 1, 64 - 1) = "0", OFFSET($A$1, 40 - 1, 65 - 1) = "1" ), 3, 4 ) ) )</f>
        <v>4</v>
      </c>
    </row>
    <row r="41" spans="2:66" x14ac:dyDescent="0.2">
      <c r="BF41" s="3">
        <v>0</v>
      </c>
      <c r="BG41" s="3" t="str">
        <f t="shared" si="2"/>
        <v>0</v>
      </c>
      <c r="BH41" t="str">
        <f ca="1">IF((OFFSET($A$1, 41 - 1, 58 - 1)) &gt;= (OFFSET($A$1, 96 - 1, 7 - 1)), "1","0")</f>
        <v>0</v>
      </c>
      <c r="BI41">
        <f ca="1" xml:space="preserve"> IF( AND( OFFSET($A$1, 41 - 1, 59 - 1) = "1", OFFSET($A$1, 41 - 1, 60 - 1) = "1" ), 1, IF( AND( OFFSET($A$1, 41 - 1, 59 - 1) = "1", OFFSET($A$1, 41 - 1, 60 - 1) = "0" ), 2, IF( AND( OFFSET($A$1, 41 - 1, 59 - 1) = "0", OFFSET($A$1, 41 - 1, 60 - 1) = "1" ), 3, 4 ) ) )</f>
        <v>4</v>
      </c>
      <c r="BK41" s="3">
        <v>6.6350710900473939E-2</v>
      </c>
      <c r="BL41" s="3" t="str">
        <f t="shared" si="1"/>
        <v>0</v>
      </c>
      <c r="BM41" t="str">
        <f ca="1">IF((OFFSET($A$1, 41 - 1, 63 - 1)) &gt;= (OFFSET($A$1, 135 - 1, 7 - 1)), "1","0")</f>
        <v>0</v>
      </c>
      <c r="BN41">
        <f ca="1" xml:space="preserve"> IF( AND( OFFSET($A$1, 41 - 1, 64 - 1) = "1", OFFSET($A$1, 41 - 1, 65 - 1) = "1" ), 1, IF( AND( OFFSET($A$1, 41 - 1, 64 - 1) = "1", OFFSET($A$1, 41 - 1, 65 - 1) = "0" ), 2, IF( AND( OFFSET($A$1, 41 - 1, 64 - 1) = "0", OFFSET($A$1, 41 - 1, 65 - 1) = "1" ), 3, 4 ) ) )</f>
        <v>4</v>
      </c>
    </row>
    <row r="42" spans="2:66" x14ac:dyDescent="0.2">
      <c r="C42" s="22" t="s">
        <v>128</v>
      </c>
      <c r="D42" s="28"/>
      <c r="E42" s="28"/>
      <c r="F42" s="23"/>
      <c r="BF42" s="3">
        <v>0.08</v>
      </c>
      <c r="BG42" s="3" t="str">
        <f t="shared" si="2"/>
        <v>0</v>
      </c>
      <c r="BH42" t="str">
        <f ca="1">IF((OFFSET($A$1, 42 - 1, 58 - 1)) &gt;= (OFFSET($A$1, 96 - 1, 7 - 1)), "1","0")</f>
        <v>0</v>
      </c>
      <c r="BI42">
        <f ca="1" xml:space="preserve"> IF( AND( OFFSET($A$1, 42 - 1, 59 - 1) = "1", OFFSET($A$1, 42 - 1, 60 - 1) = "1" ), 1, IF( AND( OFFSET($A$1, 42 - 1, 59 - 1) = "1", OFFSET($A$1, 42 - 1, 60 - 1) = "0" ), 2, IF( AND( OFFSET($A$1, 42 - 1, 59 - 1) = "0", OFFSET($A$1, 42 - 1, 60 - 1) = "1" ), 3, 4 ) ) )</f>
        <v>4</v>
      </c>
      <c r="BK42" s="3">
        <v>6.6350710900473939E-2</v>
      </c>
      <c r="BL42" s="3" t="str">
        <f t="shared" si="1"/>
        <v>0</v>
      </c>
      <c r="BM42" t="str">
        <f ca="1">IF((OFFSET($A$1, 42 - 1, 63 - 1)) &gt;= (OFFSET($A$1, 135 - 1, 7 - 1)), "1","0")</f>
        <v>0</v>
      </c>
      <c r="BN42">
        <f ca="1" xml:space="preserve"> IF( AND( OFFSET($A$1, 42 - 1, 64 - 1) = "1", OFFSET($A$1, 42 - 1, 65 - 1) = "1" ), 1, IF( AND( OFFSET($A$1, 42 - 1, 64 - 1) = "1", OFFSET($A$1, 42 - 1, 65 - 1) = "0" ), 2, IF( AND( OFFSET($A$1, 42 - 1, 64 - 1) = "0", OFFSET($A$1, 42 - 1, 65 - 1) = "1" ), 3, 4 ) ) )</f>
        <v>4</v>
      </c>
    </row>
    <row r="43" spans="2:66" x14ac:dyDescent="0.2">
      <c r="BF43" s="3">
        <v>0</v>
      </c>
      <c r="BG43" s="3" t="str">
        <f t="shared" si="2"/>
        <v>0</v>
      </c>
      <c r="BH43" t="str">
        <f ca="1">IF((OFFSET($A$1, 43 - 1, 58 - 1)) &gt;= (OFFSET($A$1, 96 - 1, 7 - 1)), "1","0")</f>
        <v>0</v>
      </c>
      <c r="BI43">
        <f ca="1" xml:space="preserve"> IF( AND( OFFSET($A$1, 43 - 1, 59 - 1) = "1", OFFSET($A$1, 43 - 1, 60 - 1) = "1" ), 1, IF( AND( OFFSET($A$1, 43 - 1, 59 - 1) = "1", OFFSET($A$1, 43 - 1, 60 - 1) = "0" ), 2, IF( AND( OFFSET($A$1, 43 - 1, 59 - 1) = "0", OFFSET($A$1, 43 - 1, 60 - 1) = "1" ), 3, 4 ) ) )</f>
        <v>4</v>
      </c>
      <c r="BK43" s="3">
        <v>6.6350710900473939E-2</v>
      </c>
      <c r="BL43" s="3" t="str">
        <f t="shared" si="1"/>
        <v>0</v>
      </c>
      <c r="BM43" t="str">
        <f ca="1">IF((OFFSET($A$1, 43 - 1, 63 - 1)) &gt;= (OFFSET($A$1, 135 - 1, 7 - 1)), "1","0")</f>
        <v>0</v>
      </c>
      <c r="BN43">
        <f ca="1" xml:space="preserve"> IF( AND( OFFSET($A$1, 43 - 1, 64 - 1) = "1", OFFSET($A$1, 43 - 1, 65 - 1) = "1" ), 1, IF( AND( OFFSET($A$1, 43 - 1, 64 - 1) = "1", OFFSET($A$1, 43 - 1, 65 - 1) = "0" ), 2, IF( AND( OFFSET($A$1, 43 - 1, 64 - 1) = "0", OFFSET($A$1, 43 - 1, 65 - 1) = "1" ), 3, 4 ) ) )</f>
        <v>4</v>
      </c>
    </row>
    <row r="44" spans="2:66" x14ac:dyDescent="0.2">
      <c r="C44" s="4" t="s">
        <v>13</v>
      </c>
      <c r="D44" s="4" t="s">
        <v>129</v>
      </c>
      <c r="BF44" s="3">
        <v>0</v>
      </c>
      <c r="BG44" s="3" t="str">
        <f t="shared" si="2"/>
        <v>0</v>
      </c>
      <c r="BH44" t="str">
        <f ca="1">IF((OFFSET($A$1, 44 - 1, 58 - 1)) &gt;= (OFFSET($A$1, 96 - 1, 7 - 1)), "1","0")</f>
        <v>0</v>
      </c>
      <c r="BI44">
        <f ca="1" xml:space="preserve"> IF( AND( OFFSET($A$1, 44 - 1, 59 - 1) = "1", OFFSET($A$1, 44 - 1, 60 - 1) = "1" ), 1, IF( AND( OFFSET($A$1, 44 - 1, 59 - 1) = "1", OFFSET($A$1, 44 - 1, 60 - 1) = "0" ), 2, IF( AND( OFFSET($A$1, 44 - 1, 59 - 1) = "0", OFFSET($A$1, 44 - 1, 60 - 1) = "1" ), 3, 4 ) ) )</f>
        <v>4</v>
      </c>
      <c r="BK44" s="3">
        <v>6.6350710900473939E-2</v>
      </c>
      <c r="BL44" s="3" t="str">
        <f t="shared" si="1"/>
        <v>0</v>
      </c>
      <c r="BM44" t="str">
        <f ca="1">IF((OFFSET($A$1, 44 - 1, 63 - 1)) &gt;= (OFFSET($A$1, 135 - 1, 7 - 1)), "1","0")</f>
        <v>0</v>
      </c>
      <c r="BN44">
        <f ca="1" xml:space="preserve"> IF( AND( OFFSET($A$1, 44 - 1, 64 - 1) = "1", OFFSET($A$1, 44 - 1, 65 - 1) = "1" ), 1, IF( AND( OFFSET($A$1, 44 - 1, 64 - 1) = "1", OFFSET($A$1, 44 - 1, 65 - 1) = "0" ), 2, IF( AND( OFFSET($A$1, 44 - 1, 64 - 1) = "0", OFFSET($A$1, 44 - 1, 65 - 1) = "1" ), 3, 4 ) ) )</f>
        <v>4</v>
      </c>
    </row>
    <row r="45" spans="2:66" x14ac:dyDescent="0.2">
      <c r="C45" s="5">
        <v>0</v>
      </c>
      <c r="D45" s="3">
        <v>0.5</v>
      </c>
      <c r="BF45" s="3">
        <v>4.3478260869565216E-2</v>
      </c>
      <c r="BG45" s="3" t="str">
        <f t="shared" si="2"/>
        <v>0</v>
      </c>
      <c r="BH45" t="str">
        <f ca="1">IF((OFFSET($A$1, 45 - 1, 58 - 1)) &gt;= (OFFSET($A$1, 96 - 1, 7 - 1)), "1","0")</f>
        <v>0</v>
      </c>
      <c r="BI45">
        <f ca="1" xml:space="preserve"> IF( AND( OFFSET($A$1, 45 - 1, 59 - 1) = "1", OFFSET($A$1, 45 - 1, 60 - 1) = "1" ), 1, IF( AND( OFFSET($A$1, 45 - 1, 59 - 1) = "1", OFFSET($A$1, 45 - 1, 60 - 1) = "0" ), 2, IF( AND( OFFSET($A$1, 45 - 1, 59 - 1) = "0", OFFSET($A$1, 45 - 1, 60 - 1) = "1" ), 3, 4 ) ) )</f>
        <v>4</v>
      </c>
      <c r="BK45" s="3">
        <v>6.6350710900473939E-2</v>
      </c>
      <c r="BL45" s="3" t="str">
        <f t="shared" si="1"/>
        <v>0</v>
      </c>
      <c r="BM45" t="str">
        <f ca="1">IF((OFFSET($A$1, 45 - 1, 63 - 1)) &gt;= (OFFSET($A$1, 135 - 1, 7 - 1)), "1","0")</f>
        <v>0</v>
      </c>
      <c r="BN45">
        <f ca="1" xml:space="preserve"> IF( AND( OFFSET($A$1, 45 - 1, 64 - 1) = "1", OFFSET($A$1, 45 - 1, 65 - 1) = "1" ), 1, IF( AND( OFFSET($A$1, 45 - 1, 64 - 1) = "1", OFFSET($A$1, 45 - 1, 65 - 1) = "0" ), 2, IF( AND( OFFSET($A$1, 45 - 1, 64 - 1) = "0", OFFSET($A$1, 45 - 1, 65 - 1) = "1" ), 3, 4 ) ) )</f>
        <v>4</v>
      </c>
    </row>
    <row r="46" spans="2:66" x14ac:dyDescent="0.2">
      <c r="C46" s="5">
        <v>1</v>
      </c>
      <c r="D46" s="3">
        <v>0.5</v>
      </c>
      <c r="E46" s="20" t="s">
        <v>130</v>
      </c>
      <c r="F46" s="21"/>
      <c r="BF46" s="3">
        <v>0</v>
      </c>
      <c r="BG46" s="3" t="str">
        <f t="shared" si="2"/>
        <v>0</v>
      </c>
      <c r="BH46" t="str">
        <f ca="1">IF((OFFSET($A$1, 46 - 1, 58 - 1)) &gt;= (OFFSET($A$1, 96 - 1, 7 - 1)), "1","0")</f>
        <v>0</v>
      </c>
      <c r="BI46">
        <f ca="1" xml:space="preserve"> IF( AND( OFFSET($A$1, 46 - 1, 59 - 1) = "1", OFFSET($A$1, 46 - 1, 60 - 1) = "1" ), 1, IF( AND( OFFSET($A$1, 46 - 1, 59 - 1) = "1", OFFSET($A$1, 46 - 1, 60 - 1) = "0" ), 2, IF( AND( OFFSET($A$1, 46 - 1, 59 - 1) = "0", OFFSET($A$1, 46 - 1, 60 - 1) = "1" ), 3, 4 ) ) )</f>
        <v>4</v>
      </c>
      <c r="BK46" s="3">
        <v>2.5316455696202531E-2</v>
      </c>
      <c r="BL46" s="3" t="str">
        <f t="shared" si="1"/>
        <v>0</v>
      </c>
      <c r="BM46" t="str">
        <f ca="1">IF((OFFSET($A$1, 46 - 1, 63 - 1)) &gt;= (OFFSET($A$1, 135 - 1, 7 - 1)), "1","0")</f>
        <v>0</v>
      </c>
      <c r="BN46">
        <f ca="1" xml:space="preserve"> IF( AND( OFFSET($A$1, 46 - 1, 64 - 1) = "1", OFFSET($A$1, 46 - 1, 65 - 1) = "1" ), 1, IF( AND( OFFSET($A$1, 46 - 1, 64 - 1) = "1", OFFSET($A$1, 46 - 1, 65 - 1) = "0" ), 2, IF( AND( OFFSET($A$1, 46 - 1, 64 - 1) = "0", OFFSET($A$1, 46 - 1, 65 - 1) = "1" ), 3, 4 ) ) )</f>
        <v>4</v>
      </c>
    </row>
    <row r="47" spans="2:66" x14ac:dyDescent="0.2">
      <c r="BF47" s="3">
        <v>0.90579710144927539</v>
      </c>
      <c r="BG47" s="3" t="str">
        <f>"1"</f>
        <v>1</v>
      </c>
      <c r="BH47" t="str">
        <f ca="1">IF((OFFSET($A$1, 47 - 1, 58 - 1)) &gt;= (OFFSET($A$1, 96 - 1, 7 - 1)), "1","0")</f>
        <v>1</v>
      </c>
      <c r="BI47">
        <f ca="1" xml:space="preserve"> IF( AND( OFFSET($A$1, 47 - 1, 59 - 1) = "1", OFFSET($A$1, 47 - 1, 60 - 1) = "1" ), 1, IF( AND( OFFSET($A$1, 47 - 1, 59 - 1) = "1", OFFSET($A$1, 47 - 1, 60 - 1) = "0" ), 2, IF( AND( OFFSET($A$1, 47 - 1, 59 - 1) = "0", OFFSET($A$1, 47 - 1, 60 - 1) = "1" ), 3, 4 ) ) )</f>
        <v>1</v>
      </c>
      <c r="BK47" s="3">
        <v>6.6350710900473939E-2</v>
      </c>
      <c r="BL47" s="3" t="str">
        <f t="shared" si="1"/>
        <v>0</v>
      </c>
      <c r="BM47" t="str">
        <f ca="1">IF((OFFSET($A$1, 47 - 1, 63 - 1)) &gt;= (OFFSET($A$1, 135 - 1, 7 - 1)), "1","0")</f>
        <v>0</v>
      </c>
      <c r="BN47">
        <f ca="1" xml:space="preserve"> IF( AND( OFFSET($A$1, 47 - 1, 64 - 1) = "1", OFFSET($A$1, 47 - 1, 65 - 1) = "1" ), 1, IF( AND( OFFSET($A$1, 47 - 1, 64 - 1) = "1", OFFSET($A$1, 47 - 1, 65 - 1) = "0" ), 2, IF( AND( OFFSET($A$1, 47 - 1, 64 - 1) = "0", OFFSET($A$1, 47 - 1, 65 - 1) = "1" ), 3, 4 ) ) )</f>
        <v>4</v>
      </c>
    </row>
    <row r="48" spans="2:66" ht="19" x14ac:dyDescent="0.25">
      <c r="B48" s="7" t="s">
        <v>131</v>
      </c>
      <c r="BF48" s="3">
        <v>0.90579710144927539</v>
      </c>
      <c r="BG48" s="3" t="str">
        <f>"1"</f>
        <v>1</v>
      </c>
      <c r="BH48" t="str">
        <f ca="1">IF((OFFSET($A$1, 48 - 1, 58 - 1)) &gt;= (OFFSET($A$1, 96 - 1, 7 - 1)), "1","0")</f>
        <v>1</v>
      </c>
      <c r="BI48">
        <f ca="1" xml:space="preserve"> IF( AND( OFFSET($A$1, 48 - 1, 59 - 1) = "1", OFFSET($A$1, 48 - 1, 60 - 1) = "1" ), 1, IF( AND( OFFSET($A$1, 48 - 1, 59 - 1) = "1", OFFSET($A$1, 48 - 1, 60 - 1) = "0" ), 2, IF( AND( OFFSET($A$1, 48 - 1, 59 - 1) = "0", OFFSET($A$1, 48 - 1, 60 - 1) = "1" ), 3, 4 ) ) )</f>
        <v>1</v>
      </c>
      <c r="BK48" s="3">
        <v>6.6350710900473939E-2</v>
      </c>
      <c r="BL48" s="3" t="str">
        <f t="shared" si="1"/>
        <v>0</v>
      </c>
      <c r="BM48" t="str">
        <f ca="1">IF((OFFSET($A$1, 48 - 1, 63 - 1)) &gt;= (OFFSET($A$1, 135 - 1, 7 - 1)), "1","0")</f>
        <v>0</v>
      </c>
      <c r="BN48">
        <f ca="1" xml:space="preserve"> IF( AND( OFFSET($A$1, 48 - 1, 64 - 1) = "1", OFFSET($A$1, 48 - 1, 65 - 1) = "1" ), 1, IF( AND( OFFSET($A$1, 48 - 1, 64 - 1) = "1", OFFSET($A$1, 48 - 1, 65 - 1) = "0" ), 2, IF( AND( OFFSET($A$1, 48 - 1, 64 - 1) = "0", OFFSET($A$1, 48 - 1, 65 - 1) = "1" ), 3, 4 ) ) )</f>
        <v>4</v>
      </c>
    </row>
    <row r="49" spans="2:66" x14ac:dyDescent="0.2">
      <c r="BF49" s="3">
        <v>0</v>
      </c>
      <c r="BG49" s="3" t="str">
        <f>"0"</f>
        <v>0</v>
      </c>
      <c r="BH49" t="str">
        <f ca="1">IF((OFFSET($A$1, 49 - 1, 58 - 1)) &gt;= (OFFSET($A$1, 96 - 1, 7 - 1)), "1","0")</f>
        <v>0</v>
      </c>
      <c r="BI49">
        <f ca="1" xml:space="preserve"> IF( AND( OFFSET($A$1, 49 - 1, 59 - 1) = "1", OFFSET($A$1, 49 - 1, 60 - 1) = "1" ), 1, IF( AND( OFFSET($A$1, 49 - 1, 59 - 1) = "1", OFFSET($A$1, 49 - 1, 60 - 1) = "0" ), 2, IF( AND( OFFSET($A$1, 49 - 1, 59 - 1) = "0", OFFSET($A$1, 49 - 1, 60 - 1) = "1" ), 3, 4 ) ) )</f>
        <v>4</v>
      </c>
      <c r="BK49" s="3">
        <v>6.6350710900473939E-2</v>
      </c>
      <c r="BL49" s="3" t="str">
        <f t="shared" si="1"/>
        <v>0</v>
      </c>
      <c r="BM49" t="str">
        <f ca="1">IF((OFFSET($A$1, 49 - 1, 63 - 1)) &gt;= (OFFSET($A$1, 135 - 1, 7 - 1)), "1","0")</f>
        <v>0</v>
      </c>
      <c r="BN49">
        <f ca="1" xml:space="preserve"> IF( AND( OFFSET($A$1, 49 - 1, 64 - 1) = "1", OFFSET($A$1, 49 - 1, 65 - 1) = "1" ), 1, IF( AND( OFFSET($A$1, 49 - 1, 64 - 1) = "1", OFFSET($A$1, 49 - 1, 65 - 1) = "0" ), 2, IF( AND( OFFSET($A$1, 49 - 1, 64 - 1) = "0", OFFSET($A$1, 49 - 1, 65 - 1) = "1" ), 3, 4 ) ) )</f>
        <v>4</v>
      </c>
    </row>
    <row r="50" spans="2:66" x14ac:dyDescent="0.2">
      <c r="C50" s="4" t="s">
        <v>97</v>
      </c>
      <c r="D50" s="4" t="s">
        <v>98</v>
      </c>
      <c r="BF50" s="3">
        <v>0</v>
      </c>
      <c r="BG50" s="3" t="str">
        <f>"0"</f>
        <v>0</v>
      </c>
      <c r="BH50" t="str">
        <f ca="1">IF((OFFSET($A$1, 50 - 1, 58 - 1)) &gt;= (OFFSET($A$1, 96 - 1, 7 - 1)), "1","0")</f>
        <v>0</v>
      </c>
      <c r="BI50">
        <f ca="1" xml:space="preserve"> IF( AND( OFFSET($A$1, 50 - 1, 59 - 1) = "1", OFFSET($A$1, 50 - 1, 60 - 1) = "1" ), 1, IF( AND( OFFSET($A$1, 50 - 1, 59 - 1) = "1", OFFSET($A$1, 50 - 1, 60 - 1) = "0" ), 2, IF( AND( OFFSET($A$1, 50 - 1, 59 - 1) = "0", OFFSET($A$1, 50 - 1, 60 - 1) = "1" ), 3, 4 ) ) )</f>
        <v>4</v>
      </c>
      <c r="BK50" s="3">
        <v>6.6350710900473939E-2</v>
      </c>
      <c r="BL50" s="3" t="str">
        <f t="shared" si="1"/>
        <v>0</v>
      </c>
      <c r="BM50" t="str">
        <f ca="1">IF((OFFSET($A$1, 50 - 1, 63 - 1)) &gt;= (OFFSET($A$1, 135 - 1, 7 - 1)), "1","0")</f>
        <v>0</v>
      </c>
      <c r="BN50">
        <f ca="1" xml:space="preserve"> IF( AND( OFFSET($A$1, 50 - 1, 64 - 1) = "1", OFFSET($A$1, 50 - 1, 65 - 1) = "1" ), 1, IF( AND( OFFSET($A$1, 50 - 1, 64 - 1) = "1", OFFSET($A$1, 50 - 1, 65 - 1) = "0" ), 2, IF( AND( OFFSET($A$1, 50 - 1, 64 - 1) = "0", OFFSET($A$1, 50 - 1, 65 - 1) = "1" ), 3, 4 ) ) )</f>
        <v>4</v>
      </c>
    </row>
    <row r="51" spans="2:66" x14ac:dyDescent="0.2">
      <c r="C51" s="5">
        <v>0</v>
      </c>
      <c r="D51" s="3">
        <v>16.933333333333334</v>
      </c>
      <c r="BF51" s="3">
        <v>0</v>
      </c>
      <c r="BG51" s="3" t="str">
        <f>"0"</f>
        <v>0</v>
      </c>
      <c r="BH51" t="str">
        <f ca="1">IF((OFFSET($A$1, 51 - 1, 58 - 1)) &gt;= (OFFSET($A$1, 96 - 1, 7 - 1)), "1","0")</f>
        <v>0</v>
      </c>
      <c r="BI51">
        <f ca="1" xml:space="preserve"> IF( AND( OFFSET($A$1, 51 - 1, 59 - 1) = "1", OFFSET($A$1, 51 - 1, 60 - 1) = "1" ), 1, IF( AND( OFFSET($A$1, 51 - 1, 59 - 1) = "1", OFFSET($A$1, 51 - 1, 60 - 1) = "0" ), 2, IF( AND( OFFSET($A$1, 51 - 1, 59 - 1) = "0", OFFSET($A$1, 51 - 1, 60 - 1) = "1" ), 3, 4 ) ) )</f>
        <v>4</v>
      </c>
      <c r="BK51" s="3">
        <v>0.38775510204081637</v>
      </c>
      <c r="BL51" s="3" t="str">
        <f>"1"</f>
        <v>1</v>
      </c>
      <c r="BM51" t="str">
        <f ca="1">IF((OFFSET($A$1, 51 - 1, 63 - 1)) &gt;= (OFFSET($A$1, 135 - 1, 7 - 1)), "1","0")</f>
        <v>0</v>
      </c>
      <c r="BN51">
        <f ca="1" xml:space="preserve"> IF( AND( OFFSET($A$1, 51 - 1, 64 - 1) = "1", OFFSET($A$1, 51 - 1, 65 - 1) = "1" ), 1, IF( AND( OFFSET($A$1, 51 - 1, 64 - 1) = "1", OFFSET($A$1, 51 - 1, 65 - 1) = "0" ), 2, IF( AND( OFFSET($A$1, 51 - 1, 64 - 1) = "0", OFFSET($A$1, 51 - 1, 65 - 1) = "1" ), 3, 4 ) ) )</f>
        <v>2</v>
      </c>
    </row>
    <row r="52" spans="2:66" x14ac:dyDescent="0.2">
      <c r="C52" s="5">
        <v>1</v>
      </c>
      <c r="D52" s="3">
        <v>16.933333333333326</v>
      </c>
      <c r="BF52" s="3">
        <v>0</v>
      </c>
      <c r="BG52" s="3" t="str">
        <f>"0"</f>
        <v>0</v>
      </c>
      <c r="BH52" t="str">
        <f ca="1">IF((OFFSET($A$1, 52 - 1, 58 - 1)) &gt;= (OFFSET($A$1, 96 - 1, 7 - 1)), "1","0")</f>
        <v>0</v>
      </c>
      <c r="BI52">
        <f ca="1" xml:space="preserve"> IF( AND( OFFSET($A$1, 52 - 1, 59 - 1) = "1", OFFSET($A$1, 52 - 1, 60 - 1) = "1" ), 1, IF( AND( OFFSET($A$1, 52 - 1, 59 - 1) = "1", OFFSET($A$1, 52 - 1, 60 - 1) = "0" ), 2, IF( AND( OFFSET($A$1, 52 - 1, 59 - 1) = "0", OFFSET($A$1, 52 - 1, 60 - 1) = "1" ), 3, 4 ) ) )</f>
        <v>4</v>
      </c>
      <c r="BK52" s="3">
        <v>0.38775510204081637</v>
      </c>
      <c r="BL52" s="3" t="str">
        <f>"0"</f>
        <v>0</v>
      </c>
      <c r="BM52" t="str">
        <f ca="1">IF((OFFSET($A$1, 52 - 1, 63 - 1)) &gt;= (OFFSET($A$1, 135 - 1, 7 - 1)), "1","0")</f>
        <v>0</v>
      </c>
      <c r="BN52">
        <f ca="1" xml:space="preserve"> IF( AND( OFFSET($A$1, 52 - 1, 64 - 1) = "1", OFFSET($A$1, 52 - 1, 65 - 1) = "1" ), 1, IF( AND( OFFSET($A$1, 52 - 1, 64 - 1) = "1", OFFSET($A$1, 52 - 1, 65 - 1) = "0" ), 2, IF( AND( OFFSET($A$1, 52 - 1, 64 - 1) = "0", OFFSET($A$1, 52 - 1, 65 - 1) = "1" ), 3, 4 ) ) )</f>
        <v>4</v>
      </c>
    </row>
    <row r="53" spans="2:66" x14ac:dyDescent="0.2">
      <c r="C53" s="5">
        <v>2</v>
      </c>
      <c r="D53" s="3">
        <v>16.93333333333333</v>
      </c>
      <c r="BF53" s="3">
        <v>0.08</v>
      </c>
      <c r="BG53" s="3" t="str">
        <f>"0"</f>
        <v>0</v>
      </c>
      <c r="BH53" t="str">
        <f ca="1">IF((OFFSET($A$1, 53 - 1, 58 - 1)) &gt;= (OFFSET($A$1, 96 - 1, 7 - 1)), "1","0")</f>
        <v>0</v>
      </c>
      <c r="BI53">
        <f ca="1" xml:space="preserve"> IF( AND( OFFSET($A$1, 53 - 1, 59 - 1) = "1", OFFSET($A$1, 53 - 1, 60 - 1) = "1" ), 1, IF( AND( OFFSET($A$1, 53 - 1, 59 - 1) = "1", OFFSET($A$1, 53 - 1, 60 - 1) = "0" ), 2, IF( AND( OFFSET($A$1, 53 - 1, 59 - 1) = "0", OFFSET($A$1, 53 - 1, 60 - 1) = "1" ), 3, 4 ) ) )</f>
        <v>4</v>
      </c>
      <c r="BK53" s="3">
        <v>0.90579710144927539</v>
      </c>
      <c r="BL53" s="3" t="str">
        <f>"1"</f>
        <v>1</v>
      </c>
      <c r="BM53" t="str">
        <f ca="1">IF((OFFSET($A$1, 53 - 1, 63 - 1)) &gt;= (OFFSET($A$1, 135 - 1, 7 - 1)), "1","0")</f>
        <v>1</v>
      </c>
      <c r="BN53">
        <f ca="1" xml:space="preserve"> IF( AND( OFFSET($A$1, 53 - 1, 64 - 1) = "1", OFFSET($A$1, 53 - 1, 65 - 1) = "1" ), 1, IF( AND( OFFSET($A$1, 53 - 1, 64 - 1) = "1", OFFSET($A$1, 53 - 1, 65 - 1) = "0" ), 2, IF( AND( OFFSET($A$1, 53 - 1, 64 - 1) = "0", OFFSET($A$1, 53 - 1, 65 - 1) = "1" ), 3, 4 ) ) )</f>
        <v>1</v>
      </c>
    </row>
    <row r="54" spans="2:66" x14ac:dyDescent="0.2">
      <c r="C54" s="5">
        <v>3</v>
      </c>
      <c r="D54" s="3">
        <v>10.199999999999999</v>
      </c>
      <c r="BF54" s="3">
        <v>0.90579710144927539</v>
      </c>
      <c r="BG54" s="3" t="str">
        <f>"1"</f>
        <v>1</v>
      </c>
      <c r="BH54" t="str">
        <f ca="1">IF((OFFSET($A$1, 54 - 1, 58 - 1)) &gt;= (OFFSET($A$1, 96 - 1, 7 - 1)), "1","0")</f>
        <v>1</v>
      </c>
      <c r="BI54">
        <f ca="1" xml:space="preserve"> IF( AND( OFFSET($A$1, 54 - 1, 59 - 1) = "1", OFFSET($A$1, 54 - 1, 60 - 1) = "1" ), 1, IF( AND( OFFSET($A$1, 54 - 1, 59 - 1) = "1", OFFSET($A$1, 54 - 1, 60 - 1) = "0" ), 2, IF( AND( OFFSET($A$1, 54 - 1, 59 - 1) = "0", OFFSET($A$1, 54 - 1, 60 - 1) = "1" ), 3, 4 ) ) )</f>
        <v>1</v>
      </c>
      <c r="BK54" s="3">
        <v>0.38775510204081637</v>
      </c>
      <c r="BL54" s="3" t="str">
        <f>"0"</f>
        <v>0</v>
      </c>
      <c r="BM54" t="str">
        <f ca="1">IF((OFFSET($A$1, 54 - 1, 63 - 1)) &gt;= (OFFSET($A$1, 135 - 1, 7 - 1)), "1","0")</f>
        <v>0</v>
      </c>
      <c r="BN54">
        <f ca="1" xml:space="preserve"> IF( AND( OFFSET($A$1, 54 - 1, 64 - 1) = "1", OFFSET($A$1, 54 - 1, 65 - 1) = "1" ), 1, IF( AND( OFFSET($A$1, 54 - 1, 64 - 1) = "1", OFFSET($A$1, 54 - 1, 65 - 1) = "0" ), 2, IF( AND( OFFSET($A$1, 54 - 1, 64 - 1) = "0", OFFSET($A$1, 54 - 1, 65 - 1) = "1" ), 3, 4 ) ) )</f>
        <v>4</v>
      </c>
    </row>
    <row r="55" spans="2:66" x14ac:dyDescent="0.2">
      <c r="C55" s="5">
        <v>4</v>
      </c>
      <c r="D55" s="3">
        <v>10.199999999999999</v>
      </c>
      <c r="BF55" s="3">
        <v>0</v>
      </c>
      <c r="BG55" s="3" t="str">
        <f>"0"</f>
        <v>0</v>
      </c>
      <c r="BH55" t="str">
        <f ca="1">IF((OFFSET($A$1, 55 - 1, 58 - 1)) &gt;= (OFFSET($A$1, 96 - 1, 7 - 1)), "1","0")</f>
        <v>0</v>
      </c>
      <c r="BI55">
        <f ca="1" xml:space="preserve"> IF( AND( OFFSET($A$1, 55 - 1, 59 - 1) = "1", OFFSET($A$1, 55 - 1, 60 - 1) = "1" ), 1, IF( AND( OFFSET($A$1, 55 - 1, 59 - 1) = "1", OFFSET($A$1, 55 - 1, 60 - 1) = "0" ), 2, IF( AND( OFFSET($A$1, 55 - 1, 59 - 1) = "0", OFFSET($A$1, 55 - 1, 60 - 1) = "1" ), 3, 4 ) ) )</f>
        <v>4</v>
      </c>
      <c r="BK55" s="3">
        <v>0.90579710144927539</v>
      </c>
      <c r="BL55" s="3" t="str">
        <f>"1"</f>
        <v>1</v>
      </c>
      <c r="BM55" t="str">
        <f ca="1">IF((OFFSET($A$1, 55 - 1, 63 - 1)) &gt;= (OFFSET($A$1, 135 - 1, 7 - 1)), "1","0")</f>
        <v>1</v>
      </c>
      <c r="BN55">
        <f ca="1" xml:space="preserve"> IF( AND( OFFSET($A$1, 55 - 1, 64 - 1) = "1", OFFSET($A$1, 55 - 1, 65 - 1) = "1" ), 1, IF( AND( OFFSET($A$1, 55 - 1, 64 - 1) = "1", OFFSET($A$1, 55 - 1, 65 - 1) = "0" ), 2, IF( AND( OFFSET($A$1, 55 - 1, 64 - 1) = "0", OFFSET($A$1, 55 - 1, 65 - 1) = "1" ), 3, 4 ) ) )</f>
        <v>1</v>
      </c>
    </row>
    <row r="56" spans="2:66" x14ac:dyDescent="0.2">
      <c r="C56" s="5">
        <v>5</v>
      </c>
      <c r="D56" s="3">
        <v>10.200000000000003</v>
      </c>
      <c r="BF56" s="3">
        <v>0.36</v>
      </c>
      <c r="BG56" s="3" t="str">
        <f>"1"</f>
        <v>1</v>
      </c>
      <c r="BH56" t="str">
        <f ca="1">IF((OFFSET($A$1, 56 - 1, 58 - 1)) &gt;= (OFFSET($A$1, 96 - 1, 7 - 1)), "1","0")</f>
        <v>0</v>
      </c>
      <c r="BI56">
        <f ca="1" xml:space="preserve"> IF( AND( OFFSET($A$1, 56 - 1, 59 - 1) = "1", OFFSET($A$1, 56 - 1, 60 - 1) = "1" ), 1, IF( AND( OFFSET($A$1, 56 - 1, 59 - 1) = "1", OFFSET($A$1, 56 - 1, 60 - 1) = "0" ), 2, IF( AND( OFFSET($A$1, 56 - 1, 59 - 1) = "0", OFFSET($A$1, 56 - 1, 60 - 1) = "1" ), 3, 4 ) ) )</f>
        <v>2</v>
      </c>
      <c r="BK56" s="3">
        <v>0.38775510204081637</v>
      </c>
      <c r="BL56" s="3" t="str">
        <f>"1"</f>
        <v>1</v>
      </c>
      <c r="BM56" t="str">
        <f ca="1">IF((OFFSET($A$1, 56 - 1, 63 - 1)) &gt;= (OFFSET($A$1, 135 - 1, 7 - 1)), "1","0")</f>
        <v>0</v>
      </c>
      <c r="BN56">
        <f ca="1" xml:space="preserve"> IF( AND( OFFSET($A$1, 56 - 1, 64 - 1) = "1", OFFSET($A$1, 56 - 1, 65 - 1) = "1" ), 1, IF( AND( OFFSET($A$1, 56 - 1, 64 - 1) = "1", OFFSET($A$1, 56 - 1, 65 - 1) = "0" ), 2, IF( AND( OFFSET($A$1, 56 - 1, 64 - 1) = "0", OFFSET($A$1, 56 - 1, 65 - 1) = "1" ), 3, 4 ) ) )</f>
        <v>2</v>
      </c>
    </row>
    <row r="57" spans="2:66" x14ac:dyDescent="0.2">
      <c r="C57" s="5">
        <v>6</v>
      </c>
      <c r="D57" s="3">
        <v>10.200000000000001</v>
      </c>
      <c r="BF57" s="3">
        <v>0.90579710144927539</v>
      </c>
      <c r="BG57" s="3" t="str">
        <f>"1"</f>
        <v>1</v>
      </c>
      <c r="BH57" t="str">
        <f ca="1">IF((OFFSET($A$1, 57 - 1, 58 - 1)) &gt;= (OFFSET($A$1, 96 - 1, 7 - 1)), "1","0")</f>
        <v>1</v>
      </c>
      <c r="BI57">
        <f ca="1" xml:space="preserve"> IF( AND( OFFSET($A$1, 57 - 1, 59 - 1) = "1", OFFSET($A$1, 57 - 1, 60 - 1) = "1" ), 1, IF( AND( OFFSET($A$1, 57 - 1, 59 - 1) = "1", OFFSET($A$1, 57 - 1, 60 - 1) = "0" ), 2, IF( AND( OFFSET($A$1, 57 - 1, 59 - 1) = "0", OFFSET($A$1, 57 - 1, 60 - 1) = "1" ), 3, 4 ) ) )</f>
        <v>1</v>
      </c>
      <c r="BK57" s="3">
        <v>6.6350710900473939E-2</v>
      </c>
      <c r="BL57" s="3" t="str">
        <f>"0"</f>
        <v>0</v>
      </c>
      <c r="BM57" t="str">
        <f ca="1">IF((OFFSET($A$1, 57 - 1, 63 - 1)) &gt;= (OFFSET($A$1, 135 - 1, 7 - 1)), "1","0")</f>
        <v>0</v>
      </c>
      <c r="BN57">
        <f ca="1" xml:space="preserve"> IF( AND( OFFSET($A$1, 57 - 1, 64 - 1) = "1", OFFSET($A$1, 57 - 1, 65 - 1) = "1" ), 1, IF( AND( OFFSET($A$1, 57 - 1, 64 - 1) = "1", OFFSET($A$1, 57 - 1, 65 - 1) = "0" ), 2, IF( AND( OFFSET($A$1, 57 - 1, 64 - 1) = "0", OFFSET($A$1, 57 - 1, 65 - 1) = "1" ), 3, 4 ) ) )</f>
        <v>4</v>
      </c>
    </row>
    <row r="58" spans="2:66" x14ac:dyDescent="0.2">
      <c r="C58" s="5">
        <v>7</v>
      </c>
      <c r="D58" s="3">
        <v>9.4666666666666686</v>
      </c>
      <c r="BF58" s="3">
        <v>0</v>
      </c>
      <c r="BG58" s="3" t="str">
        <f t="shared" ref="BG58:BG65" si="3">"0"</f>
        <v>0</v>
      </c>
      <c r="BH58" t="str">
        <f ca="1">IF((OFFSET($A$1, 58 - 1, 58 - 1)) &gt;= (OFFSET($A$1, 96 - 1, 7 - 1)), "1","0")</f>
        <v>0</v>
      </c>
      <c r="BI58">
        <f ca="1" xml:space="preserve"> IF( AND( OFFSET($A$1, 58 - 1, 59 - 1) = "1", OFFSET($A$1, 58 - 1, 60 - 1) = "1" ), 1, IF( AND( OFFSET($A$1, 58 - 1, 59 - 1) = "1", OFFSET($A$1, 58 - 1, 60 - 1) = "0" ), 2, IF( AND( OFFSET($A$1, 58 - 1, 59 - 1) = "0", OFFSET($A$1, 58 - 1, 60 - 1) = "1" ), 3, 4 ) ) )</f>
        <v>4</v>
      </c>
      <c r="BK58" s="3">
        <v>6.6350710900473939E-2</v>
      </c>
      <c r="BL58" s="3" t="str">
        <f>"0"</f>
        <v>0</v>
      </c>
      <c r="BM58" t="str">
        <f ca="1">IF((OFFSET($A$1, 58 - 1, 63 - 1)) &gt;= (OFFSET($A$1, 135 - 1, 7 - 1)), "1","0")</f>
        <v>0</v>
      </c>
      <c r="BN58">
        <f ca="1" xml:space="preserve"> IF( AND( OFFSET($A$1, 58 - 1, 64 - 1) = "1", OFFSET($A$1, 58 - 1, 65 - 1) = "1" ), 1, IF( AND( OFFSET($A$1, 58 - 1, 64 - 1) = "1", OFFSET($A$1, 58 - 1, 65 - 1) = "0" ), 2, IF( AND( OFFSET($A$1, 58 - 1, 64 - 1) = "0", OFFSET($A$1, 58 - 1, 65 - 1) = "1" ), 3, 4 ) ) )</f>
        <v>4</v>
      </c>
    </row>
    <row r="59" spans="2:66" x14ac:dyDescent="0.2">
      <c r="C59" s="5">
        <v>8</v>
      </c>
      <c r="D59" s="3">
        <v>9.4666666666666686</v>
      </c>
      <c r="BF59" s="3">
        <v>0</v>
      </c>
      <c r="BG59" s="3" t="str">
        <f t="shared" si="3"/>
        <v>0</v>
      </c>
      <c r="BH59" t="str">
        <f ca="1">IF((OFFSET($A$1, 59 - 1, 58 - 1)) &gt;= (OFFSET($A$1, 96 - 1, 7 - 1)), "1","0")</f>
        <v>0</v>
      </c>
      <c r="BI59">
        <f ca="1" xml:space="preserve"> IF( AND( OFFSET($A$1, 59 - 1, 59 - 1) = "1", OFFSET($A$1, 59 - 1, 60 - 1) = "1" ), 1, IF( AND( OFFSET($A$1, 59 - 1, 59 - 1) = "1", OFFSET($A$1, 59 - 1, 60 - 1) = "0" ), 2, IF( AND( OFFSET($A$1, 59 - 1, 59 - 1) = "0", OFFSET($A$1, 59 - 1, 60 - 1) = "1" ), 3, 4 ) ) )</f>
        <v>4</v>
      </c>
      <c r="BK59" s="3">
        <v>0.90579710144927539</v>
      </c>
      <c r="BL59" s="3" t="str">
        <f>"1"</f>
        <v>1</v>
      </c>
      <c r="BM59" t="str">
        <f ca="1">IF((OFFSET($A$1, 59 - 1, 63 - 1)) &gt;= (OFFSET($A$1, 135 - 1, 7 - 1)), "1","0")</f>
        <v>1</v>
      </c>
      <c r="BN59">
        <f ca="1" xml:space="preserve"> IF( AND( OFFSET($A$1, 59 - 1, 64 - 1) = "1", OFFSET($A$1, 59 - 1, 65 - 1) = "1" ), 1, IF( AND( OFFSET($A$1, 59 - 1, 64 - 1) = "1", OFFSET($A$1, 59 - 1, 65 - 1) = "0" ), 2, IF( AND( OFFSET($A$1, 59 - 1, 64 - 1) = "0", OFFSET($A$1, 59 - 1, 65 - 1) = "1" ), 3, 4 ) ) )</f>
        <v>1</v>
      </c>
    </row>
    <row r="60" spans="2:66" x14ac:dyDescent="0.2">
      <c r="C60" s="5">
        <v>9</v>
      </c>
      <c r="D60" s="3">
        <v>9.466666666666665</v>
      </c>
      <c r="BF60" s="3">
        <v>0</v>
      </c>
      <c r="BG60" s="3" t="str">
        <f t="shared" si="3"/>
        <v>0</v>
      </c>
      <c r="BH60" t="str">
        <f ca="1">IF((OFFSET($A$1, 60 - 1, 58 - 1)) &gt;= (OFFSET($A$1, 96 - 1, 7 - 1)), "1","0")</f>
        <v>0</v>
      </c>
      <c r="BI60">
        <f ca="1" xml:space="preserve"> IF( AND( OFFSET($A$1, 60 - 1, 59 - 1) = "1", OFFSET($A$1, 60 - 1, 60 - 1) = "1" ), 1, IF( AND( OFFSET($A$1, 60 - 1, 59 - 1) = "1", OFFSET($A$1, 60 - 1, 60 - 1) = "0" ), 2, IF( AND( OFFSET($A$1, 60 - 1, 59 - 1) = "0", OFFSET($A$1, 60 - 1, 60 - 1) = "1" ), 3, 4 ) ) )</f>
        <v>4</v>
      </c>
      <c r="BK60" s="3">
        <v>6.6350710900473939E-2</v>
      </c>
      <c r="BL60" s="3" t="str">
        <f t="shared" ref="BL60:BL69" si="4">"0"</f>
        <v>0</v>
      </c>
      <c r="BM60" t="str">
        <f ca="1">IF((OFFSET($A$1, 60 - 1, 63 - 1)) &gt;= (OFFSET($A$1, 135 - 1, 7 - 1)), "1","0")</f>
        <v>0</v>
      </c>
      <c r="BN60">
        <f ca="1" xml:space="preserve"> IF( AND( OFFSET($A$1, 60 - 1, 64 - 1) = "1", OFFSET($A$1, 60 - 1, 65 - 1) = "1" ), 1, IF( AND( OFFSET($A$1, 60 - 1, 64 - 1) = "1", OFFSET($A$1, 60 - 1, 65 - 1) = "0" ), 2, IF( AND( OFFSET($A$1, 60 - 1, 64 - 1) = "0", OFFSET($A$1, 60 - 1, 65 - 1) = "1" ), 3, 4 ) ) )</f>
        <v>4</v>
      </c>
    </row>
    <row r="61" spans="2:66" x14ac:dyDescent="0.2">
      <c r="C61" s="5">
        <v>10</v>
      </c>
      <c r="D61" s="3">
        <v>9.466666666666665</v>
      </c>
      <c r="BF61" s="3">
        <v>0.08</v>
      </c>
      <c r="BG61" s="3" t="str">
        <f t="shared" si="3"/>
        <v>0</v>
      </c>
      <c r="BH61" t="str">
        <f ca="1">IF((OFFSET($A$1, 61 - 1, 58 - 1)) &gt;= (OFFSET($A$1, 96 - 1, 7 - 1)), "1","0")</f>
        <v>0</v>
      </c>
      <c r="BI61">
        <f ca="1" xml:space="preserve"> IF( AND( OFFSET($A$1, 61 - 1, 59 - 1) = "1", OFFSET($A$1, 61 - 1, 60 - 1) = "1" ), 1, IF( AND( OFFSET($A$1, 61 - 1, 59 - 1) = "1", OFFSET($A$1, 61 - 1, 60 - 1) = "0" ), 2, IF( AND( OFFSET($A$1, 61 - 1, 59 - 1) = "0", OFFSET($A$1, 61 - 1, 60 - 1) = "1" ), 3, 4 ) ) )</f>
        <v>4</v>
      </c>
      <c r="BK61" s="3">
        <v>6.6350710900473939E-2</v>
      </c>
      <c r="BL61" s="3" t="str">
        <f t="shared" si="4"/>
        <v>0</v>
      </c>
      <c r="BM61" t="str">
        <f ca="1">IF((OFFSET($A$1, 61 - 1, 63 - 1)) &gt;= (OFFSET($A$1, 135 - 1, 7 - 1)), "1","0")</f>
        <v>0</v>
      </c>
      <c r="BN61">
        <f ca="1" xml:space="preserve"> IF( AND( OFFSET($A$1, 61 - 1, 64 - 1) = "1", OFFSET($A$1, 61 - 1, 65 - 1) = "1" ), 1, IF( AND( OFFSET($A$1, 61 - 1, 64 - 1) = "1", OFFSET($A$1, 61 - 1, 65 - 1) = "0" ), 2, IF( AND( OFFSET($A$1, 61 - 1, 64 - 1) = "0", OFFSET($A$1, 61 - 1, 65 - 1) = "1" ), 3, 4 ) ) )</f>
        <v>4</v>
      </c>
    </row>
    <row r="62" spans="2:66" x14ac:dyDescent="0.2">
      <c r="C62" s="5">
        <v>11</v>
      </c>
      <c r="D62" s="3">
        <v>9.4666666666666632</v>
      </c>
      <c r="BF62" s="3">
        <v>0</v>
      </c>
      <c r="BG62" s="3" t="str">
        <f t="shared" si="3"/>
        <v>0</v>
      </c>
      <c r="BH62" t="str">
        <f ca="1">IF((OFFSET($A$1, 62 - 1, 58 - 1)) &gt;= (OFFSET($A$1, 96 - 1, 7 - 1)), "1","0")</f>
        <v>0</v>
      </c>
      <c r="BI62">
        <f ca="1" xml:space="preserve"> IF( AND( OFFSET($A$1, 62 - 1, 59 - 1) = "1", OFFSET($A$1, 62 - 1, 60 - 1) = "1" ), 1, IF( AND( OFFSET($A$1, 62 - 1, 59 - 1) = "1", OFFSET($A$1, 62 - 1, 60 - 1) = "0" ), 2, IF( AND( OFFSET($A$1, 62 - 1, 59 - 1) = "0", OFFSET($A$1, 62 - 1, 60 - 1) = "1" ), 3, 4 ) ) )</f>
        <v>4</v>
      </c>
      <c r="BK62" s="3">
        <v>6.6350710900473939E-2</v>
      </c>
      <c r="BL62" s="3" t="str">
        <f t="shared" si="4"/>
        <v>0</v>
      </c>
      <c r="BM62" t="str">
        <f ca="1">IF((OFFSET($A$1, 62 - 1, 63 - 1)) &gt;= (OFFSET($A$1, 135 - 1, 7 - 1)), "1","0")</f>
        <v>0</v>
      </c>
      <c r="BN62">
        <f ca="1" xml:space="preserve"> IF( AND( OFFSET($A$1, 62 - 1, 64 - 1) = "1", OFFSET($A$1, 62 - 1, 65 - 1) = "1" ), 1, IF( AND( OFFSET($A$1, 62 - 1, 64 - 1) = "1", OFFSET($A$1, 62 - 1, 65 - 1) = "0" ), 2, IF( AND( OFFSET($A$1, 62 - 1, 64 - 1) = "0", OFFSET($A$1, 62 - 1, 65 - 1) = "1" ), 3, 4 ) ) )</f>
        <v>4</v>
      </c>
    </row>
    <row r="63" spans="2:66" x14ac:dyDescent="0.2">
      <c r="BF63" s="3">
        <v>0</v>
      </c>
      <c r="BG63" s="3" t="str">
        <f t="shared" si="3"/>
        <v>0</v>
      </c>
      <c r="BH63" t="str">
        <f ca="1">IF((OFFSET($A$1, 63 - 1, 58 - 1)) &gt;= (OFFSET($A$1, 96 - 1, 7 - 1)), "1","0")</f>
        <v>0</v>
      </c>
      <c r="BI63">
        <f ca="1" xml:space="preserve"> IF( AND( OFFSET($A$1, 63 - 1, 59 - 1) = "1", OFFSET($A$1, 63 - 1, 60 - 1) = "1" ), 1, IF( AND( OFFSET($A$1, 63 - 1, 59 - 1) = "1", OFFSET($A$1, 63 - 1, 60 - 1) = "0" ), 2, IF( AND( OFFSET($A$1, 63 - 1, 59 - 1) = "0", OFFSET($A$1, 63 - 1, 60 - 1) = "1" ), 3, 4 ) ) )</f>
        <v>4</v>
      </c>
      <c r="BK63" s="3">
        <v>6.6350710900473939E-2</v>
      </c>
      <c r="BL63" s="3" t="str">
        <f t="shared" si="4"/>
        <v>0</v>
      </c>
      <c r="BM63" t="str">
        <f ca="1">IF((OFFSET($A$1, 63 - 1, 63 - 1)) &gt;= (OFFSET($A$1, 135 - 1, 7 - 1)), "1","0")</f>
        <v>0</v>
      </c>
      <c r="BN63">
        <f ca="1" xml:space="preserve"> IF( AND( OFFSET($A$1, 63 - 1, 64 - 1) = "1", OFFSET($A$1, 63 - 1, 65 - 1) = "1" ), 1, IF( AND( OFFSET($A$1, 63 - 1, 64 - 1) = "1", OFFSET($A$1, 63 - 1, 65 - 1) = "0" ), 2, IF( AND( OFFSET($A$1, 63 - 1, 64 - 1) = "0", OFFSET($A$1, 63 - 1, 65 - 1) = "1" ), 3, 4 ) ) )</f>
        <v>4</v>
      </c>
    </row>
    <row r="64" spans="2:66" ht="19" x14ac:dyDescent="0.25">
      <c r="B64" s="7" t="s">
        <v>132</v>
      </c>
      <c r="BF64" s="3">
        <v>3.7037037037037042E-2</v>
      </c>
      <c r="BG64" s="3" t="str">
        <f t="shared" si="3"/>
        <v>0</v>
      </c>
      <c r="BH64" t="str">
        <f ca="1">IF((OFFSET($A$1, 64 - 1, 58 - 1)) &gt;= (OFFSET($A$1, 96 - 1, 7 - 1)), "1","0")</f>
        <v>0</v>
      </c>
      <c r="BI64">
        <f ca="1" xml:space="preserve"> IF( AND( OFFSET($A$1, 64 - 1, 59 - 1) = "1", OFFSET($A$1, 64 - 1, 60 - 1) = "1" ), 1, IF( AND( OFFSET($A$1, 64 - 1, 59 - 1) = "1", OFFSET($A$1, 64 - 1, 60 - 1) = "0" ), 2, IF( AND( OFFSET($A$1, 64 - 1, 59 - 1) = "0", OFFSET($A$1, 64 - 1, 60 - 1) = "1" ), 3, 4 ) ) )</f>
        <v>4</v>
      </c>
      <c r="BK64" s="3">
        <v>2.5316455696202531E-2</v>
      </c>
      <c r="BL64" s="3" t="str">
        <f t="shared" si="4"/>
        <v>0</v>
      </c>
      <c r="BM64" t="str">
        <f ca="1">IF((OFFSET($A$1, 64 - 1, 63 - 1)) &gt;= (OFFSET($A$1, 135 - 1, 7 - 1)), "1","0")</f>
        <v>0</v>
      </c>
      <c r="BN64">
        <f ca="1" xml:space="preserve"> IF( AND( OFFSET($A$1, 64 - 1, 64 - 1) = "1", OFFSET($A$1, 64 - 1, 65 - 1) = "1" ), 1, IF( AND( OFFSET($A$1, 64 - 1, 64 - 1) = "1", OFFSET($A$1, 64 - 1, 65 - 1) = "0" ), 2, IF( AND( OFFSET($A$1, 64 - 1, 64 - 1) = "0", OFFSET($A$1, 64 - 1, 65 - 1) = "1" ), 3, 4 ) ) )</f>
        <v>4</v>
      </c>
    </row>
    <row r="65" spans="3:66" x14ac:dyDescent="0.2">
      <c r="BF65" s="3">
        <v>0</v>
      </c>
      <c r="BG65" s="3" t="str">
        <f t="shared" si="3"/>
        <v>0</v>
      </c>
      <c r="BH65" t="str">
        <f ca="1">IF((OFFSET($A$1, 65 - 1, 58 - 1)) &gt;= (OFFSET($A$1, 96 - 1, 7 - 1)), "1","0")</f>
        <v>0</v>
      </c>
      <c r="BI65">
        <f ca="1" xml:space="preserve"> IF( AND( OFFSET($A$1, 65 - 1, 59 - 1) = "1", OFFSET($A$1, 65 - 1, 60 - 1) = "1" ), 1, IF( AND( OFFSET($A$1, 65 - 1, 59 - 1) = "1", OFFSET($A$1, 65 - 1, 60 - 1) = "0" ), 2, IF( AND( OFFSET($A$1, 65 - 1, 59 - 1) = "0", OFFSET($A$1, 65 - 1, 60 - 1) = "1" ), 3, 4 ) ) )</f>
        <v>4</v>
      </c>
      <c r="BK65" s="3">
        <v>6.6350710900473939E-2</v>
      </c>
      <c r="BL65" s="3" t="str">
        <f t="shared" si="4"/>
        <v>0</v>
      </c>
      <c r="BM65" t="str">
        <f ca="1">IF((OFFSET($A$1, 65 - 1, 63 - 1)) &gt;= (OFFSET($A$1, 135 - 1, 7 - 1)), "1","0")</f>
        <v>0</v>
      </c>
      <c r="BN65">
        <f ca="1" xml:space="preserve"> IF( AND( OFFSET($A$1, 65 - 1, 64 - 1) = "1", OFFSET($A$1, 65 - 1, 65 - 1) = "1" ), 1, IF( AND( OFFSET($A$1, 65 - 1, 64 - 1) = "1", OFFSET($A$1, 65 - 1, 65 - 1) = "0" ), 2, IF( AND( OFFSET($A$1, 65 - 1, 64 - 1) = "0", OFFSET($A$1, 65 - 1, 65 - 1) = "1" ), 3, 4 ) ) )</f>
        <v>4</v>
      </c>
    </row>
    <row r="66" spans="3:66" x14ac:dyDescent="0.2">
      <c r="C66" s="20" t="s">
        <v>133</v>
      </c>
      <c r="D66" s="21"/>
      <c r="E66" s="3">
        <v>11</v>
      </c>
      <c r="H66" s="20" t="s">
        <v>134</v>
      </c>
      <c r="I66" s="21"/>
      <c r="J66" s="3">
        <v>12</v>
      </c>
      <c r="BF66" s="3">
        <v>0.90579710144927539</v>
      </c>
      <c r="BG66" s="3" t="str">
        <f>"1"</f>
        <v>1</v>
      </c>
      <c r="BH66" t="str">
        <f ca="1">IF((OFFSET($A$1, 66 - 1, 58 - 1)) &gt;= (OFFSET($A$1, 96 - 1, 7 - 1)), "1","0")</f>
        <v>1</v>
      </c>
      <c r="BI66">
        <f ca="1" xml:space="preserve"> IF( AND( OFFSET($A$1, 66 - 1, 59 - 1) = "1", OFFSET($A$1, 66 - 1, 60 - 1) = "1" ), 1, IF( AND( OFFSET($A$1, 66 - 1, 59 - 1) = "1", OFFSET($A$1, 66 - 1, 60 - 1) = "0" ), 2, IF( AND( OFFSET($A$1, 66 - 1, 59 - 1) = "0", OFFSET($A$1, 66 - 1, 60 - 1) = "1" ), 3, 4 ) ) )</f>
        <v>1</v>
      </c>
      <c r="BK66" s="3">
        <v>0.36</v>
      </c>
      <c r="BL66" s="3" t="str">
        <f t="shared" si="4"/>
        <v>0</v>
      </c>
      <c r="BM66" t="str">
        <f ca="1">IF((OFFSET($A$1, 66 - 1, 63 - 1)) &gt;= (OFFSET($A$1, 135 - 1, 7 - 1)), "1","0")</f>
        <v>0</v>
      </c>
      <c r="BN66">
        <f ca="1" xml:space="preserve"> IF( AND( OFFSET($A$1, 66 - 1, 64 - 1) = "1", OFFSET($A$1, 66 - 1, 65 - 1) = "1" ), 1, IF( AND( OFFSET($A$1, 66 - 1, 64 - 1) = "1", OFFSET($A$1, 66 - 1, 65 - 1) = "0" ), 2, IF( AND( OFFSET($A$1, 66 - 1, 64 - 1) = "0", OFFSET($A$1, 66 - 1, 65 - 1) = "1" ), 3, 4 ) ) )</f>
        <v>4</v>
      </c>
    </row>
    <row r="67" spans="3:66" x14ac:dyDescent="0.2">
      <c r="BF67" s="3">
        <v>0.1081081081081081</v>
      </c>
      <c r="BG67" s="3" t="str">
        <f>"0"</f>
        <v>0</v>
      </c>
      <c r="BH67" t="str">
        <f ca="1">IF((OFFSET($A$1, 67 - 1, 58 - 1)) &gt;= (OFFSET($A$1, 96 - 1, 7 - 1)), "1","0")</f>
        <v>0</v>
      </c>
      <c r="BI67">
        <f ca="1" xml:space="preserve"> IF( AND( OFFSET($A$1, 67 - 1, 59 - 1) = "1", OFFSET($A$1, 67 - 1, 60 - 1) = "1" ), 1, IF( AND( OFFSET($A$1, 67 - 1, 59 - 1) = "1", OFFSET($A$1, 67 - 1, 60 - 1) = "0" ), 2, IF( AND( OFFSET($A$1, 67 - 1, 59 - 1) = "0", OFFSET($A$1, 67 - 1, 60 - 1) = "1" ), 3, 4 ) ) )</f>
        <v>4</v>
      </c>
      <c r="BK67" s="3">
        <v>6.6350710900473939E-2</v>
      </c>
      <c r="BL67" s="3" t="str">
        <f t="shared" si="4"/>
        <v>0</v>
      </c>
      <c r="BM67" t="str">
        <f ca="1">IF((OFFSET($A$1, 67 - 1, 63 - 1)) &gt;= (OFFSET($A$1, 135 - 1, 7 - 1)), "1","0")</f>
        <v>0</v>
      </c>
      <c r="BN67">
        <f ca="1" xml:space="preserve"> IF( AND( OFFSET($A$1, 67 - 1, 64 - 1) = "1", OFFSET($A$1, 67 - 1, 65 - 1) = "1" ), 1, IF( AND( OFFSET($A$1, 67 - 1, 64 - 1) = "1", OFFSET($A$1, 67 - 1, 65 - 1) = "0" ), 2, IF( AND( OFFSET($A$1, 67 - 1, 64 - 1) = "0", OFFSET($A$1, 67 - 1, 65 - 1) = "1" ), 3, 4 ) ) )</f>
        <v>4</v>
      </c>
    </row>
    <row r="68" spans="3:66" x14ac:dyDescent="0.2">
      <c r="C68" s="4" t="s">
        <v>135</v>
      </c>
      <c r="D68" s="4" t="s">
        <v>136</v>
      </c>
      <c r="E68" s="4" t="s">
        <v>137</v>
      </c>
      <c r="F68" s="4" t="s">
        <v>55</v>
      </c>
      <c r="G68" s="4" t="s">
        <v>56</v>
      </c>
      <c r="H68" s="4" t="s">
        <v>51</v>
      </c>
      <c r="I68" s="4" t="s">
        <v>138</v>
      </c>
      <c r="J68" s="4" t="s">
        <v>139</v>
      </c>
      <c r="K68" s="4" t="s">
        <v>140</v>
      </c>
      <c r="L68" s="4" t="s">
        <v>13</v>
      </c>
      <c r="M68" s="4" t="s">
        <v>23</v>
      </c>
      <c r="BF68" s="3">
        <v>0</v>
      </c>
      <c r="BG68" s="3" t="str">
        <f>"0"</f>
        <v>0</v>
      </c>
      <c r="BH68" t="str">
        <f ca="1">IF((OFFSET($A$1, 68 - 1, 58 - 1)) &gt;= (OFFSET($A$1, 96 - 1, 7 - 1)), "1","0")</f>
        <v>0</v>
      </c>
      <c r="BI68">
        <f ca="1" xml:space="preserve"> IF( AND( OFFSET($A$1, 68 - 1, 59 - 1) = "1", OFFSET($A$1, 68 - 1, 60 - 1) = "1" ), 1, IF( AND( OFFSET($A$1, 68 - 1, 59 - 1) = "1", OFFSET($A$1, 68 - 1, 60 - 1) = "0" ), 2, IF( AND( OFFSET($A$1, 68 - 1, 59 - 1) = "0", OFFSET($A$1, 68 - 1, 60 - 1) = "1" ), 3, 4 ) ) )</f>
        <v>4</v>
      </c>
      <c r="BK68" s="3">
        <v>6.6350710900473939E-2</v>
      </c>
      <c r="BL68" s="3" t="str">
        <f t="shared" si="4"/>
        <v>0</v>
      </c>
      <c r="BM68" t="str">
        <f ca="1">IF((OFFSET($A$1, 68 - 1, 63 - 1)) &gt;= (OFFSET($A$1, 135 - 1, 7 - 1)), "1","0")</f>
        <v>0</v>
      </c>
      <c r="BN68">
        <f ca="1" xml:space="preserve"> IF( AND( OFFSET($A$1, 68 - 1, 64 - 1) = "1", OFFSET($A$1, 68 - 1, 65 - 1) = "1" ), 1, IF( AND( OFFSET($A$1, 68 - 1, 64 - 1) = "1", OFFSET($A$1, 68 - 1, 65 - 1) = "0" ), 2, IF( AND( OFFSET($A$1, 68 - 1, 64 - 1) = "0", OFFSET($A$1, 68 - 1, 65 - 1) = "1" ), 3, 4 ) ) )</f>
        <v>4</v>
      </c>
    </row>
    <row r="69" spans="3:66" x14ac:dyDescent="0.2">
      <c r="C69" s="9">
        <v>0</v>
      </c>
      <c r="D69" s="9">
        <v>0</v>
      </c>
      <c r="E69" s="9" t="s">
        <v>141</v>
      </c>
      <c r="F69" s="9">
        <v>1</v>
      </c>
      <c r="G69" s="9">
        <v>2</v>
      </c>
      <c r="H69" s="9" t="s">
        <v>6</v>
      </c>
      <c r="I69" s="9">
        <v>7.5</v>
      </c>
      <c r="J69" s="9">
        <v>1500</v>
      </c>
      <c r="K69" s="9">
        <v>0.16933333333333334</v>
      </c>
      <c r="L69" s="9">
        <v>0</v>
      </c>
      <c r="M69" s="9" t="s">
        <v>142</v>
      </c>
      <c r="BF69" s="3">
        <v>3.7037037037037042E-2</v>
      </c>
      <c r="BG69" s="3" t="str">
        <f>"0"</f>
        <v>0</v>
      </c>
      <c r="BH69" t="str">
        <f ca="1">IF((OFFSET($A$1, 69 - 1, 58 - 1)) &gt;= (OFFSET($A$1, 96 - 1, 7 - 1)), "1","0")</f>
        <v>0</v>
      </c>
      <c r="BI69">
        <f ca="1" xml:space="preserve"> IF( AND( OFFSET($A$1, 69 - 1, 59 - 1) = "1", OFFSET($A$1, 69 - 1, 60 - 1) = "1" ), 1, IF( AND( OFFSET($A$1, 69 - 1, 59 - 1) = "1", OFFSET($A$1, 69 - 1, 60 - 1) = "0" ), 2, IF( AND( OFFSET($A$1, 69 - 1, 59 - 1) = "0", OFFSET($A$1, 69 - 1, 60 - 1) = "1" ), 3, 4 ) ) )</f>
        <v>4</v>
      </c>
      <c r="BK69" s="3">
        <v>6.6350710900473939E-2</v>
      </c>
      <c r="BL69" s="3" t="str">
        <f t="shared" si="4"/>
        <v>0</v>
      </c>
      <c r="BM69" t="str">
        <f ca="1">IF((OFFSET($A$1, 69 - 1, 63 - 1)) &gt;= (OFFSET($A$1, 135 - 1, 7 - 1)), "1","0")</f>
        <v>0</v>
      </c>
      <c r="BN69">
        <f ca="1" xml:space="preserve"> IF( AND( OFFSET($A$1, 69 - 1, 64 - 1) = "1", OFFSET($A$1, 69 - 1, 65 - 1) = "1" ), 1, IF( AND( OFFSET($A$1, 69 - 1, 64 - 1) = "1", OFFSET($A$1, 69 - 1, 65 - 1) = "0" ), 2, IF( AND( OFFSET($A$1, 69 - 1, 64 - 1) = "0", OFFSET($A$1, 69 - 1, 65 - 1) = "1" ), 3, 4 ) ) )</f>
        <v>4</v>
      </c>
    </row>
    <row r="70" spans="3:66" x14ac:dyDescent="0.2">
      <c r="C70" s="9">
        <v>1</v>
      </c>
      <c r="D70" s="9">
        <v>1</v>
      </c>
      <c r="E70" s="9">
        <v>0</v>
      </c>
      <c r="F70" s="9">
        <v>3</v>
      </c>
      <c r="G70" s="9">
        <v>4</v>
      </c>
      <c r="H70" s="9" t="s">
        <v>4</v>
      </c>
      <c r="I70" s="9">
        <v>1.5</v>
      </c>
      <c r="J70" s="9">
        <v>1055</v>
      </c>
      <c r="K70" s="9">
        <v>4.6666666666666634E-2</v>
      </c>
      <c r="L70" s="9">
        <v>0</v>
      </c>
      <c r="M70" s="9" t="s">
        <v>142</v>
      </c>
      <c r="BF70" s="3">
        <v>0.34722222222222221</v>
      </c>
      <c r="BG70" s="3" t="str">
        <f>"0"</f>
        <v>0</v>
      </c>
      <c r="BH70" t="str">
        <f ca="1">IF((OFFSET($A$1, 70 - 1, 58 - 1)) &gt;= (OFFSET($A$1, 96 - 1, 7 - 1)), "1","0")</f>
        <v>0</v>
      </c>
      <c r="BI70">
        <f ca="1" xml:space="preserve"> IF( AND( OFFSET($A$1, 70 - 1, 59 - 1) = "1", OFFSET($A$1, 70 - 1, 60 - 1) = "1" ), 1, IF( AND( OFFSET($A$1, 70 - 1, 59 - 1) = "1", OFFSET($A$1, 70 - 1, 60 - 1) = "0" ), 2, IF( AND( OFFSET($A$1, 70 - 1, 59 - 1) = "0", OFFSET($A$1, 70 - 1, 60 - 1) = "1" ), 3, 4 ) ) )</f>
        <v>4</v>
      </c>
      <c r="BK70" s="3">
        <v>6.6350710900473939E-2</v>
      </c>
      <c r="BL70" s="3" t="str">
        <f>"1"</f>
        <v>1</v>
      </c>
      <c r="BM70" t="str">
        <f ca="1">IF((OFFSET($A$1, 70 - 1, 63 - 1)) &gt;= (OFFSET($A$1, 135 - 1, 7 - 1)), "1","0")</f>
        <v>0</v>
      </c>
      <c r="BN70">
        <f ca="1" xml:space="preserve"> IF( AND( OFFSET($A$1, 70 - 1, 64 - 1) = "1", OFFSET($A$1, 70 - 1, 65 - 1) = "1" ), 1, IF( AND( OFFSET($A$1, 70 - 1, 64 - 1) = "1", OFFSET($A$1, 70 - 1, 65 - 1) = "0" ), 2, IF( AND( OFFSET($A$1, 70 - 1, 64 - 1) = "0", OFFSET($A$1, 70 - 1, 65 - 1) = "1" ), 3, 4 ) ) )</f>
        <v>2</v>
      </c>
    </row>
    <row r="71" spans="3:66" x14ac:dyDescent="0.2">
      <c r="C71" s="9">
        <v>2</v>
      </c>
      <c r="D71" s="9">
        <v>1</v>
      </c>
      <c r="E71" s="9">
        <v>0</v>
      </c>
      <c r="F71" s="9">
        <v>5</v>
      </c>
      <c r="G71" s="9">
        <v>6</v>
      </c>
      <c r="H71" s="9" t="s">
        <v>9</v>
      </c>
      <c r="I71" s="9">
        <v>3.5</v>
      </c>
      <c r="J71" s="9">
        <v>445</v>
      </c>
      <c r="K71" s="9">
        <v>0.12266666666666665</v>
      </c>
      <c r="L71" s="9">
        <v>0</v>
      </c>
      <c r="M71" s="9" t="s">
        <v>142</v>
      </c>
      <c r="BF71" s="3">
        <v>0.36</v>
      </c>
      <c r="BG71" s="3" t="str">
        <f>"1"</f>
        <v>1</v>
      </c>
      <c r="BH71" t="str">
        <f ca="1">IF((OFFSET($A$1, 71 - 1, 58 - 1)) &gt;= (OFFSET($A$1, 96 - 1, 7 - 1)), "1","0")</f>
        <v>0</v>
      </c>
      <c r="BI71">
        <f ca="1" xml:space="preserve"> IF( AND( OFFSET($A$1, 71 - 1, 59 - 1) = "1", OFFSET($A$1, 71 - 1, 60 - 1) = "1" ), 1, IF( AND( OFFSET($A$1, 71 - 1, 59 - 1) = "1", OFFSET($A$1, 71 - 1, 60 - 1) = "0" ), 2, IF( AND( OFFSET($A$1, 71 - 1, 59 - 1) = "0", OFFSET($A$1, 71 - 1, 60 - 1) = "1" ), 3, 4 ) ) )</f>
        <v>2</v>
      </c>
      <c r="BK71" s="3">
        <v>6.6350710900473939E-2</v>
      </c>
      <c r="BL71" s="3" t="str">
        <f>"0"</f>
        <v>0</v>
      </c>
      <c r="BM71" t="str">
        <f ca="1">IF((OFFSET($A$1, 71 - 1, 63 - 1)) &gt;= (OFFSET($A$1, 135 - 1, 7 - 1)), "1","0")</f>
        <v>0</v>
      </c>
      <c r="BN71">
        <f ca="1" xml:space="preserve"> IF( AND( OFFSET($A$1, 71 - 1, 64 - 1) = "1", OFFSET($A$1, 71 - 1, 65 - 1) = "1" ), 1, IF( AND( OFFSET($A$1, 71 - 1, 64 - 1) = "1", OFFSET($A$1, 71 - 1, 65 - 1) = "0" ), 2, IF( AND( OFFSET($A$1, 71 - 1, 64 - 1) = "0", OFFSET($A$1, 71 - 1, 65 - 1) = "1" ), 3, 4 ) ) )</f>
        <v>4</v>
      </c>
    </row>
    <row r="72" spans="3:66" x14ac:dyDescent="0.2">
      <c r="C72" s="9">
        <v>3</v>
      </c>
      <c r="D72" s="9">
        <v>2</v>
      </c>
      <c r="E72" s="9">
        <v>1</v>
      </c>
      <c r="F72" s="9">
        <v>7</v>
      </c>
      <c r="G72" s="9">
        <v>8</v>
      </c>
      <c r="H72" s="9" t="s">
        <v>5</v>
      </c>
      <c r="I72" s="9">
        <v>8.5</v>
      </c>
      <c r="J72" s="9">
        <v>326</v>
      </c>
      <c r="K72" s="9">
        <v>3.8000000000000006E-2</v>
      </c>
      <c r="L72" s="9">
        <v>0</v>
      </c>
      <c r="M72" s="9" t="s">
        <v>142</v>
      </c>
      <c r="BF72" s="3">
        <v>0</v>
      </c>
      <c r="BG72" s="3" t="str">
        <f>"0"</f>
        <v>0</v>
      </c>
      <c r="BH72" t="str">
        <f ca="1">IF((OFFSET($A$1, 72 - 1, 58 - 1)) &gt;= (OFFSET($A$1, 96 - 1, 7 - 1)), "1","0")</f>
        <v>0</v>
      </c>
      <c r="BI72">
        <f ca="1" xml:space="preserve"> IF( AND( OFFSET($A$1, 72 - 1, 59 - 1) = "1", OFFSET($A$1, 72 - 1, 60 - 1) = "1" ), 1, IF( AND( OFFSET($A$1, 72 - 1, 59 - 1) = "1", OFFSET($A$1, 72 - 1, 60 - 1) = "0" ), 2, IF( AND( OFFSET($A$1, 72 - 1, 59 - 1) = "0", OFFSET($A$1, 72 - 1, 60 - 1) = "1" ), 3, 4 ) ) )</f>
        <v>4</v>
      </c>
      <c r="BK72" s="3">
        <v>6.6350710900473939E-2</v>
      </c>
      <c r="BL72" s="3" t="str">
        <f>"0"</f>
        <v>0</v>
      </c>
      <c r="BM72" t="str">
        <f ca="1">IF((OFFSET($A$1, 72 - 1, 63 - 1)) &gt;= (OFFSET($A$1, 135 - 1, 7 - 1)), "1","0")</f>
        <v>0</v>
      </c>
      <c r="BN72">
        <f ca="1" xml:space="preserve"> IF( AND( OFFSET($A$1, 72 - 1, 64 - 1) = "1", OFFSET($A$1, 72 - 1, 65 - 1) = "1" ), 1, IF( AND( OFFSET($A$1, 72 - 1, 64 - 1) = "1", OFFSET($A$1, 72 - 1, 65 - 1) = "0" ), 2, IF( AND( OFFSET($A$1, 72 - 1, 64 - 1) = "0", OFFSET($A$1, 72 - 1, 65 - 1) = "1" ), 3, 4 ) ) )</f>
        <v>4</v>
      </c>
    </row>
    <row r="73" spans="3:66" x14ac:dyDescent="0.2">
      <c r="C73" s="9">
        <v>4</v>
      </c>
      <c r="D73" s="9">
        <v>2</v>
      </c>
      <c r="E73" s="9">
        <v>1</v>
      </c>
      <c r="F73" s="9">
        <v>9</v>
      </c>
      <c r="G73" s="9">
        <v>10</v>
      </c>
      <c r="H73" s="9" t="s">
        <v>6</v>
      </c>
      <c r="I73" s="9">
        <v>6.5</v>
      </c>
      <c r="J73" s="9">
        <v>729</v>
      </c>
      <c r="K73" s="9">
        <v>8.6666666666666559E-3</v>
      </c>
      <c r="L73" s="9">
        <v>0</v>
      </c>
      <c r="M73" s="9" t="s">
        <v>142</v>
      </c>
      <c r="BF73" s="3">
        <v>0</v>
      </c>
      <c r="BG73" s="3" t="str">
        <f>"0"</f>
        <v>0</v>
      </c>
      <c r="BH73" t="str">
        <f ca="1">IF((OFFSET($A$1, 73 - 1, 58 - 1)) &gt;= (OFFSET($A$1, 96 - 1, 7 - 1)), "1","0")</f>
        <v>0</v>
      </c>
      <c r="BI73">
        <f ca="1" xml:space="preserve"> IF( AND( OFFSET($A$1, 73 - 1, 59 - 1) = "1", OFFSET($A$1, 73 - 1, 60 - 1) = "1" ), 1, IF( AND( OFFSET($A$1, 73 - 1, 59 - 1) = "1", OFFSET($A$1, 73 - 1, 60 - 1) = "0" ), 2, IF( AND( OFFSET($A$1, 73 - 1, 59 - 1) = "0", OFFSET($A$1, 73 - 1, 60 - 1) = "1" ), 3, 4 ) ) )</f>
        <v>4</v>
      </c>
      <c r="BK73" s="3">
        <v>6.6350710900473939E-2</v>
      </c>
      <c r="BL73" s="3" t="str">
        <f>"0"</f>
        <v>0</v>
      </c>
      <c r="BM73" t="str">
        <f ca="1">IF((OFFSET($A$1, 73 - 1, 63 - 1)) &gt;= (OFFSET($A$1, 135 - 1, 7 - 1)), "1","0")</f>
        <v>0</v>
      </c>
      <c r="BN73">
        <f ca="1" xml:space="preserve"> IF( AND( OFFSET($A$1, 73 - 1, 64 - 1) = "1", OFFSET($A$1, 73 - 1, 65 - 1) = "1" ), 1, IF( AND( OFFSET($A$1, 73 - 1, 64 - 1) = "1", OFFSET($A$1, 73 - 1, 65 - 1) = "0" ), 2, IF( AND( OFFSET($A$1, 73 - 1, 64 - 1) = "0", OFFSET($A$1, 73 - 1, 65 - 1) = "1" ), 3, 4 ) ) )</f>
        <v>4</v>
      </c>
    </row>
    <row r="74" spans="3:66" x14ac:dyDescent="0.2">
      <c r="C74" s="9">
        <v>5</v>
      </c>
      <c r="D74" s="9">
        <v>2</v>
      </c>
      <c r="E74" s="9">
        <v>2</v>
      </c>
      <c r="F74" s="9">
        <v>11</v>
      </c>
      <c r="G74" s="9">
        <v>12</v>
      </c>
      <c r="H74" s="9" t="s">
        <v>5</v>
      </c>
      <c r="I74" s="9">
        <v>6.5</v>
      </c>
      <c r="J74" s="9">
        <v>258</v>
      </c>
      <c r="K74" s="9">
        <v>2.6666666666666672E-2</v>
      </c>
      <c r="L74" s="9">
        <v>0</v>
      </c>
      <c r="M74" s="9" t="s">
        <v>142</v>
      </c>
      <c r="BF74" s="3">
        <v>0</v>
      </c>
      <c r="BG74" s="3" t="str">
        <f>"0"</f>
        <v>0</v>
      </c>
      <c r="BH74" t="str">
        <f ca="1">IF((OFFSET($A$1, 74 - 1, 58 - 1)) &gt;= (OFFSET($A$1, 96 - 1, 7 - 1)), "1","0")</f>
        <v>0</v>
      </c>
      <c r="BI74">
        <f ca="1" xml:space="preserve"> IF( AND( OFFSET($A$1, 74 - 1, 59 - 1) = "1", OFFSET($A$1, 74 - 1, 60 - 1) = "1" ), 1, IF( AND( OFFSET($A$1, 74 - 1, 59 - 1) = "1", OFFSET($A$1, 74 - 1, 60 - 1) = "0" ), 2, IF( AND( OFFSET($A$1, 74 - 1, 59 - 1) = "0", OFFSET($A$1, 74 - 1, 60 - 1) = "1" ), 3, 4 ) ) )</f>
        <v>4</v>
      </c>
      <c r="BK74" s="3">
        <v>6.6350710900473939E-2</v>
      </c>
      <c r="BL74" s="3" t="str">
        <f>"0"</f>
        <v>0</v>
      </c>
      <c r="BM74" t="str">
        <f ca="1">IF((OFFSET($A$1, 74 - 1, 63 - 1)) &gt;= (OFFSET($A$1, 135 - 1, 7 - 1)), "1","0")</f>
        <v>0</v>
      </c>
      <c r="BN74">
        <f ca="1" xml:space="preserve"> IF( AND( OFFSET($A$1, 74 - 1, 64 - 1) = "1", OFFSET($A$1, 74 - 1, 65 - 1) = "1" ), 1, IF( AND( OFFSET($A$1, 74 - 1, 64 - 1) = "1", OFFSET($A$1, 74 - 1, 65 - 1) = "0" ), 2, IF( AND( OFFSET($A$1, 74 - 1, 64 - 1) = "0", OFFSET($A$1, 74 - 1, 65 - 1) = "1" ), 3, 4 ) ) )</f>
        <v>4</v>
      </c>
    </row>
    <row r="75" spans="3:66" x14ac:dyDescent="0.2">
      <c r="C75" s="9">
        <v>6</v>
      </c>
      <c r="D75" s="9">
        <v>2</v>
      </c>
      <c r="E75" s="9">
        <v>2</v>
      </c>
      <c r="F75" s="9">
        <v>13</v>
      </c>
      <c r="G75" s="9">
        <v>14</v>
      </c>
      <c r="H75" s="9" t="s">
        <v>4</v>
      </c>
      <c r="I75" s="9">
        <v>2.5</v>
      </c>
      <c r="J75" s="9">
        <v>187</v>
      </c>
      <c r="K75" s="9">
        <v>2.866666666666666E-2</v>
      </c>
      <c r="L75" s="9">
        <v>1</v>
      </c>
      <c r="M75" s="9" t="s">
        <v>142</v>
      </c>
      <c r="BF75" s="3">
        <v>0</v>
      </c>
      <c r="BG75" s="3" t="str">
        <f>"0"</f>
        <v>0</v>
      </c>
      <c r="BH75" t="str">
        <f ca="1">IF((OFFSET($A$1, 75 - 1, 58 - 1)) &gt;= (OFFSET($A$1, 96 - 1, 7 - 1)), "1","0")</f>
        <v>0</v>
      </c>
      <c r="BI75">
        <f ca="1" xml:space="preserve"> IF( AND( OFFSET($A$1, 75 - 1, 59 - 1) = "1", OFFSET($A$1, 75 - 1, 60 - 1) = "1" ), 1, IF( AND( OFFSET($A$1, 75 - 1, 59 - 1) = "1", OFFSET($A$1, 75 - 1, 60 - 1) = "0" ), 2, IF( AND( OFFSET($A$1, 75 - 1, 59 - 1) = "0", OFFSET($A$1, 75 - 1, 60 - 1) = "1" ), 3, 4 ) ) )</f>
        <v>4</v>
      </c>
      <c r="BK75" s="3">
        <v>0.90579710144927539</v>
      </c>
      <c r="BL75" s="3" t="str">
        <f>"1"</f>
        <v>1</v>
      </c>
      <c r="BM75" t="str">
        <f ca="1">IF((OFFSET($A$1, 75 - 1, 63 - 1)) &gt;= (OFFSET($A$1, 135 - 1, 7 - 1)), "1","0")</f>
        <v>1</v>
      </c>
      <c r="BN75">
        <f ca="1" xml:space="preserve"> IF( AND( OFFSET($A$1, 75 - 1, 64 - 1) = "1", OFFSET($A$1, 75 - 1, 65 - 1) = "1" ), 1, IF( AND( OFFSET($A$1, 75 - 1, 64 - 1) = "1", OFFSET($A$1, 75 - 1, 65 - 1) = "0" ), 2, IF( AND( OFFSET($A$1, 75 - 1, 64 - 1) = "0", OFFSET($A$1, 75 - 1, 65 - 1) = "1" ), 3, 4 ) ) )</f>
        <v>1</v>
      </c>
    </row>
    <row r="76" spans="3:66" x14ac:dyDescent="0.2">
      <c r="C76" s="9">
        <v>7</v>
      </c>
      <c r="D76" s="9">
        <v>3</v>
      </c>
      <c r="E76" s="9">
        <v>3</v>
      </c>
      <c r="F76" s="9">
        <v>15</v>
      </c>
      <c r="G76" s="9">
        <v>16</v>
      </c>
      <c r="H76" s="9" t="s">
        <v>6</v>
      </c>
      <c r="I76" s="9">
        <v>5.5</v>
      </c>
      <c r="J76" s="9">
        <v>261</v>
      </c>
      <c r="K76" s="9">
        <v>1.7333333333333339E-2</v>
      </c>
      <c r="L76" s="9">
        <v>0</v>
      </c>
      <c r="M76" s="9" t="s">
        <v>142</v>
      </c>
      <c r="BF76" s="3">
        <v>0.08</v>
      </c>
      <c r="BG76" s="3" t="str">
        <f>"0"</f>
        <v>0</v>
      </c>
      <c r="BH76" t="str">
        <f ca="1">IF((OFFSET($A$1, 76 - 1, 58 - 1)) &gt;= (OFFSET($A$1, 96 - 1, 7 - 1)), "1","0")</f>
        <v>0</v>
      </c>
      <c r="BI76">
        <f ca="1" xml:space="preserve"> IF( AND( OFFSET($A$1, 76 - 1, 59 - 1) = "1", OFFSET($A$1, 76 - 1, 60 - 1) = "1" ), 1, IF( AND( OFFSET($A$1, 76 - 1, 59 - 1) = "1", OFFSET($A$1, 76 - 1, 60 - 1) = "0" ), 2, IF( AND( OFFSET($A$1, 76 - 1, 59 - 1) = "0", OFFSET($A$1, 76 - 1, 60 - 1) = "1" ), 3, 4 ) ) )</f>
        <v>4</v>
      </c>
      <c r="BK76" s="3">
        <v>6.6350710900473939E-2</v>
      </c>
      <c r="BL76" s="3" t="str">
        <f>"0"</f>
        <v>0</v>
      </c>
      <c r="BM76" t="str">
        <f ca="1">IF((OFFSET($A$1, 76 - 1, 63 - 1)) &gt;= (OFFSET($A$1, 135 - 1, 7 - 1)), "1","0")</f>
        <v>0</v>
      </c>
      <c r="BN76">
        <f ca="1" xml:space="preserve"> IF( AND( OFFSET($A$1, 76 - 1, 64 - 1) = "1", OFFSET($A$1, 76 - 1, 65 - 1) = "1" ), 1, IF( AND( OFFSET($A$1, 76 - 1, 64 - 1) = "1", OFFSET($A$1, 76 - 1, 65 - 1) = "0" ), 2, IF( AND( OFFSET($A$1, 76 - 1, 64 - 1) = "0", OFFSET($A$1, 76 - 1, 65 - 1) = "1" ), 3, 4 ) ) )</f>
        <v>4</v>
      </c>
    </row>
    <row r="77" spans="3:66" x14ac:dyDescent="0.2">
      <c r="C77" s="9">
        <v>8</v>
      </c>
      <c r="D77" s="9">
        <v>3</v>
      </c>
      <c r="E77" s="9">
        <v>3</v>
      </c>
      <c r="F77" s="9" t="s">
        <v>141</v>
      </c>
      <c r="G77" s="9" t="s">
        <v>141</v>
      </c>
      <c r="H77" s="9" t="s">
        <v>141</v>
      </c>
      <c r="I77" s="9" t="s">
        <v>141</v>
      </c>
      <c r="J77" s="9">
        <v>65</v>
      </c>
      <c r="K77" s="9">
        <v>2.066666666666667E-2</v>
      </c>
      <c r="L77" s="9">
        <v>0</v>
      </c>
      <c r="M77" s="9" t="s">
        <v>143</v>
      </c>
      <c r="BF77" s="3">
        <v>0.38775510204081637</v>
      </c>
      <c r="BG77" s="3" t="str">
        <f>"1"</f>
        <v>1</v>
      </c>
      <c r="BH77" t="str">
        <f ca="1">IF((OFFSET($A$1, 77 - 1, 58 - 1)) &gt;= (OFFSET($A$1, 96 - 1, 7 - 1)), "1","0")</f>
        <v>0</v>
      </c>
      <c r="BI77">
        <f ca="1" xml:space="preserve"> IF( AND( OFFSET($A$1, 77 - 1, 59 - 1) = "1", OFFSET($A$1, 77 - 1, 60 - 1) = "1" ), 1, IF( AND( OFFSET($A$1, 77 - 1, 59 - 1) = "1", OFFSET($A$1, 77 - 1, 60 - 1) = "0" ), 2, IF( AND( OFFSET($A$1, 77 - 1, 59 - 1) = "0", OFFSET($A$1, 77 - 1, 60 - 1) = "1" ), 3, 4 ) ) )</f>
        <v>2</v>
      </c>
      <c r="BK77" s="3">
        <v>6.6350710900473939E-2</v>
      </c>
      <c r="BL77" s="3" t="str">
        <f>"0"</f>
        <v>0</v>
      </c>
      <c r="BM77" t="str">
        <f ca="1">IF((OFFSET($A$1, 77 - 1, 63 - 1)) &gt;= (OFFSET($A$1, 135 - 1, 7 - 1)), "1","0")</f>
        <v>0</v>
      </c>
      <c r="BN77">
        <f ca="1" xml:space="preserve"> IF( AND( OFFSET($A$1, 77 - 1, 64 - 1) = "1", OFFSET($A$1, 77 - 1, 65 - 1) = "1" ), 1, IF( AND( OFFSET($A$1, 77 - 1, 64 - 1) = "1", OFFSET($A$1, 77 - 1, 65 - 1) = "0" ), 2, IF( AND( OFFSET($A$1, 77 - 1, 64 - 1) = "0", OFFSET($A$1, 77 - 1, 65 - 1) = "1" ), 3, 4 ) ) )</f>
        <v>4</v>
      </c>
    </row>
    <row r="78" spans="3:66" x14ac:dyDescent="0.2">
      <c r="C78" s="9">
        <v>9</v>
      </c>
      <c r="D78" s="9">
        <v>3</v>
      </c>
      <c r="E78" s="9">
        <v>4</v>
      </c>
      <c r="F78" s="9">
        <v>17</v>
      </c>
      <c r="G78" s="9">
        <v>18</v>
      </c>
      <c r="H78" s="9" t="s">
        <v>9</v>
      </c>
      <c r="I78" s="9">
        <v>4.5</v>
      </c>
      <c r="J78" s="9">
        <v>629</v>
      </c>
      <c r="K78" s="9">
        <v>3.3333333333333548E-3</v>
      </c>
      <c r="L78" s="9">
        <v>0</v>
      </c>
      <c r="M78" s="9" t="s">
        <v>142</v>
      </c>
      <c r="BF78" s="3">
        <v>0</v>
      </c>
      <c r="BG78" s="3" t="str">
        <f>"0"</f>
        <v>0</v>
      </c>
      <c r="BH78" t="str">
        <f ca="1">IF((OFFSET($A$1, 78 - 1, 58 - 1)) &gt;= (OFFSET($A$1, 96 - 1, 7 - 1)), "1","0")</f>
        <v>0</v>
      </c>
      <c r="BI78">
        <f ca="1" xml:space="preserve"> IF( AND( OFFSET($A$1, 78 - 1, 59 - 1) = "1", OFFSET($A$1, 78 - 1, 60 - 1) = "1" ), 1, IF( AND( OFFSET($A$1, 78 - 1, 59 - 1) = "1", OFFSET($A$1, 78 - 1, 60 - 1) = "0" ), 2, IF( AND( OFFSET($A$1, 78 - 1, 59 - 1) = "0", OFFSET($A$1, 78 - 1, 60 - 1) = "1" ), 3, 4 ) ) )</f>
        <v>4</v>
      </c>
      <c r="BK78" s="3">
        <v>6.6350710900473939E-2</v>
      </c>
      <c r="BL78" s="3" t="str">
        <f>"0"</f>
        <v>0</v>
      </c>
      <c r="BM78" t="str">
        <f ca="1">IF((OFFSET($A$1, 78 - 1, 63 - 1)) &gt;= (OFFSET($A$1, 135 - 1, 7 - 1)), "1","0")</f>
        <v>0</v>
      </c>
      <c r="BN78">
        <f ca="1" xml:space="preserve"> IF( AND( OFFSET($A$1, 78 - 1, 64 - 1) = "1", OFFSET($A$1, 78 - 1, 65 - 1) = "1" ), 1, IF( AND( OFFSET($A$1, 78 - 1, 64 - 1) = "1", OFFSET($A$1, 78 - 1, 65 - 1) = "0" ), 2, IF( AND( OFFSET($A$1, 78 - 1, 64 - 1) = "0", OFFSET($A$1, 78 - 1, 65 - 1) = "1" ), 3, 4 ) ) )</f>
        <v>4</v>
      </c>
    </row>
    <row r="79" spans="3:66" x14ac:dyDescent="0.2">
      <c r="C79" s="9">
        <v>10</v>
      </c>
      <c r="D79" s="9">
        <v>3</v>
      </c>
      <c r="E79" s="9">
        <v>4</v>
      </c>
      <c r="F79" s="9" t="s">
        <v>141</v>
      </c>
      <c r="G79" s="9" t="s">
        <v>141</v>
      </c>
      <c r="H79" s="9" t="s">
        <v>141</v>
      </c>
      <c r="I79" s="9" t="s">
        <v>141</v>
      </c>
      <c r="J79" s="9">
        <v>100</v>
      </c>
      <c r="K79" s="9">
        <v>5.3333333333333288E-3</v>
      </c>
      <c r="L79" s="9">
        <v>0</v>
      </c>
      <c r="M79" s="9" t="s">
        <v>143</v>
      </c>
      <c r="BF79" s="3">
        <v>0.36</v>
      </c>
      <c r="BG79" s="3" t="str">
        <f>"0"</f>
        <v>0</v>
      </c>
      <c r="BH79" t="str">
        <f ca="1">IF((OFFSET($A$1, 79 - 1, 58 - 1)) &gt;= (OFFSET($A$1, 96 - 1, 7 - 1)), "1","0")</f>
        <v>0</v>
      </c>
      <c r="BI79">
        <f ca="1" xml:space="preserve"> IF( AND( OFFSET($A$1, 79 - 1, 59 - 1) = "1", OFFSET($A$1, 79 - 1, 60 - 1) = "1" ), 1, IF( AND( OFFSET($A$1, 79 - 1, 59 - 1) = "1", OFFSET($A$1, 79 - 1, 60 - 1) = "0" ), 2, IF( AND( OFFSET($A$1, 79 - 1, 59 - 1) = "0", OFFSET($A$1, 79 - 1, 60 - 1) = "1" ), 3, 4 ) ) )</f>
        <v>4</v>
      </c>
      <c r="BK79" s="3">
        <v>6.6350710900473939E-2</v>
      </c>
      <c r="BL79" s="3" t="str">
        <f>"1"</f>
        <v>1</v>
      </c>
      <c r="BM79" t="str">
        <f ca="1">IF((OFFSET($A$1, 79 - 1, 63 - 1)) &gt;= (OFFSET($A$1, 135 - 1, 7 - 1)), "1","0")</f>
        <v>0</v>
      </c>
      <c r="BN79">
        <f ca="1" xml:space="preserve"> IF( AND( OFFSET($A$1, 79 - 1, 64 - 1) = "1", OFFSET($A$1, 79 - 1, 65 - 1) = "1" ), 1, IF( AND( OFFSET($A$1, 79 - 1, 64 - 1) = "1", OFFSET($A$1, 79 - 1, 65 - 1) = "0" ), 2, IF( AND( OFFSET($A$1, 79 - 1, 64 - 1) = "0", OFFSET($A$1, 79 - 1, 65 - 1) = "1" ), 3, 4 ) ) )</f>
        <v>2</v>
      </c>
    </row>
    <row r="80" spans="3:66" x14ac:dyDescent="0.2">
      <c r="C80" s="9">
        <v>11</v>
      </c>
      <c r="D80" s="9">
        <v>3</v>
      </c>
      <c r="E80" s="9">
        <v>5</v>
      </c>
      <c r="F80" s="9">
        <v>19</v>
      </c>
      <c r="G80" s="9">
        <v>20</v>
      </c>
      <c r="H80" s="9" t="s">
        <v>9</v>
      </c>
      <c r="I80" s="9">
        <v>2.5</v>
      </c>
      <c r="J80" s="9">
        <v>158</v>
      </c>
      <c r="K80" s="9">
        <v>2.6666666666666644E-3</v>
      </c>
      <c r="L80" s="9">
        <v>0</v>
      </c>
      <c r="M80" s="9" t="s">
        <v>142</v>
      </c>
      <c r="BF80" s="3">
        <v>0</v>
      </c>
      <c r="BG80" s="3" t="str">
        <f>"0"</f>
        <v>0</v>
      </c>
      <c r="BH80" t="str">
        <f ca="1">IF((OFFSET($A$1, 80 - 1, 58 - 1)) &gt;= (OFFSET($A$1, 96 - 1, 7 - 1)), "1","0")</f>
        <v>0</v>
      </c>
      <c r="BI80">
        <f ca="1" xml:space="preserve"> IF( AND( OFFSET($A$1, 80 - 1, 59 - 1) = "1", OFFSET($A$1, 80 - 1, 60 - 1) = "1" ), 1, IF( AND( OFFSET($A$1, 80 - 1, 59 - 1) = "1", OFFSET($A$1, 80 - 1, 60 - 1) = "0" ), 2, IF( AND( OFFSET($A$1, 80 - 1, 59 - 1) = "0", OFFSET($A$1, 80 - 1, 60 - 1) = "1" ), 3, 4 ) ) )</f>
        <v>4</v>
      </c>
      <c r="BK80" s="3">
        <v>6.6350710900473939E-2</v>
      </c>
      <c r="BL80" s="3" t="str">
        <f>"1"</f>
        <v>1</v>
      </c>
      <c r="BM80" t="str">
        <f ca="1">IF((OFFSET($A$1, 80 - 1, 63 - 1)) &gt;= (OFFSET($A$1, 135 - 1, 7 - 1)), "1","0")</f>
        <v>0</v>
      </c>
      <c r="BN80">
        <f ca="1" xml:space="preserve"> IF( AND( OFFSET($A$1, 80 - 1, 64 - 1) = "1", OFFSET($A$1, 80 - 1, 65 - 1) = "1" ), 1, IF( AND( OFFSET($A$1, 80 - 1, 64 - 1) = "1", OFFSET($A$1, 80 - 1, 65 - 1) = "0" ), 2, IF( AND( OFFSET($A$1, 80 - 1, 64 - 1) = "0", OFFSET($A$1, 80 - 1, 65 - 1) = "1" ), 3, 4 ) ) )</f>
        <v>2</v>
      </c>
    </row>
    <row r="81" spans="2:66" x14ac:dyDescent="0.2">
      <c r="C81" s="9">
        <v>12</v>
      </c>
      <c r="D81" s="9">
        <v>3</v>
      </c>
      <c r="E81" s="9">
        <v>5</v>
      </c>
      <c r="F81" s="9" t="s">
        <v>141</v>
      </c>
      <c r="G81" s="9" t="s">
        <v>141</v>
      </c>
      <c r="H81" s="9" t="s">
        <v>141</v>
      </c>
      <c r="I81" s="9" t="s">
        <v>141</v>
      </c>
      <c r="J81" s="9">
        <v>100</v>
      </c>
      <c r="K81" s="9">
        <v>2.4E-2</v>
      </c>
      <c r="L81" s="9">
        <v>0</v>
      </c>
      <c r="M81" s="9" t="s">
        <v>143</v>
      </c>
      <c r="BF81" s="3">
        <v>0.34722222222222221</v>
      </c>
      <c r="BG81" s="3" t="str">
        <f>"1"</f>
        <v>1</v>
      </c>
      <c r="BH81" t="str">
        <f ca="1">IF((OFFSET($A$1, 81 - 1, 58 - 1)) &gt;= (OFFSET($A$1, 96 - 1, 7 - 1)), "1","0")</f>
        <v>0</v>
      </c>
      <c r="BI81">
        <f ca="1" xml:space="preserve"> IF( AND( OFFSET($A$1, 81 - 1, 59 - 1) = "1", OFFSET($A$1, 81 - 1, 60 - 1) = "1" ), 1, IF( AND( OFFSET($A$1, 81 - 1, 59 - 1) = "1", OFFSET($A$1, 81 - 1, 60 - 1) = "0" ), 2, IF( AND( OFFSET($A$1, 81 - 1, 59 - 1) = "0", OFFSET($A$1, 81 - 1, 60 - 1) = "1" ), 3, 4 ) ) )</f>
        <v>2</v>
      </c>
      <c r="BK81" s="3">
        <v>0.90579710144927539</v>
      </c>
      <c r="BL81" s="3" t="str">
        <f>"1"</f>
        <v>1</v>
      </c>
      <c r="BM81" t="str">
        <f ca="1">IF((OFFSET($A$1, 81 - 1, 63 - 1)) &gt;= (OFFSET($A$1, 135 - 1, 7 - 1)), "1","0")</f>
        <v>1</v>
      </c>
      <c r="BN81">
        <f ca="1" xml:space="preserve"> IF( AND( OFFSET($A$1, 81 - 1, 64 - 1) = "1", OFFSET($A$1, 81 - 1, 65 - 1) = "1" ), 1, IF( AND( OFFSET($A$1, 81 - 1, 64 - 1) = "1", OFFSET($A$1, 81 - 1, 65 - 1) = "0" ), 2, IF( AND( OFFSET($A$1, 81 - 1, 64 - 1) = "0", OFFSET($A$1, 81 - 1, 65 - 1) = "1" ), 3, 4 ) ) )</f>
        <v>1</v>
      </c>
    </row>
    <row r="82" spans="2:66" x14ac:dyDescent="0.2">
      <c r="C82" s="9">
        <v>13</v>
      </c>
      <c r="D82" s="9">
        <v>3</v>
      </c>
      <c r="E82" s="9">
        <v>6</v>
      </c>
      <c r="F82" s="9" t="s">
        <v>141</v>
      </c>
      <c r="G82" s="9" t="s">
        <v>141</v>
      </c>
      <c r="H82" s="9" t="s">
        <v>141</v>
      </c>
      <c r="I82" s="9" t="s">
        <v>141</v>
      </c>
      <c r="J82" s="9">
        <v>138</v>
      </c>
      <c r="K82" s="9">
        <v>8.6666666666666697E-3</v>
      </c>
      <c r="L82" s="9">
        <v>1</v>
      </c>
      <c r="M82" s="9" t="s">
        <v>143</v>
      </c>
      <c r="BF82" s="3">
        <v>0.36</v>
      </c>
      <c r="BG82" s="3" t="str">
        <f>"1"</f>
        <v>1</v>
      </c>
      <c r="BH82" t="str">
        <f ca="1">IF((OFFSET($A$1, 82 - 1, 58 - 1)) &gt;= (OFFSET($A$1, 96 - 1, 7 - 1)), "1","0")</f>
        <v>0</v>
      </c>
      <c r="BI82">
        <f ca="1" xml:space="preserve"> IF( AND( OFFSET($A$1, 82 - 1, 59 - 1) = "1", OFFSET($A$1, 82 - 1, 60 - 1) = "1" ), 1, IF( AND( OFFSET($A$1, 82 - 1, 59 - 1) = "1", OFFSET($A$1, 82 - 1, 60 - 1) = "0" ), 2, IF( AND( OFFSET($A$1, 82 - 1, 59 - 1) = "0", OFFSET($A$1, 82 - 1, 60 - 1) = "1" ), 3, 4 ) ) )</f>
        <v>2</v>
      </c>
      <c r="BK82" s="3">
        <v>0.36</v>
      </c>
      <c r="BL82" s="3" t="str">
        <f>"1"</f>
        <v>1</v>
      </c>
      <c r="BM82" t="str">
        <f ca="1">IF((OFFSET($A$1, 82 - 1, 63 - 1)) &gt;= (OFFSET($A$1, 135 - 1, 7 - 1)), "1","0")</f>
        <v>0</v>
      </c>
      <c r="BN82">
        <f ca="1" xml:space="preserve"> IF( AND( OFFSET($A$1, 82 - 1, 64 - 1) = "1", OFFSET($A$1, 82 - 1, 65 - 1) = "1" ), 1, IF( AND( OFFSET($A$1, 82 - 1, 64 - 1) = "1", OFFSET($A$1, 82 - 1, 65 - 1) = "0" ), 2, IF( AND( OFFSET($A$1, 82 - 1, 64 - 1) = "0", OFFSET($A$1, 82 - 1, 65 - 1) = "1" ), 3, 4 ) ) )</f>
        <v>2</v>
      </c>
    </row>
    <row r="83" spans="2:66" x14ac:dyDescent="0.2">
      <c r="C83" s="9">
        <v>14</v>
      </c>
      <c r="D83" s="9">
        <v>3</v>
      </c>
      <c r="E83" s="9">
        <v>6</v>
      </c>
      <c r="F83" s="9" t="s">
        <v>141</v>
      </c>
      <c r="G83" s="9" t="s">
        <v>141</v>
      </c>
      <c r="H83" s="9" t="s">
        <v>141</v>
      </c>
      <c r="I83" s="9" t="s">
        <v>141</v>
      </c>
      <c r="J83" s="9">
        <v>49</v>
      </c>
      <c r="K83" s="9">
        <v>1.2666666666666663E-2</v>
      </c>
      <c r="L83" s="9">
        <v>0</v>
      </c>
      <c r="M83" s="9" t="s">
        <v>143</v>
      </c>
      <c r="BF83" s="3">
        <v>0</v>
      </c>
      <c r="BG83" s="3" t="str">
        <f t="shared" ref="BG83:BG90" si="5">"0"</f>
        <v>0</v>
      </c>
      <c r="BH83" t="str">
        <f ca="1">IF((OFFSET($A$1, 83 - 1, 58 - 1)) &gt;= (OFFSET($A$1, 96 - 1, 7 - 1)), "1","0")</f>
        <v>0</v>
      </c>
      <c r="BI83">
        <f ca="1" xml:space="preserve"> IF( AND( OFFSET($A$1, 83 - 1, 59 - 1) = "1", OFFSET($A$1, 83 - 1, 60 - 1) = "1" ), 1, IF( AND( OFFSET($A$1, 83 - 1, 59 - 1) = "1", OFFSET($A$1, 83 - 1, 60 - 1) = "0" ), 2, IF( AND( OFFSET($A$1, 83 - 1, 59 - 1) = "0", OFFSET($A$1, 83 - 1, 60 - 1) = "1" ), 3, 4 ) ) )</f>
        <v>4</v>
      </c>
      <c r="BK83" s="3">
        <v>0.38775510204081637</v>
      </c>
      <c r="BL83" s="3" t="str">
        <f t="shared" ref="BL83:BL98" si="6">"0"</f>
        <v>0</v>
      </c>
      <c r="BM83" t="str">
        <f ca="1">IF((OFFSET($A$1, 83 - 1, 63 - 1)) &gt;= (OFFSET($A$1, 135 - 1, 7 - 1)), "1","0")</f>
        <v>0</v>
      </c>
      <c r="BN83">
        <f ca="1" xml:space="preserve"> IF( AND( OFFSET($A$1, 83 - 1, 64 - 1) = "1", OFFSET($A$1, 83 - 1, 65 - 1) = "1" ), 1, IF( AND( OFFSET($A$1, 83 - 1, 64 - 1) = "1", OFFSET($A$1, 83 - 1, 65 - 1) = "0" ), 2, IF( AND( OFFSET($A$1, 83 - 1, 64 - 1) = "0", OFFSET($A$1, 83 - 1, 65 - 1) = "1" ), 3, 4 ) ) )</f>
        <v>4</v>
      </c>
    </row>
    <row r="84" spans="2:66" x14ac:dyDescent="0.2">
      <c r="C84" s="9">
        <v>15</v>
      </c>
      <c r="D84" s="9">
        <v>4</v>
      </c>
      <c r="E84" s="9">
        <v>7</v>
      </c>
      <c r="F84" s="9">
        <v>21</v>
      </c>
      <c r="G84" s="9">
        <v>22</v>
      </c>
      <c r="H84" s="9" t="s">
        <v>5</v>
      </c>
      <c r="I84" s="9">
        <v>7.5</v>
      </c>
      <c r="J84" s="9">
        <v>189</v>
      </c>
      <c r="K84" s="9">
        <v>6.6666666666667651E-4</v>
      </c>
      <c r="L84" s="9">
        <v>0</v>
      </c>
      <c r="M84" s="9" t="s">
        <v>142</v>
      </c>
      <c r="BF84" s="3">
        <v>0</v>
      </c>
      <c r="BG84" s="3" t="str">
        <f t="shared" si="5"/>
        <v>0</v>
      </c>
      <c r="BH84" t="str">
        <f ca="1">IF((OFFSET($A$1, 84 - 1, 58 - 1)) &gt;= (OFFSET($A$1, 96 - 1, 7 - 1)), "1","0")</f>
        <v>0</v>
      </c>
      <c r="BI84">
        <f ca="1" xml:space="preserve"> IF( AND( OFFSET($A$1, 84 - 1, 59 - 1) = "1", OFFSET($A$1, 84 - 1, 60 - 1) = "1" ), 1, IF( AND( OFFSET($A$1, 84 - 1, 59 - 1) = "1", OFFSET($A$1, 84 - 1, 60 - 1) = "0" ), 2, IF( AND( OFFSET($A$1, 84 - 1, 59 - 1) = "0", OFFSET($A$1, 84 - 1, 60 - 1) = "1" ), 3, 4 ) ) )</f>
        <v>4</v>
      </c>
      <c r="BK84" s="3">
        <v>6.6350710900473939E-2</v>
      </c>
      <c r="BL84" s="3" t="str">
        <f t="shared" si="6"/>
        <v>0</v>
      </c>
      <c r="BM84" t="str">
        <f ca="1">IF((OFFSET($A$1, 84 - 1, 63 - 1)) &gt;= (OFFSET($A$1, 135 - 1, 7 - 1)), "1","0")</f>
        <v>0</v>
      </c>
      <c r="BN84">
        <f ca="1" xml:space="preserve"> IF( AND( OFFSET($A$1, 84 - 1, 64 - 1) = "1", OFFSET($A$1, 84 - 1, 65 - 1) = "1" ), 1, IF( AND( OFFSET($A$1, 84 - 1, 64 - 1) = "1", OFFSET($A$1, 84 - 1, 65 - 1) = "0" ), 2, IF( AND( OFFSET($A$1, 84 - 1, 64 - 1) = "0", OFFSET($A$1, 84 - 1, 65 - 1) = "1" ), 3, 4 ) ) )</f>
        <v>4</v>
      </c>
    </row>
    <row r="85" spans="2:66" x14ac:dyDescent="0.2">
      <c r="C85" s="9">
        <v>16</v>
      </c>
      <c r="D85" s="9">
        <v>4</v>
      </c>
      <c r="E85" s="9">
        <v>7</v>
      </c>
      <c r="F85" s="9" t="s">
        <v>141</v>
      </c>
      <c r="G85" s="9" t="s">
        <v>141</v>
      </c>
      <c r="H85" s="9" t="s">
        <v>141</v>
      </c>
      <c r="I85" s="9" t="s">
        <v>141</v>
      </c>
      <c r="J85" s="9">
        <v>72</v>
      </c>
      <c r="K85" s="9">
        <v>1.666666666666667E-2</v>
      </c>
      <c r="L85" s="9">
        <v>0</v>
      </c>
      <c r="M85" s="9" t="s">
        <v>143</v>
      </c>
      <c r="BF85" s="3">
        <v>0</v>
      </c>
      <c r="BG85" s="3" t="str">
        <f t="shared" si="5"/>
        <v>0</v>
      </c>
      <c r="BH85" t="str">
        <f ca="1">IF((OFFSET($A$1, 85 - 1, 58 - 1)) &gt;= (OFFSET($A$1, 96 - 1, 7 - 1)), "1","0")</f>
        <v>0</v>
      </c>
      <c r="BI85">
        <f ca="1" xml:space="preserve"> IF( AND( OFFSET($A$1, 85 - 1, 59 - 1) = "1", OFFSET($A$1, 85 - 1, 60 - 1) = "1" ), 1, IF( AND( OFFSET($A$1, 85 - 1, 59 - 1) = "1", OFFSET($A$1, 85 - 1, 60 - 1) = "0" ), 2, IF( AND( OFFSET($A$1, 85 - 1, 59 - 1) = "0", OFFSET($A$1, 85 - 1, 60 - 1) = "1" ), 3, 4 ) ) )</f>
        <v>4</v>
      </c>
      <c r="BK85" s="3">
        <v>6.6350710900473939E-2</v>
      </c>
      <c r="BL85" s="3" t="str">
        <f t="shared" si="6"/>
        <v>0</v>
      </c>
      <c r="BM85" t="str">
        <f ca="1">IF((OFFSET($A$1, 85 - 1, 63 - 1)) &gt;= (OFFSET($A$1, 135 - 1, 7 - 1)), "1","0")</f>
        <v>0</v>
      </c>
      <c r="BN85">
        <f ca="1" xml:space="preserve"> IF( AND( OFFSET($A$1, 85 - 1, 64 - 1) = "1", OFFSET($A$1, 85 - 1, 65 - 1) = "1" ), 1, IF( AND( OFFSET($A$1, 85 - 1, 64 - 1) = "1", OFFSET($A$1, 85 - 1, 65 - 1) = "0" ), 2, IF( AND( OFFSET($A$1, 85 - 1, 64 - 1) = "0", OFFSET($A$1, 85 - 1, 65 - 1) = "1" ), 3, 4 ) ) )</f>
        <v>4</v>
      </c>
    </row>
    <row r="86" spans="2:66" x14ac:dyDescent="0.2">
      <c r="C86" s="9">
        <v>17</v>
      </c>
      <c r="D86" s="9">
        <v>4</v>
      </c>
      <c r="E86" s="9">
        <v>9</v>
      </c>
      <c r="F86" s="9" t="s">
        <v>141</v>
      </c>
      <c r="G86" s="9" t="s">
        <v>141</v>
      </c>
      <c r="H86" s="9" t="s">
        <v>141</v>
      </c>
      <c r="I86" s="9" t="s">
        <v>141</v>
      </c>
      <c r="J86" s="9">
        <v>494</v>
      </c>
      <c r="K86" s="9">
        <v>0</v>
      </c>
      <c r="L86" s="9">
        <v>0</v>
      </c>
      <c r="M86" s="9" t="s">
        <v>143</v>
      </c>
      <c r="BF86" s="3">
        <v>0</v>
      </c>
      <c r="BG86" s="3" t="str">
        <f t="shared" si="5"/>
        <v>0</v>
      </c>
      <c r="BH86" t="str">
        <f ca="1">IF((OFFSET($A$1, 86 - 1, 58 - 1)) &gt;= (OFFSET($A$1, 96 - 1, 7 - 1)), "1","0")</f>
        <v>0</v>
      </c>
      <c r="BI86">
        <f ca="1" xml:space="preserve"> IF( AND( OFFSET($A$1, 86 - 1, 59 - 1) = "1", OFFSET($A$1, 86 - 1, 60 - 1) = "1" ), 1, IF( AND( OFFSET($A$1, 86 - 1, 59 - 1) = "1", OFFSET($A$1, 86 - 1, 60 - 1) = "0" ), 2, IF( AND( OFFSET($A$1, 86 - 1, 59 - 1) = "0", OFFSET($A$1, 86 - 1, 60 - 1) = "1" ), 3, 4 ) ) )</f>
        <v>4</v>
      </c>
      <c r="BK86" s="3">
        <v>0.36</v>
      </c>
      <c r="BL86" s="3" t="str">
        <f t="shared" si="6"/>
        <v>0</v>
      </c>
      <c r="BM86" t="str">
        <f ca="1">IF((OFFSET($A$1, 86 - 1, 63 - 1)) &gt;= (OFFSET($A$1, 135 - 1, 7 - 1)), "1","0")</f>
        <v>0</v>
      </c>
      <c r="BN86">
        <f ca="1" xml:space="preserve"> IF( AND( OFFSET($A$1, 86 - 1, 64 - 1) = "1", OFFSET($A$1, 86 - 1, 65 - 1) = "1" ), 1, IF( AND( OFFSET($A$1, 86 - 1, 64 - 1) = "1", OFFSET($A$1, 86 - 1, 65 - 1) = "0" ), 2, IF( AND( OFFSET($A$1, 86 - 1, 64 - 1) = "0", OFFSET($A$1, 86 - 1, 65 - 1) = "1" ), 3, 4 ) ) )</f>
        <v>4</v>
      </c>
    </row>
    <row r="87" spans="2:66" x14ac:dyDescent="0.2">
      <c r="C87" s="9">
        <v>18</v>
      </c>
      <c r="D87" s="9">
        <v>4</v>
      </c>
      <c r="E87" s="9">
        <v>9</v>
      </c>
      <c r="F87" s="9" t="s">
        <v>141</v>
      </c>
      <c r="G87" s="9" t="s">
        <v>141</v>
      </c>
      <c r="H87" s="9" t="s">
        <v>141</v>
      </c>
      <c r="I87" s="9" t="s">
        <v>141</v>
      </c>
      <c r="J87" s="9">
        <v>135</v>
      </c>
      <c r="K87" s="9">
        <v>3.333333333333327E-3</v>
      </c>
      <c r="L87" s="9">
        <v>0</v>
      </c>
      <c r="M87" s="9" t="s">
        <v>143</v>
      </c>
      <c r="BF87" s="3">
        <v>0</v>
      </c>
      <c r="BG87" s="3" t="str">
        <f t="shared" si="5"/>
        <v>0</v>
      </c>
      <c r="BH87" t="str">
        <f ca="1">IF((OFFSET($A$1, 87 - 1, 58 - 1)) &gt;= (OFFSET($A$1, 96 - 1, 7 - 1)), "1","0")</f>
        <v>0</v>
      </c>
      <c r="BI87">
        <f ca="1" xml:space="preserve"> IF( AND( OFFSET($A$1, 87 - 1, 59 - 1) = "1", OFFSET($A$1, 87 - 1, 60 - 1) = "1" ), 1, IF( AND( OFFSET($A$1, 87 - 1, 59 - 1) = "1", OFFSET($A$1, 87 - 1, 60 - 1) = "0" ), 2, IF( AND( OFFSET($A$1, 87 - 1, 59 - 1) = "0", OFFSET($A$1, 87 - 1, 60 - 1) = "1" ), 3, 4 ) ) )</f>
        <v>4</v>
      </c>
      <c r="BK87" s="3">
        <v>6.6350710900473939E-2</v>
      </c>
      <c r="BL87" s="3" t="str">
        <f t="shared" si="6"/>
        <v>0</v>
      </c>
      <c r="BM87" t="str">
        <f ca="1">IF((OFFSET($A$1, 87 - 1, 63 - 1)) &gt;= (OFFSET($A$1, 135 - 1, 7 - 1)), "1","0")</f>
        <v>0</v>
      </c>
      <c r="BN87">
        <f ca="1" xml:space="preserve"> IF( AND( OFFSET($A$1, 87 - 1, 64 - 1) = "1", OFFSET($A$1, 87 - 1, 65 - 1) = "1" ), 1, IF( AND( OFFSET($A$1, 87 - 1, 64 - 1) = "1", OFFSET($A$1, 87 - 1, 65 - 1) = "0" ), 2, IF( AND( OFFSET($A$1, 87 - 1, 64 - 1) = "0", OFFSET($A$1, 87 - 1, 65 - 1) = "1" ), 3, 4 ) ) )</f>
        <v>4</v>
      </c>
    </row>
    <row r="88" spans="2:66" x14ac:dyDescent="0.2">
      <c r="C88" s="9">
        <v>19</v>
      </c>
      <c r="D88" s="9">
        <v>4</v>
      </c>
      <c r="E88" s="9">
        <v>11</v>
      </c>
      <c r="F88" s="9" t="s">
        <v>141</v>
      </c>
      <c r="G88" s="9" t="s">
        <v>141</v>
      </c>
      <c r="H88" s="9" t="s">
        <v>141</v>
      </c>
      <c r="I88" s="9" t="s">
        <v>141</v>
      </c>
      <c r="J88" s="9">
        <v>121</v>
      </c>
      <c r="K88" s="9">
        <v>0</v>
      </c>
      <c r="L88" s="9">
        <v>0</v>
      </c>
      <c r="M88" s="9" t="s">
        <v>143</v>
      </c>
      <c r="BF88" s="3">
        <v>0</v>
      </c>
      <c r="BG88" s="3" t="str">
        <f t="shared" si="5"/>
        <v>0</v>
      </c>
      <c r="BH88" t="str">
        <f ca="1">IF((OFFSET($A$1, 88 - 1, 58 - 1)) &gt;= (OFFSET($A$1, 96 - 1, 7 - 1)), "1","0")</f>
        <v>0</v>
      </c>
      <c r="BI88">
        <f ca="1" xml:space="preserve"> IF( AND( OFFSET($A$1, 88 - 1, 59 - 1) = "1", OFFSET($A$1, 88 - 1, 60 - 1) = "1" ), 1, IF( AND( OFFSET($A$1, 88 - 1, 59 - 1) = "1", OFFSET($A$1, 88 - 1, 60 - 1) = "0" ), 2, IF( AND( OFFSET($A$1, 88 - 1, 59 - 1) = "0", OFFSET($A$1, 88 - 1, 60 - 1) = "1" ), 3, 4 ) ) )</f>
        <v>4</v>
      </c>
      <c r="BK88" s="3">
        <v>6.6350710900473939E-2</v>
      </c>
      <c r="BL88" s="3" t="str">
        <f t="shared" si="6"/>
        <v>0</v>
      </c>
      <c r="BM88" t="str">
        <f ca="1">IF((OFFSET($A$1, 88 - 1, 63 - 1)) &gt;= (OFFSET($A$1, 135 - 1, 7 - 1)), "1","0")</f>
        <v>0</v>
      </c>
      <c r="BN88">
        <f ca="1" xml:space="preserve"> IF( AND( OFFSET($A$1, 88 - 1, 64 - 1) = "1", OFFSET($A$1, 88 - 1, 65 - 1) = "1" ), 1, IF( AND( OFFSET($A$1, 88 - 1, 64 - 1) = "1", OFFSET($A$1, 88 - 1, 65 - 1) = "0" ), 2, IF( AND( OFFSET($A$1, 88 - 1, 64 - 1) = "0", OFFSET($A$1, 88 - 1, 65 - 1) = "1" ), 3, 4 ) ) )</f>
        <v>4</v>
      </c>
    </row>
    <row r="89" spans="2:66" x14ac:dyDescent="0.2">
      <c r="C89" s="9">
        <v>20</v>
      </c>
      <c r="D89" s="9">
        <v>4</v>
      </c>
      <c r="E89" s="9">
        <v>11</v>
      </c>
      <c r="F89" s="9" t="s">
        <v>141</v>
      </c>
      <c r="G89" s="9" t="s">
        <v>141</v>
      </c>
      <c r="H89" s="9" t="s">
        <v>141</v>
      </c>
      <c r="I89" s="9" t="s">
        <v>141</v>
      </c>
      <c r="J89" s="9">
        <v>37</v>
      </c>
      <c r="K89" s="9">
        <v>2.6666666666666679E-3</v>
      </c>
      <c r="L89" s="9">
        <v>0</v>
      </c>
      <c r="M89" s="9" t="s">
        <v>143</v>
      </c>
      <c r="BF89" s="3">
        <v>0</v>
      </c>
      <c r="BG89" s="3" t="str">
        <f t="shared" si="5"/>
        <v>0</v>
      </c>
      <c r="BH89" t="str">
        <f ca="1">IF((OFFSET($A$1, 89 - 1, 58 - 1)) &gt;= (OFFSET($A$1, 96 - 1, 7 - 1)), "1","0")</f>
        <v>0</v>
      </c>
      <c r="BI89">
        <f ca="1" xml:space="preserve"> IF( AND( OFFSET($A$1, 89 - 1, 59 - 1) = "1", OFFSET($A$1, 89 - 1, 60 - 1) = "1" ), 1, IF( AND( OFFSET($A$1, 89 - 1, 59 - 1) = "1", OFFSET($A$1, 89 - 1, 60 - 1) = "0" ), 2, IF( AND( OFFSET($A$1, 89 - 1, 59 - 1) = "0", OFFSET($A$1, 89 - 1, 60 - 1) = "1" ), 3, 4 ) ) )</f>
        <v>4</v>
      </c>
      <c r="BK89" s="3">
        <v>2.5316455696202531E-2</v>
      </c>
      <c r="BL89" s="3" t="str">
        <f t="shared" si="6"/>
        <v>0</v>
      </c>
      <c r="BM89" t="str">
        <f ca="1">IF((OFFSET($A$1, 89 - 1, 63 - 1)) &gt;= (OFFSET($A$1, 135 - 1, 7 - 1)), "1","0")</f>
        <v>0</v>
      </c>
      <c r="BN89">
        <f ca="1" xml:space="preserve"> IF( AND( OFFSET($A$1, 89 - 1, 64 - 1) = "1", OFFSET($A$1, 89 - 1, 65 - 1) = "1" ), 1, IF( AND( OFFSET($A$1, 89 - 1, 64 - 1) = "1", OFFSET($A$1, 89 - 1, 65 - 1) = "0" ), 2, IF( AND( OFFSET($A$1, 89 - 1, 64 - 1) = "0", OFFSET($A$1, 89 - 1, 65 - 1) = "1" ), 3, 4 ) ) )</f>
        <v>4</v>
      </c>
    </row>
    <row r="90" spans="2:66" x14ac:dyDescent="0.2">
      <c r="C90" s="9">
        <v>21</v>
      </c>
      <c r="D90" s="9">
        <v>5</v>
      </c>
      <c r="E90" s="9">
        <v>15</v>
      </c>
      <c r="F90" s="9" t="s">
        <v>141</v>
      </c>
      <c r="G90" s="9" t="s">
        <v>141</v>
      </c>
      <c r="H90" s="9" t="s">
        <v>141</v>
      </c>
      <c r="I90" s="9" t="s">
        <v>141</v>
      </c>
      <c r="J90" s="9">
        <v>166</v>
      </c>
      <c r="K90" s="9">
        <v>0</v>
      </c>
      <c r="L90" s="9">
        <v>0</v>
      </c>
      <c r="M90" s="9" t="s">
        <v>143</v>
      </c>
      <c r="BF90" s="3">
        <v>0</v>
      </c>
      <c r="BG90" s="3" t="str">
        <f t="shared" si="5"/>
        <v>0</v>
      </c>
      <c r="BH90" t="str">
        <f ca="1">IF((OFFSET($A$1, 90 - 1, 58 - 1)) &gt;= (OFFSET($A$1, 96 - 1, 7 - 1)), "1","0")</f>
        <v>0</v>
      </c>
      <c r="BI90">
        <f ca="1" xml:space="preserve"> IF( AND( OFFSET($A$1, 90 - 1, 59 - 1) = "1", OFFSET($A$1, 90 - 1, 60 - 1) = "1" ), 1, IF( AND( OFFSET($A$1, 90 - 1, 59 - 1) = "1", OFFSET($A$1, 90 - 1, 60 - 1) = "0" ), 2, IF( AND( OFFSET($A$1, 90 - 1, 59 - 1) = "0", OFFSET($A$1, 90 - 1, 60 - 1) = "1" ), 3, 4 ) ) )</f>
        <v>4</v>
      </c>
      <c r="BK90" s="3">
        <v>6.6350710900473939E-2</v>
      </c>
      <c r="BL90" s="3" t="str">
        <f t="shared" si="6"/>
        <v>0</v>
      </c>
      <c r="BM90" t="str">
        <f ca="1">IF((OFFSET($A$1, 90 - 1, 63 - 1)) &gt;= (OFFSET($A$1, 135 - 1, 7 - 1)), "1","0")</f>
        <v>0</v>
      </c>
      <c r="BN90">
        <f ca="1" xml:space="preserve"> IF( AND( OFFSET($A$1, 90 - 1, 64 - 1) = "1", OFFSET($A$1, 90 - 1, 65 - 1) = "1" ), 1, IF( AND( OFFSET($A$1, 90 - 1, 64 - 1) = "1", OFFSET($A$1, 90 - 1, 65 - 1) = "0" ), 2, IF( AND( OFFSET($A$1, 90 - 1, 64 - 1) = "0", OFFSET($A$1, 90 - 1, 65 - 1) = "1" ), 3, 4 ) ) )</f>
        <v>4</v>
      </c>
    </row>
    <row r="91" spans="2:66" x14ac:dyDescent="0.2">
      <c r="C91" s="9">
        <v>22</v>
      </c>
      <c r="D91" s="9">
        <v>5</v>
      </c>
      <c r="E91" s="9">
        <v>15</v>
      </c>
      <c r="F91" s="9" t="s">
        <v>141</v>
      </c>
      <c r="G91" s="9" t="s">
        <v>141</v>
      </c>
      <c r="H91" s="9" t="s">
        <v>141</v>
      </c>
      <c r="I91" s="9" t="s">
        <v>141</v>
      </c>
      <c r="J91" s="9">
        <v>23</v>
      </c>
      <c r="K91" s="9">
        <v>6.666666666666661E-4</v>
      </c>
      <c r="L91" s="9">
        <v>0</v>
      </c>
      <c r="M91" s="9" t="s">
        <v>143</v>
      </c>
      <c r="BF91" s="3">
        <v>0.90579710144927539</v>
      </c>
      <c r="BG91" s="3" t="str">
        <f>"1"</f>
        <v>1</v>
      </c>
      <c r="BH91" t="str">
        <f ca="1">IF((OFFSET($A$1, 91 - 1, 58 - 1)) &gt;= (OFFSET($A$1, 96 - 1, 7 - 1)), "1","0")</f>
        <v>1</v>
      </c>
      <c r="BI91">
        <f ca="1" xml:space="preserve"> IF( AND( OFFSET($A$1, 91 - 1, 59 - 1) = "1", OFFSET($A$1, 91 - 1, 60 - 1) = "1" ), 1, IF( AND( OFFSET($A$1, 91 - 1, 59 - 1) = "1", OFFSET($A$1, 91 - 1, 60 - 1) = "0" ), 2, IF( AND( OFFSET($A$1, 91 - 1, 59 - 1) = "0", OFFSET($A$1, 91 - 1, 60 - 1) = "1" ), 3, 4 ) ) )</f>
        <v>1</v>
      </c>
      <c r="BK91" s="3">
        <v>6.6350710900473939E-2</v>
      </c>
      <c r="BL91" s="3" t="str">
        <f t="shared" si="6"/>
        <v>0</v>
      </c>
      <c r="BM91" t="str">
        <f ca="1">IF((OFFSET($A$1, 91 - 1, 63 - 1)) &gt;= (OFFSET($A$1, 135 - 1, 7 - 1)), "1","0")</f>
        <v>0</v>
      </c>
      <c r="BN91">
        <f ca="1" xml:space="preserve"> IF( AND( OFFSET($A$1, 91 - 1, 64 - 1) = "1", OFFSET($A$1, 91 - 1, 65 - 1) = "1" ), 1, IF( AND( OFFSET($A$1, 91 - 1, 64 - 1) = "1", OFFSET($A$1, 91 - 1, 65 - 1) = "0" ), 2, IF( AND( OFFSET($A$1, 91 - 1, 64 - 1) = "0", OFFSET($A$1, 91 - 1, 65 - 1) = "1" ), 3, 4 ) ) )</f>
        <v>4</v>
      </c>
    </row>
    <row r="92" spans="2:66" x14ac:dyDescent="0.2">
      <c r="BF92" s="3">
        <v>0</v>
      </c>
      <c r="BG92" s="3" t="str">
        <f>"0"</f>
        <v>0</v>
      </c>
      <c r="BH92" t="str">
        <f ca="1">IF((OFFSET($A$1, 92 - 1, 58 - 1)) &gt;= (OFFSET($A$1, 96 - 1, 7 - 1)), "1","0")</f>
        <v>0</v>
      </c>
      <c r="BI92">
        <f ca="1" xml:space="preserve"> IF( AND( OFFSET($A$1, 92 - 1, 59 - 1) = "1", OFFSET($A$1, 92 - 1, 60 - 1) = "1" ), 1, IF( AND( OFFSET($A$1, 92 - 1, 59 - 1) = "1", OFFSET($A$1, 92 - 1, 60 - 1) = "0" ), 2, IF( AND( OFFSET($A$1, 92 - 1, 59 - 1) = "0", OFFSET($A$1, 92 - 1, 60 - 1) = "1" ), 3, 4 ) ) )</f>
        <v>4</v>
      </c>
      <c r="BK92" s="3">
        <v>2.5316455696202531E-2</v>
      </c>
      <c r="BL92" s="3" t="str">
        <f t="shared" si="6"/>
        <v>0</v>
      </c>
      <c r="BM92" t="str">
        <f ca="1">IF((OFFSET($A$1, 92 - 1, 63 - 1)) &gt;= (OFFSET($A$1, 135 - 1, 7 - 1)), "1","0")</f>
        <v>0</v>
      </c>
      <c r="BN92">
        <f ca="1" xml:space="preserve"> IF( AND( OFFSET($A$1, 92 - 1, 64 - 1) = "1", OFFSET($A$1, 92 - 1, 65 - 1) = "1" ), 1, IF( AND( OFFSET($A$1, 92 - 1, 64 - 1) = "1", OFFSET($A$1, 92 - 1, 65 - 1) = "0" ), 2, IF( AND( OFFSET($A$1, 92 - 1, 64 - 1) = "0", OFFSET($A$1, 92 - 1, 65 - 1) = "1" ), 3, 4 ) ) )</f>
        <v>4</v>
      </c>
    </row>
    <row r="93" spans="2:66" x14ac:dyDescent="0.2">
      <c r="BF93" s="3">
        <v>0</v>
      </c>
      <c r="BG93" s="3" t="str">
        <f>"0"</f>
        <v>0</v>
      </c>
      <c r="BH93" t="str">
        <f ca="1">IF((OFFSET($A$1, 93 - 1, 58 - 1)) &gt;= (OFFSET($A$1, 96 - 1, 7 - 1)), "1","0")</f>
        <v>0</v>
      </c>
      <c r="BI93">
        <f ca="1" xml:space="preserve"> IF( AND( OFFSET($A$1, 93 - 1, 59 - 1) = "1", OFFSET($A$1, 93 - 1, 60 - 1) = "1" ), 1, IF( AND( OFFSET($A$1, 93 - 1, 59 - 1) = "1", OFFSET($A$1, 93 - 1, 60 - 1) = "0" ), 2, IF( AND( OFFSET($A$1, 93 - 1, 59 - 1) = "0", OFFSET($A$1, 93 - 1, 60 - 1) = "1" ), 3, 4 ) ) )</f>
        <v>4</v>
      </c>
      <c r="BK93" s="3">
        <v>6.6350710900473939E-2</v>
      </c>
      <c r="BL93" s="3" t="str">
        <f t="shared" si="6"/>
        <v>0</v>
      </c>
      <c r="BM93" t="str">
        <f ca="1">IF((OFFSET($A$1, 93 - 1, 63 - 1)) &gt;= (OFFSET($A$1, 135 - 1, 7 - 1)), "1","0")</f>
        <v>0</v>
      </c>
      <c r="BN93">
        <f ca="1" xml:space="preserve"> IF( AND( OFFSET($A$1, 93 - 1, 64 - 1) = "1", OFFSET($A$1, 93 - 1, 65 - 1) = "1" ), 1, IF( AND( OFFSET($A$1, 93 - 1, 64 - 1) = "1", OFFSET($A$1, 93 - 1, 65 - 1) = "0" ), 2, IF( AND( OFFSET($A$1, 93 - 1, 64 - 1) = "0", OFFSET($A$1, 93 - 1, 65 - 1) = "1" ), 3, 4 ) ) )</f>
        <v>4</v>
      </c>
    </row>
    <row r="94" spans="2:66" ht="19" x14ac:dyDescent="0.25">
      <c r="B94" s="7" t="s">
        <v>144</v>
      </c>
      <c r="BF94" s="3">
        <v>0</v>
      </c>
      <c r="BG94" s="3" t="str">
        <f>"0"</f>
        <v>0</v>
      </c>
      <c r="BH94" t="str">
        <f ca="1">IF((OFFSET($A$1, 94 - 1, 58 - 1)) &gt;= (OFFSET($A$1, 96 - 1, 7 - 1)), "1","0")</f>
        <v>0</v>
      </c>
      <c r="BI94">
        <f ca="1" xml:space="preserve"> IF( AND( OFFSET($A$1, 94 - 1, 59 - 1) = "1", OFFSET($A$1, 94 - 1, 60 - 1) = "1" ), 1, IF( AND( OFFSET($A$1, 94 - 1, 59 - 1) = "1", OFFSET($A$1, 94 - 1, 60 - 1) = "0" ), 2, IF( AND( OFFSET($A$1, 94 - 1, 59 - 1) = "0", OFFSET($A$1, 94 - 1, 60 - 1) = "1" ), 3, 4 ) ) )</f>
        <v>4</v>
      </c>
      <c r="BK94" s="3">
        <v>6.6350710900473939E-2</v>
      </c>
      <c r="BL94" s="3" t="str">
        <f t="shared" si="6"/>
        <v>0</v>
      </c>
      <c r="BM94" t="str">
        <f ca="1">IF((OFFSET($A$1, 94 - 1, 63 - 1)) &gt;= (OFFSET($A$1, 135 - 1, 7 - 1)), "1","0")</f>
        <v>0</v>
      </c>
      <c r="BN94">
        <f ca="1" xml:space="preserve"> IF( AND( OFFSET($A$1, 94 - 1, 64 - 1) = "1", OFFSET($A$1, 94 - 1, 65 - 1) = "1" ), 1, IF( AND( OFFSET($A$1, 94 - 1, 64 - 1) = "1", OFFSET($A$1, 94 - 1, 65 - 1) = "0" ), 2, IF( AND( OFFSET($A$1, 94 - 1, 64 - 1) = "0", OFFSET($A$1, 94 - 1, 65 - 1) = "1" ), 3, 4 ) ) )</f>
        <v>4</v>
      </c>
    </row>
    <row r="95" spans="2:66" x14ac:dyDescent="0.2">
      <c r="BF95" s="3">
        <v>0</v>
      </c>
      <c r="BG95" s="3" t="str">
        <f>"0"</f>
        <v>0</v>
      </c>
      <c r="BH95" t="str">
        <f ca="1">IF((OFFSET($A$1, 95 - 1, 58 - 1)) &gt;= (OFFSET($A$1, 96 - 1, 7 - 1)), "1","0")</f>
        <v>0</v>
      </c>
      <c r="BI95">
        <f ca="1" xml:space="preserve"> IF( AND( OFFSET($A$1, 95 - 1, 59 - 1) = "1", OFFSET($A$1, 95 - 1, 60 - 1) = "1" ), 1, IF( AND( OFFSET($A$1, 95 - 1, 59 - 1) = "1", OFFSET($A$1, 95 - 1, 60 - 1) = "0" ), 2, IF( AND( OFFSET($A$1, 95 - 1, 59 - 1) = "0", OFFSET($A$1, 95 - 1, 60 - 1) = "1" ), 3, 4 ) ) )</f>
        <v>4</v>
      </c>
      <c r="BK95" s="3">
        <v>6.6350710900473939E-2</v>
      </c>
      <c r="BL95" s="3" t="str">
        <f t="shared" si="6"/>
        <v>0</v>
      </c>
      <c r="BM95" t="str">
        <f ca="1">IF((OFFSET($A$1, 95 - 1, 63 - 1)) &gt;= (OFFSET($A$1, 135 - 1, 7 - 1)), "1","0")</f>
        <v>0</v>
      </c>
      <c r="BN95">
        <f ca="1" xml:space="preserve"> IF( AND( OFFSET($A$1, 95 - 1, 64 - 1) = "1", OFFSET($A$1, 95 - 1, 65 - 1) = "1" ), 1, IF( AND( OFFSET($A$1, 95 - 1, 64 - 1) = "1", OFFSET($A$1, 95 - 1, 65 - 1) = "0" ), 2, IF( AND( OFFSET($A$1, 95 - 1, 64 - 1) = "0", OFFSET($A$1, 95 - 1, 65 - 1) = "1" ), 3, 4 ) ) )</f>
        <v>4</v>
      </c>
    </row>
    <row r="96" spans="2:66" x14ac:dyDescent="0.2">
      <c r="C96" s="24" t="s">
        <v>145</v>
      </c>
      <c r="D96" s="25"/>
      <c r="E96" s="25"/>
      <c r="F96" s="26"/>
      <c r="G96" s="11">
        <v>0.5</v>
      </c>
      <c r="H96" s="24" t="s">
        <v>146</v>
      </c>
      <c r="I96" s="25"/>
      <c r="J96" s="25"/>
      <c r="K96" s="25"/>
      <c r="L96" s="25"/>
      <c r="M96" s="26"/>
      <c r="BF96" s="3">
        <v>0.90579710144927539</v>
      </c>
      <c r="BG96" s="3" t="str">
        <f>"0"</f>
        <v>0</v>
      </c>
      <c r="BH96" t="str">
        <f ca="1">IF((OFFSET($A$1, 96 - 1, 58 - 1)) &gt;= (OFFSET($A$1, 96 - 1, 7 - 1)), "1","0")</f>
        <v>1</v>
      </c>
      <c r="BI96">
        <f ca="1" xml:space="preserve"> IF( AND( OFFSET($A$1, 96 - 1, 59 - 1) = "1", OFFSET($A$1, 96 - 1, 60 - 1) = "1" ), 1, IF( AND( OFFSET($A$1, 96 - 1, 59 - 1) = "1", OFFSET($A$1, 96 - 1, 60 - 1) = "0" ), 2, IF( AND( OFFSET($A$1, 96 - 1, 59 - 1) = "0", OFFSET($A$1, 96 - 1, 60 - 1) = "1" ), 3, 4 ) ) )</f>
        <v>3</v>
      </c>
      <c r="BK96" s="3">
        <v>2.5316455696202531E-2</v>
      </c>
      <c r="BL96" s="3" t="str">
        <f t="shared" si="6"/>
        <v>0</v>
      </c>
      <c r="BM96" t="str">
        <f ca="1">IF((OFFSET($A$1, 96 - 1, 63 - 1)) &gt;= (OFFSET($A$1, 135 - 1, 7 - 1)), "1","0")</f>
        <v>0</v>
      </c>
      <c r="BN96">
        <f ca="1" xml:space="preserve"> IF( AND( OFFSET($A$1, 96 - 1, 64 - 1) = "1", OFFSET($A$1, 96 - 1, 65 - 1) = "1" ), 1, IF( AND( OFFSET($A$1, 96 - 1, 64 - 1) = "1", OFFSET($A$1, 96 - 1, 65 - 1) = "0" ), 2, IF( AND( OFFSET($A$1, 96 - 1, 64 - 1) = "0", OFFSET($A$1, 96 - 1, 65 - 1) = "1" ), 3, 4 ) ) )</f>
        <v>4</v>
      </c>
    </row>
    <row r="97" spans="3:66" x14ac:dyDescent="0.2">
      <c r="BF97" s="3">
        <v>0.90579710144927539</v>
      </c>
      <c r="BG97" s="3" t="str">
        <f>"1"</f>
        <v>1</v>
      </c>
      <c r="BH97" t="str">
        <f ca="1">IF((OFFSET($A$1, 97 - 1, 58 - 1)) &gt;= (OFFSET($A$1, 96 - 1, 7 - 1)), "1","0")</f>
        <v>1</v>
      </c>
      <c r="BI97">
        <f ca="1" xml:space="preserve"> IF( AND( OFFSET($A$1, 97 - 1, 59 - 1) = "1", OFFSET($A$1, 97 - 1, 60 - 1) = "1" ), 1, IF( AND( OFFSET($A$1, 97 - 1, 59 - 1) = "1", OFFSET($A$1, 97 - 1, 60 - 1) = "0" ), 2, IF( AND( OFFSET($A$1, 97 - 1, 59 - 1) = "0", OFFSET($A$1, 97 - 1, 60 - 1) = "1" ), 3, 4 ) ) )</f>
        <v>1</v>
      </c>
      <c r="BK97" s="3">
        <v>0.38775510204081637</v>
      </c>
      <c r="BL97" s="3" t="str">
        <f t="shared" si="6"/>
        <v>0</v>
      </c>
      <c r="BM97" t="str">
        <f ca="1">IF((OFFSET($A$1, 97 - 1, 63 - 1)) &gt;= (OFFSET($A$1, 135 - 1, 7 - 1)), "1","0")</f>
        <v>0</v>
      </c>
      <c r="BN97">
        <f ca="1" xml:space="preserve"> IF( AND( OFFSET($A$1, 97 - 1, 64 - 1) = "1", OFFSET($A$1, 97 - 1, 65 - 1) = "1" ), 1, IF( AND( OFFSET($A$1, 97 - 1, 64 - 1) = "1", OFFSET($A$1, 97 - 1, 65 - 1) = "0" ), 2, IF( AND( OFFSET($A$1, 97 - 1, 64 - 1) = "0", OFFSET($A$1, 97 - 1, 65 - 1) = "1" ), 3, 4 ) ) )</f>
        <v>4</v>
      </c>
    </row>
    <row r="98" spans="3:66" ht="16" x14ac:dyDescent="0.2">
      <c r="C98" s="14" t="s">
        <v>147</v>
      </c>
      <c r="D98" s="15"/>
      <c r="E98" s="16"/>
      <c r="BF98" s="3">
        <v>0</v>
      </c>
      <c r="BG98" s="3" t="str">
        <f t="shared" ref="BG98:BG105" si="7">"0"</f>
        <v>0</v>
      </c>
      <c r="BH98" t="str">
        <f ca="1">IF((OFFSET($A$1, 98 - 1, 58 - 1)) &gt;= (OFFSET($A$1, 96 - 1, 7 - 1)), "1","0")</f>
        <v>0</v>
      </c>
      <c r="BI98">
        <f ca="1" xml:space="preserve"> IF( AND( OFFSET($A$1, 98 - 1, 59 - 1) = "1", OFFSET($A$1, 98 - 1, 60 - 1) = "1" ), 1, IF( AND( OFFSET($A$1, 98 - 1, 59 - 1) = "1", OFFSET($A$1, 98 - 1, 60 - 1) = "0" ), 2, IF( AND( OFFSET($A$1, 98 - 1, 59 - 1) = "0", OFFSET($A$1, 98 - 1, 60 - 1) = "1" ), 3, 4 ) ) )</f>
        <v>4</v>
      </c>
      <c r="BK98" s="3">
        <v>6.6350710900473939E-2</v>
      </c>
      <c r="BL98" s="3" t="str">
        <f t="shared" si="6"/>
        <v>0</v>
      </c>
      <c r="BM98" t="str">
        <f ca="1">IF((OFFSET($A$1, 98 - 1, 63 - 1)) &gt;= (OFFSET($A$1, 135 - 1, 7 - 1)), "1","0")</f>
        <v>0</v>
      </c>
      <c r="BN98">
        <f ca="1" xml:space="preserve"> IF( AND( OFFSET($A$1, 98 - 1, 64 - 1) = "1", OFFSET($A$1, 98 - 1, 65 - 1) = "1" ), 1, IF( AND( OFFSET($A$1, 98 - 1, 64 - 1) = "1", OFFSET($A$1, 98 - 1, 65 - 1) = "0" ), 2, IF( AND( OFFSET($A$1, 98 - 1, 64 - 1) = "0", OFFSET($A$1, 98 - 1, 65 - 1) = "1" ), 3, 4 ) ) )</f>
        <v>4</v>
      </c>
    </row>
    <row r="99" spans="3:66" x14ac:dyDescent="0.2">
      <c r="C99" s="4"/>
      <c r="D99" s="22" t="s">
        <v>148</v>
      </c>
      <c r="E99" s="23"/>
      <c r="BF99" s="3">
        <v>3.7037037037037042E-2</v>
      </c>
      <c r="BG99" s="3" t="str">
        <f t="shared" si="7"/>
        <v>0</v>
      </c>
      <c r="BH99" t="str">
        <f ca="1">IF((OFFSET($A$1, 99 - 1, 58 - 1)) &gt;= (OFFSET($A$1, 96 - 1, 7 - 1)), "1","0")</f>
        <v>0</v>
      </c>
      <c r="BI99">
        <f ca="1" xml:space="preserve"> IF( AND( OFFSET($A$1, 99 - 1, 59 - 1) = "1", OFFSET($A$1, 99 - 1, 60 - 1) = "1" ), 1, IF( AND( OFFSET($A$1, 99 - 1, 59 - 1) = "1", OFFSET($A$1, 99 - 1, 60 - 1) = "0" ), 2, IF( AND( OFFSET($A$1, 99 - 1, 59 - 1) = "0", OFFSET($A$1, 99 - 1, 60 - 1) = "1" ), 3, 4 ) ) )</f>
        <v>4</v>
      </c>
      <c r="BK99" s="3">
        <v>0.90579710144927539</v>
      </c>
      <c r="BL99" s="3" t="str">
        <f>"1"</f>
        <v>1</v>
      </c>
      <c r="BM99" t="str">
        <f ca="1">IF((OFFSET($A$1, 99 - 1, 63 - 1)) &gt;= (OFFSET($A$1, 135 - 1, 7 - 1)), "1","0")</f>
        <v>1</v>
      </c>
      <c r="BN99">
        <f ca="1" xml:space="preserve"> IF( AND( OFFSET($A$1, 99 - 1, 64 - 1) = "1", OFFSET($A$1, 99 - 1, 65 - 1) = "1" ), 1, IF( AND( OFFSET($A$1, 99 - 1, 64 - 1) = "1", OFFSET($A$1, 99 - 1, 65 - 1) = "0" ), 2, IF( AND( OFFSET($A$1, 99 - 1, 64 - 1) = "0", OFFSET($A$1, 99 - 1, 65 - 1) = "1" ), 3, 4 ) ) )</f>
        <v>1</v>
      </c>
    </row>
    <row r="100" spans="3:66" x14ac:dyDescent="0.2">
      <c r="C100" s="5" t="s">
        <v>149</v>
      </c>
      <c r="D100" s="4">
        <v>1</v>
      </c>
      <c r="E100" s="4">
        <v>0</v>
      </c>
      <c r="BF100" s="3">
        <v>0.38775510204081637</v>
      </c>
      <c r="BG100" s="3" t="str">
        <f t="shared" si="7"/>
        <v>0</v>
      </c>
      <c r="BH100" t="str">
        <f ca="1">IF((OFFSET($A$1, 100 - 1, 58 - 1)) &gt;= (OFFSET($A$1, 96 - 1, 7 - 1)), "1","0")</f>
        <v>0</v>
      </c>
      <c r="BI100">
        <f ca="1" xml:space="preserve"> IF( AND( OFFSET($A$1, 100 - 1, 59 - 1) = "1", OFFSET($A$1, 100 - 1, 60 - 1) = "1" ), 1, IF( AND( OFFSET($A$1, 100 - 1, 59 - 1) = "1", OFFSET($A$1, 100 - 1, 60 - 1) = "0" ), 2, IF( AND( OFFSET($A$1, 100 - 1, 59 - 1) = "0", OFFSET($A$1, 100 - 1, 60 - 1) = "1" ), 3, 4 ) ) )</f>
        <v>4</v>
      </c>
      <c r="BK100" s="3">
        <v>0.36</v>
      </c>
      <c r="BL100" s="3" t="str">
        <f>"1"</f>
        <v>1</v>
      </c>
      <c r="BM100" t="str">
        <f ca="1">IF((OFFSET($A$1, 100 - 1, 63 - 1)) &gt;= (OFFSET($A$1, 135 - 1, 7 - 1)), "1","0")</f>
        <v>0</v>
      </c>
      <c r="BN100">
        <f ca="1" xml:space="preserve"> IF( AND( OFFSET($A$1, 100 - 1, 64 - 1) = "1", OFFSET($A$1, 100 - 1, 65 - 1) = "1" ), 1, IF( AND( OFFSET($A$1, 100 - 1, 64 - 1) = "1", OFFSET($A$1, 100 - 1, 65 - 1) = "0" ), 2, IF( AND( OFFSET($A$1, 100 - 1, 64 - 1) = "0", OFFSET($A$1, 100 - 1, 65 - 1) = "1" ), 3, 4 ) ) )</f>
        <v>2</v>
      </c>
    </row>
    <row r="101" spans="3:66" x14ac:dyDescent="0.2">
      <c r="C101" s="5">
        <v>1</v>
      </c>
      <c r="D101" s="3">
        <f ca="1" xml:space="preserve"> COUNTIF( OFFSET($A$1, 1 - 1, 61 - 1, 1501, 1), 1 )</f>
        <v>125</v>
      </c>
      <c r="E101" s="3">
        <f ca="1" xml:space="preserve"> COUNTIF( OFFSET($A$1, 1 - 1, 61 - 1, 1501, 1), 2 )</f>
        <v>129</v>
      </c>
      <c r="BF101" s="3">
        <v>0</v>
      </c>
      <c r="BG101" s="3" t="str">
        <f t="shared" si="7"/>
        <v>0</v>
      </c>
      <c r="BH101" t="str">
        <f ca="1">IF((OFFSET($A$1, 101 - 1, 58 - 1)) &gt;= (OFFSET($A$1, 96 - 1, 7 - 1)), "1","0")</f>
        <v>0</v>
      </c>
      <c r="BI101">
        <f ca="1" xml:space="preserve"> IF( AND( OFFSET($A$1, 101 - 1, 59 - 1) = "1", OFFSET($A$1, 101 - 1, 60 - 1) = "1" ), 1, IF( AND( OFFSET($A$1, 101 - 1, 59 - 1) = "1", OFFSET($A$1, 101 - 1, 60 - 1) = "0" ), 2, IF( AND( OFFSET($A$1, 101 - 1, 59 - 1) = "0", OFFSET($A$1, 101 - 1, 60 - 1) = "1" ), 3, 4 ) ) )</f>
        <v>4</v>
      </c>
      <c r="BK101" s="3">
        <v>2.5316455696202531E-2</v>
      </c>
      <c r="BL101" s="3" t="str">
        <f t="shared" ref="BL101:BL107" si="8">"0"</f>
        <v>0</v>
      </c>
      <c r="BM101" t="str">
        <f ca="1">IF((OFFSET($A$1, 101 - 1, 63 - 1)) &gt;= (OFFSET($A$1, 135 - 1, 7 - 1)), "1","0")</f>
        <v>0</v>
      </c>
      <c r="BN101">
        <f ca="1" xml:space="preserve"> IF( AND( OFFSET($A$1, 101 - 1, 64 - 1) = "1", OFFSET($A$1, 101 - 1, 65 - 1) = "1" ), 1, IF( AND( OFFSET($A$1, 101 - 1, 64 - 1) = "1", OFFSET($A$1, 101 - 1, 65 - 1) = "0" ), 2, IF( AND( OFFSET($A$1, 101 - 1, 64 - 1) = "0", OFFSET($A$1, 101 - 1, 65 - 1) = "1" ), 3, 4 ) ) )</f>
        <v>4</v>
      </c>
    </row>
    <row r="102" spans="3:66" x14ac:dyDescent="0.2">
      <c r="C102" s="5">
        <v>0</v>
      </c>
      <c r="D102" s="3">
        <f ca="1" xml:space="preserve"> COUNTIF( OFFSET($A$1, 1 - 1, 61 - 1, 1501, 1), 3 )</f>
        <v>13</v>
      </c>
      <c r="E102" s="3">
        <f ca="1" xml:space="preserve"> COUNTIF( OFFSET($A$1, 1 - 1, 61 - 1, 1501, 1), 4 )</f>
        <v>1233</v>
      </c>
      <c r="BF102" s="3">
        <v>0</v>
      </c>
      <c r="BG102" s="3" t="str">
        <f t="shared" si="7"/>
        <v>0</v>
      </c>
      <c r="BH102" t="str">
        <f ca="1">IF((OFFSET($A$1, 102 - 1, 58 - 1)) &gt;= (OFFSET($A$1, 96 - 1, 7 - 1)), "1","0")</f>
        <v>0</v>
      </c>
      <c r="BI102">
        <f ca="1" xml:space="preserve"> IF( AND( OFFSET($A$1, 102 - 1, 59 - 1) = "1", OFFSET($A$1, 102 - 1, 60 - 1) = "1" ), 1, IF( AND( OFFSET($A$1, 102 - 1, 59 - 1) = "1", OFFSET($A$1, 102 - 1, 60 - 1) = "0" ), 2, IF( AND( OFFSET($A$1, 102 - 1, 59 - 1) = "0", OFFSET($A$1, 102 - 1, 60 - 1) = "1" ), 3, 4 ) ) )</f>
        <v>4</v>
      </c>
      <c r="BK102" s="3">
        <v>2.5316455696202531E-2</v>
      </c>
      <c r="BL102" s="3" t="str">
        <f t="shared" si="8"/>
        <v>0</v>
      </c>
      <c r="BM102" t="str">
        <f ca="1">IF((OFFSET($A$1, 102 - 1, 63 - 1)) &gt;= (OFFSET($A$1, 135 - 1, 7 - 1)), "1","0")</f>
        <v>0</v>
      </c>
      <c r="BN102">
        <f ca="1" xml:space="preserve"> IF( AND( OFFSET($A$1, 102 - 1, 64 - 1) = "1", OFFSET($A$1, 102 - 1, 65 - 1) = "1" ), 1, IF( AND( OFFSET($A$1, 102 - 1, 64 - 1) = "1", OFFSET($A$1, 102 - 1, 65 - 1) = "0" ), 2, IF( AND( OFFSET($A$1, 102 - 1, 64 - 1) = "0", OFFSET($A$1, 102 - 1, 65 - 1) = "1" ), 3, 4 ) ) )</f>
        <v>4</v>
      </c>
    </row>
    <row r="103" spans="3:66" x14ac:dyDescent="0.2">
      <c r="BF103" s="3">
        <v>0.90579710144927539</v>
      </c>
      <c r="BG103" s="3" t="str">
        <f t="shared" si="7"/>
        <v>0</v>
      </c>
      <c r="BH103" t="str">
        <f ca="1">IF((OFFSET($A$1, 103 - 1, 58 - 1)) &gt;= (OFFSET($A$1, 96 - 1, 7 - 1)), "1","0")</f>
        <v>1</v>
      </c>
      <c r="BI103">
        <f ca="1" xml:space="preserve"> IF( AND( OFFSET($A$1, 103 - 1, 59 - 1) = "1", OFFSET($A$1, 103 - 1, 60 - 1) = "1" ), 1, IF( AND( OFFSET($A$1, 103 - 1, 59 - 1) = "1", OFFSET($A$1, 103 - 1, 60 - 1) = "0" ), 2, IF( AND( OFFSET($A$1, 103 - 1, 59 - 1) = "0", OFFSET($A$1, 103 - 1, 60 - 1) = "1" ), 3, 4 ) ) )</f>
        <v>3</v>
      </c>
      <c r="BK103" s="3">
        <v>6.6350710900473939E-2</v>
      </c>
      <c r="BL103" s="3" t="str">
        <f t="shared" si="8"/>
        <v>0</v>
      </c>
      <c r="BM103" t="str">
        <f ca="1">IF((OFFSET($A$1, 103 - 1, 63 - 1)) &gt;= (OFFSET($A$1, 135 - 1, 7 - 1)), "1","0")</f>
        <v>0</v>
      </c>
      <c r="BN103">
        <f ca="1" xml:space="preserve"> IF( AND( OFFSET($A$1, 103 - 1, 64 - 1) = "1", OFFSET($A$1, 103 - 1, 65 - 1) = "1" ), 1, IF( AND( OFFSET($A$1, 103 - 1, 64 - 1) = "1", OFFSET($A$1, 103 - 1, 65 - 1) = "0" ), 2, IF( AND( OFFSET($A$1, 103 - 1, 64 - 1) = "0", OFFSET($A$1, 103 - 1, 65 - 1) = "1" ), 3, 4 ) ) )</f>
        <v>4</v>
      </c>
    </row>
    <row r="104" spans="3:66" ht="16" x14ac:dyDescent="0.2">
      <c r="C104" s="14" t="s">
        <v>150</v>
      </c>
      <c r="D104" s="15"/>
      <c r="E104" s="15"/>
      <c r="F104" s="16"/>
      <c r="BF104" s="3">
        <v>0</v>
      </c>
      <c r="BG104" s="3" t="str">
        <f t="shared" si="7"/>
        <v>0</v>
      </c>
      <c r="BH104" t="str">
        <f ca="1">IF((OFFSET($A$1, 104 - 1, 58 - 1)) &gt;= (OFFSET($A$1, 96 - 1, 7 - 1)), "1","0")</f>
        <v>0</v>
      </c>
      <c r="BI104">
        <f ca="1" xml:space="preserve"> IF( AND( OFFSET($A$1, 104 - 1, 59 - 1) = "1", OFFSET($A$1, 104 - 1, 60 - 1) = "1" ), 1, IF( AND( OFFSET($A$1, 104 - 1, 59 - 1) = "1", OFFSET($A$1, 104 - 1, 60 - 1) = "0" ), 2, IF( AND( OFFSET($A$1, 104 - 1, 59 - 1) = "0", OFFSET($A$1, 104 - 1, 60 - 1) = "1" ), 3, 4 ) ) )</f>
        <v>4</v>
      </c>
      <c r="BK104" s="3">
        <v>6.6350710900473939E-2</v>
      </c>
      <c r="BL104" s="3" t="str">
        <f t="shared" si="8"/>
        <v>0</v>
      </c>
      <c r="BM104" t="str">
        <f ca="1">IF((OFFSET($A$1, 104 - 1, 63 - 1)) &gt;= (OFFSET($A$1, 135 - 1, 7 - 1)), "1","0")</f>
        <v>0</v>
      </c>
      <c r="BN104">
        <f ca="1" xml:space="preserve"> IF( AND( OFFSET($A$1, 104 - 1, 64 - 1) = "1", OFFSET($A$1, 104 - 1, 65 - 1) = "1" ), 1, IF( AND( OFFSET($A$1, 104 - 1, 64 - 1) = "1", OFFSET($A$1, 104 - 1, 65 - 1) = "0" ), 2, IF( AND( OFFSET($A$1, 104 - 1, 64 - 1) = "0", OFFSET($A$1, 104 - 1, 65 - 1) = "1" ), 3, 4 ) ) )</f>
        <v>4</v>
      </c>
    </row>
    <row r="105" spans="3:66" x14ac:dyDescent="0.2">
      <c r="C105" s="4" t="s">
        <v>13</v>
      </c>
      <c r="D105" s="4" t="s">
        <v>151</v>
      </c>
      <c r="E105" s="4" t="s">
        <v>152</v>
      </c>
      <c r="F105" s="4" t="s">
        <v>98</v>
      </c>
      <c r="BF105" s="3">
        <v>0.08</v>
      </c>
      <c r="BG105" s="3" t="str">
        <f t="shared" si="7"/>
        <v>0</v>
      </c>
      <c r="BH105" t="str">
        <f ca="1">IF((OFFSET($A$1, 105 - 1, 58 - 1)) &gt;= (OFFSET($A$1, 96 - 1, 7 - 1)), "1","0")</f>
        <v>0</v>
      </c>
      <c r="BI105">
        <f ca="1" xml:space="preserve"> IF( AND( OFFSET($A$1, 105 - 1, 59 - 1) = "1", OFFSET($A$1, 105 - 1, 60 - 1) = "1" ), 1, IF( AND( OFFSET($A$1, 105 - 1, 59 - 1) = "1", OFFSET($A$1, 105 - 1, 60 - 1) = "0" ), 2, IF( AND( OFFSET($A$1, 105 - 1, 59 - 1) = "0", OFFSET($A$1, 105 - 1, 60 - 1) = "1" ), 3, 4 ) ) )</f>
        <v>4</v>
      </c>
      <c r="BK105" s="3">
        <v>6.6350710900473939E-2</v>
      </c>
      <c r="BL105" s="3" t="str">
        <f t="shared" si="8"/>
        <v>0</v>
      </c>
      <c r="BM105" t="str">
        <f ca="1">IF((OFFSET($A$1, 105 - 1, 63 - 1)) &gt;= (OFFSET($A$1, 135 - 1, 7 - 1)), "1","0")</f>
        <v>0</v>
      </c>
      <c r="BN105">
        <f ca="1" xml:space="preserve"> IF( AND( OFFSET($A$1, 105 - 1, 64 - 1) = "1", OFFSET($A$1, 105 - 1, 65 - 1) = "1" ), 1, IF( AND( OFFSET($A$1, 105 - 1, 64 - 1) = "1", OFFSET($A$1, 105 - 1, 65 - 1) = "0" ), 2, IF( AND( OFFSET($A$1, 105 - 1, 64 - 1) = "0", OFFSET($A$1, 105 - 1, 65 - 1) = "1" ), 3, 4 ) ) )</f>
        <v>4</v>
      </c>
    </row>
    <row r="106" spans="3:66" x14ac:dyDescent="0.2">
      <c r="C106" s="5">
        <v>1</v>
      </c>
      <c r="D106" s="3">
        <f ca="1">SUM(OFFSET($A$1, 101 - 1, 4 - 1, 1, 2))</f>
        <v>254</v>
      </c>
      <c r="E106" s="3">
        <f ca="1">SUM(OFFSET($A$1, 101 - 1, 4 - 1, 1, 2)) - OFFSET($A$1, 101 - 1, 4 - 1)</f>
        <v>129</v>
      </c>
      <c r="F106" s="3">
        <f ca="1">IF(OFFSET($A$1, 106 - 1, 4 - 1)=0,"Undefined",((OFFSET($A$1, 106 - 1, 5 - 1))*100) / (OFFSET($A$1, 106 - 1, 4 - 1)))</f>
        <v>50.787401574803148</v>
      </c>
      <c r="BF106" s="3">
        <v>0.38775510204081637</v>
      </c>
      <c r="BG106" s="3" t="str">
        <f>"1"</f>
        <v>1</v>
      </c>
      <c r="BH106" t="str">
        <f ca="1">IF((OFFSET($A$1, 106 - 1, 58 - 1)) &gt;= (OFFSET($A$1, 96 - 1, 7 - 1)), "1","0")</f>
        <v>0</v>
      </c>
      <c r="BI106">
        <f ca="1" xml:space="preserve"> IF( AND( OFFSET($A$1, 106 - 1, 59 - 1) = "1", OFFSET($A$1, 106 - 1, 60 - 1) = "1" ), 1, IF( AND( OFFSET($A$1, 106 - 1, 59 - 1) = "1", OFFSET($A$1, 106 - 1, 60 - 1) = "0" ), 2, IF( AND( OFFSET($A$1, 106 - 1, 59 - 1) = "0", OFFSET($A$1, 106 - 1, 60 - 1) = "1" ), 3, 4 ) ) )</f>
        <v>2</v>
      </c>
      <c r="BK106" s="3">
        <v>6.6350710900473939E-2</v>
      </c>
      <c r="BL106" s="3" t="str">
        <f t="shared" si="8"/>
        <v>0</v>
      </c>
      <c r="BM106" t="str">
        <f ca="1">IF((OFFSET($A$1, 106 - 1, 63 - 1)) &gt;= (OFFSET($A$1, 135 - 1, 7 - 1)), "1","0")</f>
        <v>0</v>
      </c>
      <c r="BN106">
        <f ca="1" xml:space="preserve"> IF( AND( OFFSET($A$1, 106 - 1, 64 - 1) = "1", OFFSET($A$1, 106 - 1, 65 - 1) = "1" ), 1, IF( AND( OFFSET($A$1, 106 - 1, 64 - 1) = "1", OFFSET($A$1, 106 - 1, 65 - 1) = "0" ), 2, IF( AND( OFFSET($A$1, 106 - 1, 64 - 1) = "0", OFFSET($A$1, 106 - 1, 65 - 1) = "1" ), 3, 4 ) ) )</f>
        <v>4</v>
      </c>
    </row>
    <row r="107" spans="3:66" x14ac:dyDescent="0.2">
      <c r="C107" s="5">
        <v>0</v>
      </c>
      <c r="D107" s="3">
        <f ca="1">SUM(OFFSET($A$1, 102 - 1, 4 - 1, 1, 2))</f>
        <v>1246</v>
      </c>
      <c r="E107" s="3">
        <f ca="1">SUM(OFFSET($A$1, 102 - 1, 4 - 1, 1, 2)) - OFFSET($A$1, 102 - 1, 5 - 1)</f>
        <v>13</v>
      </c>
      <c r="F107" s="3">
        <f ca="1">IF(OFFSET($A$1, 107 - 1, 4 - 1)=0,"Undefined",((OFFSET($A$1, 107 - 1, 5 - 1))*100) / (OFFSET($A$1, 107 - 1, 4 - 1)))</f>
        <v>1.043338683788122</v>
      </c>
      <c r="BF107" s="3">
        <v>0.90579710144927539</v>
      </c>
      <c r="BG107" s="3" t="str">
        <f>"1"</f>
        <v>1</v>
      </c>
      <c r="BH107" t="str">
        <f ca="1">IF((OFFSET($A$1, 107 - 1, 58 - 1)) &gt;= (OFFSET($A$1, 96 - 1, 7 - 1)), "1","0")</f>
        <v>1</v>
      </c>
      <c r="BI107">
        <f ca="1" xml:space="preserve"> IF( AND( OFFSET($A$1, 107 - 1, 59 - 1) = "1", OFFSET($A$1, 107 - 1, 60 - 1) = "1" ), 1, IF( AND( OFFSET($A$1, 107 - 1, 59 - 1) = "1", OFFSET($A$1, 107 - 1, 60 - 1) = "0" ), 2, IF( AND( OFFSET($A$1, 107 - 1, 59 - 1) = "0", OFFSET($A$1, 107 - 1, 60 - 1) = "1" ), 3, 4 ) ) )</f>
        <v>1</v>
      </c>
      <c r="BK107" s="3">
        <v>6.6350710900473939E-2</v>
      </c>
      <c r="BL107" s="3" t="str">
        <f t="shared" si="8"/>
        <v>0</v>
      </c>
      <c r="BM107" t="str">
        <f ca="1">IF((OFFSET($A$1, 107 - 1, 63 - 1)) &gt;= (OFFSET($A$1, 135 - 1, 7 - 1)), "1","0")</f>
        <v>0</v>
      </c>
      <c r="BN107">
        <f ca="1" xml:space="preserve"> IF( AND( OFFSET($A$1, 107 - 1, 64 - 1) = "1", OFFSET($A$1, 107 - 1, 65 - 1) = "1" ), 1, IF( AND( OFFSET($A$1, 107 - 1, 64 - 1) = "1", OFFSET($A$1, 107 - 1, 65 - 1) = "0" ), 2, IF( AND( OFFSET($A$1, 107 - 1, 64 - 1) = "0", OFFSET($A$1, 107 - 1, 65 - 1) = "1" ), 3, 4 ) ) )</f>
        <v>4</v>
      </c>
    </row>
    <row r="108" spans="3:66" x14ac:dyDescent="0.2">
      <c r="C108" s="5" t="s">
        <v>153</v>
      </c>
      <c r="D108" s="3">
        <f ca="1">SUM(OFFSET($A$1, 106 - 1, 4 - 1, 2, 1))</f>
        <v>1500</v>
      </c>
      <c r="E108" s="3">
        <f ca="1">SUM(OFFSET($A$1, 106 - 1, 5 - 1, 2, 1))</f>
        <v>142</v>
      </c>
      <c r="F108" s="3">
        <f ca="1">IF(OFFSET($A$1, 108 - 1, 4 - 1)=0,"Undefined",((OFFSET($A$1, 108 - 1, 5 - 1))*100) / (OFFSET($A$1, 108 - 1, 4 - 1)))</f>
        <v>9.4666666666666668</v>
      </c>
      <c r="BF108" s="3">
        <v>3.7037037037037042E-2</v>
      </c>
      <c r="BG108" s="3" t="str">
        <f t="shared" ref="BG108:BG114" si="9">"0"</f>
        <v>0</v>
      </c>
      <c r="BH108" t="str">
        <f ca="1">IF((OFFSET($A$1, 108 - 1, 58 - 1)) &gt;= (OFFSET($A$1, 96 - 1, 7 - 1)), "1","0")</f>
        <v>0</v>
      </c>
      <c r="BI108">
        <f ca="1" xml:space="preserve"> IF( AND( OFFSET($A$1, 108 - 1, 59 - 1) = "1", OFFSET($A$1, 108 - 1, 60 - 1) = "1" ), 1, IF( AND( OFFSET($A$1, 108 - 1, 59 - 1) = "1", OFFSET($A$1, 108 - 1, 60 - 1) = "0" ), 2, IF( AND( OFFSET($A$1, 108 - 1, 59 - 1) = "0", OFFSET($A$1, 108 - 1, 60 - 1) = "1" ), 3, 4 ) ) )</f>
        <v>4</v>
      </c>
      <c r="BK108" s="3">
        <v>0.90579710144927539</v>
      </c>
      <c r="BL108" s="3" t="str">
        <f>"1"</f>
        <v>1</v>
      </c>
      <c r="BM108" t="str">
        <f ca="1">IF((OFFSET($A$1, 108 - 1, 63 - 1)) &gt;= (OFFSET($A$1, 135 - 1, 7 - 1)), "1","0")</f>
        <v>1</v>
      </c>
      <c r="BN108">
        <f ca="1" xml:space="preserve"> IF( AND( OFFSET($A$1, 108 - 1, 64 - 1) = "1", OFFSET($A$1, 108 - 1, 65 - 1) = "1" ), 1, IF( AND( OFFSET($A$1, 108 - 1, 64 - 1) = "1", OFFSET($A$1, 108 - 1, 65 - 1) = "0" ), 2, IF( AND( OFFSET($A$1, 108 - 1, 64 - 1) = "0", OFFSET($A$1, 108 - 1, 65 - 1) = "1" ), 3, 4 ) ) )</f>
        <v>1</v>
      </c>
    </row>
    <row r="109" spans="3:66" x14ac:dyDescent="0.2">
      <c r="BF109" s="3">
        <v>0.47692307692307689</v>
      </c>
      <c r="BG109" s="3" t="str">
        <f t="shared" si="9"/>
        <v>0</v>
      </c>
      <c r="BH109" t="str">
        <f ca="1">IF((OFFSET($A$1, 109 - 1, 58 - 1)) &gt;= (OFFSET($A$1, 96 - 1, 7 - 1)), "1","0")</f>
        <v>0</v>
      </c>
      <c r="BI109">
        <f ca="1" xml:space="preserve"> IF( AND( OFFSET($A$1, 109 - 1, 59 - 1) = "1", OFFSET($A$1, 109 - 1, 60 - 1) = "1" ), 1, IF( AND( OFFSET($A$1, 109 - 1, 59 - 1) = "1", OFFSET($A$1, 109 - 1, 60 - 1) = "0" ), 2, IF( AND( OFFSET($A$1, 109 - 1, 59 - 1) = "0", OFFSET($A$1, 109 - 1, 60 - 1) = "1" ), 3, 4 ) ) )</f>
        <v>4</v>
      </c>
      <c r="BK109" s="3">
        <v>6.6350710900473939E-2</v>
      </c>
      <c r="BL109" s="3" t="str">
        <f>"0"</f>
        <v>0</v>
      </c>
      <c r="BM109" t="str">
        <f ca="1">IF((OFFSET($A$1, 109 - 1, 63 - 1)) &gt;= (OFFSET($A$1, 135 - 1, 7 - 1)), "1","0")</f>
        <v>0</v>
      </c>
      <c r="BN109">
        <f ca="1" xml:space="preserve"> IF( AND( OFFSET($A$1, 109 - 1, 64 - 1) = "1", OFFSET($A$1, 109 - 1, 65 - 1) = "1" ), 1, IF( AND( OFFSET($A$1, 109 - 1, 64 - 1) = "1", OFFSET($A$1, 109 - 1, 65 - 1) = "0" ), 2, IF( AND( OFFSET($A$1, 109 - 1, 64 - 1) = "0", OFFSET($A$1, 109 - 1, 65 - 1) = "1" ), 3, 4 ) ) )</f>
        <v>4</v>
      </c>
    </row>
    <row r="110" spans="3:66" ht="16" x14ac:dyDescent="0.2">
      <c r="C110" s="14" t="s">
        <v>154</v>
      </c>
      <c r="D110" s="15"/>
      <c r="E110" s="16"/>
      <c r="BF110" s="3">
        <v>0</v>
      </c>
      <c r="BG110" s="3" t="str">
        <f t="shared" si="9"/>
        <v>0</v>
      </c>
      <c r="BH110" t="str">
        <f ca="1">IF((OFFSET($A$1, 110 - 1, 58 - 1)) &gt;= (OFFSET($A$1, 96 - 1, 7 - 1)), "1","0")</f>
        <v>0</v>
      </c>
      <c r="BI110">
        <f ca="1" xml:space="preserve"> IF( AND( OFFSET($A$1, 110 - 1, 59 - 1) = "1", OFFSET($A$1, 110 - 1, 60 - 1) = "1" ), 1, IF( AND( OFFSET($A$1, 110 - 1, 59 - 1) = "1", OFFSET($A$1, 110 - 1, 60 - 1) = "0" ), 2, IF( AND( OFFSET($A$1, 110 - 1, 59 - 1) = "0", OFFSET($A$1, 110 - 1, 60 - 1) = "1" ), 3, 4 ) ) )</f>
        <v>4</v>
      </c>
      <c r="BK110" s="3">
        <v>6.6350710900473939E-2</v>
      </c>
      <c r="BL110" s="3" t="str">
        <f>"0"</f>
        <v>0</v>
      </c>
      <c r="BM110" t="str">
        <f ca="1">IF((OFFSET($A$1, 110 - 1, 63 - 1)) &gt;= (OFFSET($A$1, 135 - 1, 7 - 1)), "1","0")</f>
        <v>0</v>
      </c>
      <c r="BN110">
        <f ca="1" xml:space="preserve"> IF( AND( OFFSET($A$1, 110 - 1, 64 - 1) = "1", OFFSET($A$1, 110 - 1, 65 - 1) = "1" ), 1, IF( AND( OFFSET($A$1, 110 - 1, 64 - 1) = "1", OFFSET($A$1, 110 - 1, 65 - 1) = "0" ), 2, IF( AND( OFFSET($A$1, 110 - 1, 64 - 1) = "0", OFFSET($A$1, 110 - 1, 65 - 1) = "1" ), 3, 4 ) ) )</f>
        <v>4</v>
      </c>
    </row>
    <row r="111" spans="3:66" x14ac:dyDescent="0.2">
      <c r="C111" s="20" t="s">
        <v>155</v>
      </c>
      <c r="D111" s="21"/>
      <c r="E111" s="10">
        <v>1</v>
      </c>
      <c r="BF111" s="3">
        <v>0.08</v>
      </c>
      <c r="BG111" s="3" t="str">
        <f t="shared" si="9"/>
        <v>0</v>
      </c>
      <c r="BH111" t="str">
        <f ca="1">IF((OFFSET($A$1, 111 - 1, 58 - 1)) &gt;= (OFFSET($A$1, 96 - 1, 7 - 1)), "1","0")</f>
        <v>0</v>
      </c>
      <c r="BI111">
        <f ca="1" xml:space="preserve"> IF( AND( OFFSET($A$1, 111 - 1, 59 - 1) = "1", OFFSET($A$1, 111 - 1, 60 - 1) = "1" ), 1, IF( AND( OFFSET($A$1, 111 - 1, 59 - 1) = "1", OFFSET($A$1, 111 - 1, 60 - 1) = "0" ), 2, IF( AND( OFFSET($A$1, 111 - 1, 59 - 1) = "0", OFFSET($A$1, 111 - 1, 60 - 1) = "1" ), 3, 4 ) ) )</f>
        <v>4</v>
      </c>
      <c r="BK111" s="3">
        <v>0.90579710144927539</v>
      </c>
      <c r="BL111" s="3" t="str">
        <f>"1"</f>
        <v>1</v>
      </c>
      <c r="BM111" t="str">
        <f ca="1">IF((OFFSET($A$1, 111 - 1, 63 - 1)) &gt;= (OFFSET($A$1, 135 - 1, 7 - 1)), "1","0")</f>
        <v>1</v>
      </c>
      <c r="BN111">
        <f ca="1" xml:space="preserve"> IF( AND( OFFSET($A$1, 111 - 1, 64 - 1) = "1", OFFSET($A$1, 111 - 1, 65 - 1) = "1" ), 1, IF( AND( OFFSET($A$1, 111 - 1, 64 - 1) = "1", OFFSET($A$1, 111 - 1, 65 - 1) = "0" ), 2, IF( AND( OFFSET($A$1, 111 - 1, 64 - 1) = "0", OFFSET($A$1, 111 - 1, 65 - 1) = "1" ), 3, 4 ) ) )</f>
        <v>1</v>
      </c>
    </row>
    <row r="112" spans="3:66" x14ac:dyDescent="0.2">
      <c r="C112" s="20" t="s">
        <v>156</v>
      </c>
      <c r="D112" s="21"/>
      <c r="E112" s="10">
        <f ca="1">IF((OFFSET($A$1, 101 - 1, 4 - 1) + OFFSET($A$1, 102 - 1, 4 - 1)) = 0,"Undefined",OFFSET($A$1, 101 - 1, 4 - 1)/(OFFSET($A$1, 101 - 1, 4 - 1) + OFFSET($A$1, 102 - 1, 4 - 1)))</f>
        <v>0.90579710144927539</v>
      </c>
      <c r="BF112" s="3">
        <v>0</v>
      </c>
      <c r="BG112" s="3" t="str">
        <f t="shared" si="9"/>
        <v>0</v>
      </c>
      <c r="BH112" t="str">
        <f ca="1">IF((OFFSET($A$1, 112 - 1, 58 - 1)) &gt;= (OFFSET($A$1, 96 - 1, 7 - 1)), "1","0")</f>
        <v>0</v>
      </c>
      <c r="BI112">
        <f ca="1" xml:space="preserve"> IF( AND( OFFSET($A$1, 112 - 1, 59 - 1) = "1", OFFSET($A$1, 112 - 1, 60 - 1) = "1" ), 1, IF( AND( OFFSET($A$1, 112 - 1, 59 - 1) = "1", OFFSET($A$1, 112 - 1, 60 - 1) = "0" ), 2, IF( AND( OFFSET($A$1, 112 - 1, 59 - 1) = "0", OFFSET($A$1, 112 - 1, 60 - 1) = "1" ), 3, 4 ) ) )</f>
        <v>4</v>
      </c>
      <c r="BK112" s="3">
        <v>6.6350710900473939E-2</v>
      </c>
      <c r="BL112" s="3" t="str">
        <f>"0"</f>
        <v>0</v>
      </c>
      <c r="BM112" t="str">
        <f ca="1">IF((OFFSET($A$1, 112 - 1, 63 - 1)) &gt;= (OFFSET($A$1, 135 - 1, 7 - 1)), "1","0")</f>
        <v>0</v>
      </c>
      <c r="BN112">
        <f ca="1" xml:space="preserve"> IF( AND( OFFSET($A$1, 112 - 1, 64 - 1) = "1", OFFSET($A$1, 112 - 1, 65 - 1) = "1" ), 1, IF( AND( OFFSET($A$1, 112 - 1, 64 - 1) = "1", OFFSET($A$1, 112 - 1, 65 - 1) = "0" ), 2, IF( AND( OFFSET($A$1, 112 - 1, 64 - 1) = "0", OFFSET($A$1, 112 - 1, 65 - 1) = "1" ), 3, 4 ) ) )</f>
        <v>4</v>
      </c>
    </row>
    <row r="113" spans="2:66" x14ac:dyDescent="0.2">
      <c r="C113" s="20" t="s">
        <v>157</v>
      </c>
      <c r="D113" s="21"/>
      <c r="E113" s="10">
        <f ca="1">IF((OFFSET($A$1, 101 - 1, 4 - 1) + OFFSET($A$1, 101 - 1, 5 - 1)) = 0,"Undefined",OFFSET($A$1, 101 - 1, 4 - 1)/(OFFSET($A$1, 101 - 1, 4 - 1) + OFFSET($A$1, 101 - 1, 5 - 1)))</f>
        <v>0.49212598425196852</v>
      </c>
      <c r="BF113" s="3">
        <v>0.38775510204081637</v>
      </c>
      <c r="BG113" s="3" t="str">
        <f t="shared" si="9"/>
        <v>0</v>
      </c>
      <c r="BH113" t="str">
        <f ca="1">IF((OFFSET($A$1, 113 - 1, 58 - 1)) &gt;= (OFFSET($A$1, 96 - 1, 7 - 1)), "1","0")</f>
        <v>0</v>
      </c>
      <c r="BI113">
        <f ca="1" xml:space="preserve"> IF( AND( OFFSET($A$1, 113 - 1, 59 - 1) = "1", OFFSET($A$1, 113 - 1, 60 - 1) = "1" ), 1, IF( AND( OFFSET($A$1, 113 - 1, 59 - 1) = "1", OFFSET($A$1, 113 - 1, 60 - 1) = "0" ), 2, IF( AND( OFFSET($A$1, 113 - 1, 59 - 1) = "0", OFFSET($A$1, 113 - 1, 60 - 1) = "1" ), 3, 4 ) ) )</f>
        <v>4</v>
      </c>
      <c r="BK113" s="3">
        <v>6.6350710900473939E-2</v>
      </c>
      <c r="BL113" s="3" t="str">
        <f>"0"</f>
        <v>0</v>
      </c>
      <c r="BM113" t="str">
        <f ca="1">IF((OFFSET($A$1, 113 - 1, 63 - 1)) &gt;= (OFFSET($A$1, 135 - 1, 7 - 1)), "1","0")</f>
        <v>0</v>
      </c>
      <c r="BN113">
        <f ca="1" xml:space="preserve"> IF( AND( OFFSET($A$1, 113 - 1, 64 - 1) = "1", OFFSET($A$1, 113 - 1, 65 - 1) = "1" ), 1, IF( AND( OFFSET($A$1, 113 - 1, 64 - 1) = "1", OFFSET($A$1, 113 - 1, 65 - 1) = "0" ), 2, IF( AND( OFFSET($A$1, 113 - 1, 64 - 1) = "0", OFFSET($A$1, 113 - 1, 65 - 1) = "1" ), 3, 4 ) ) )</f>
        <v>4</v>
      </c>
    </row>
    <row r="114" spans="2:66" x14ac:dyDescent="0.2">
      <c r="C114" s="20" t="s">
        <v>158</v>
      </c>
      <c r="D114" s="21"/>
      <c r="E114" s="10">
        <f ca="1">IF((OFFSET($A$1, 102 - 1, 4 - 1) + OFFSET($A$1, 102 - 1, 5 - 1)) = 0,"Undefined",OFFSET($A$1, 102 - 1, 5 - 1)/(OFFSET($A$1, 102 - 1, 4 - 1) + OFFSET($A$1, 102 - 1, 5 - 1)))</f>
        <v>0.9895666131621188</v>
      </c>
      <c r="BF114" s="3">
        <v>0</v>
      </c>
      <c r="BG114" s="3" t="str">
        <f t="shared" si="9"/>
        <v>0</v>
      </c>
      <c r="BH114" t="str">
        <f ca="1">IF((OFFSET($A$1, 114 - 1, 58 - 1)) &gt;= (OFFSET($A$1, 96 - 1, 7 - 1)), "1","0")</f>
        <v>0</v>
      </c>
      <c r="BI114">
        <f ca="1" xml:space="preserve"> IF( AND( OFFSET($A$1, 114 - 1, 59 - 1) = "1", OFFSET($A$1, 114 - 1, 60 - 1) = "1" ), 1, IF( AND( OFFSET($A$1, 114 - 1, 59 - 1) = "1", OFFSET($A$1, 114 - 1, 60 - 1) = "0" ), 2, IF( AND( OFFSET($A$1, 114 - 1, 59 - 1) = "0", OFFSET($A$1, 114 - 1, 60 - 1) = "1" ), 3, 4 ) ) )</f>
        <v>4</v>
      </c>
      <c r="BK114" s="3">
        <v>0.90579710144927539</v>
      </c>
      <c r="BL114" s="3" t="str">
        <f>"1"</f>
        <v>1</v>
      </c>
      <c r="BM114" t="str">
        <f ca="1">IF((OFFSET($A$1, 114 - 1, 63 - 1)) &gt;= (OFFSET($A$1, 135 - 1, 7 - 1)), "1","0")</f>
        <v>1</v>
      </c>
      <c r="BN114">
        <f ca="1" xml:space="preserve"> IF( AND( OFFSET($A$1, 114 - 1, 64 - 1) = "1", OFFSET($A$1, 114 - 1, 65 - 1) = "1" ), 1, IF( AND( OFFSET($A$1, 114 - 1, 64 - 1) = "1", OFFSET($A$1, 114 - 1, 65 - 1) = "0" ), 2, IF( AND( OFFSET($A$1, 114 - 1, 64 - 1) = "0", OFFSET($A$1, 114 - 1, 65 - 1) = "1" ), 3, 4 ) ) )</f>
        <v>1</v>
      </c>
    </row>
    <row r="115" spans="2:66" x14ac:dyDescent="0.2">
      <c r="C115" s="20" t="s">
        <v>159</v>
      </c>
      <c r="D115" s="21"/>
      <c r="E115" s="10">
        <f ca="1">IF(OR(OFFSET($A$1, 112 - 1, 5 - 1)="Undefined",OFFSET($A$1, 113 - 1, 5 - 1)="Undefined"),"Undefined",IF((OFFSET($A$1, 112 - 1, 5 - 1) + OFFSET($A$1, 113 - 1, 5 - 1))=0,"Undefined",2*OFFSET($A$1, 112 - 1, 5 - 1)*OFFSET($A$1, 113 - 1, 5 - 1)/(OFFSET($A$1, 112 - 1, 5 - 1)+OFFSET($A$1, 113 - 1, 5 - 1))))</f>
        <v>0.63775510204081631</v>
      </c>
      <c r="BF115" s="3">
        <v>0.36</v>
      </c>
      <c r="BG115" s="3" t="str">
        <f>"1"</f>
        <v>1</v>
      </c>
      <c r="BH115" t="str">
        <f ca="1">IF((OFFSET($A$1, 115 - 1, 58 - 1)) &gt;= (OFFSET($A$1, 96 - 1, 7 - 1)), "1","0")</f>
        <v>0</v>
      </c>
      <c r="BI115">
        <f ca="1" xml:space="preserve"> IF( AND( OFFSET($A$1, 115 - 1, 59 - 1) = "1", OFFSET($A$1, 115 - 1, 60 - 1) = "1" ), 1, IF( AND( OFFSET($A$1, 115 - 1, 59 - 1) = "1", OFFSET($A$1, 115 - 1, 60 - 1) = "0" ), 2, IF( AND( OFFSET($A$1, 115 - 1, 59 - 1) = "0", OFFSET($A$1, 115 - 1, 60 - 1) = "1" ), 3, 4 ) ) )</f>
        <v>2</v>
      </c>
      <c r="BK115" s="3">
        <v>0.38775510204081637</v>
      </c>
      <c r="BL115" s="3" t="str">
        <f t="shared" ref="BL115:BL123" si="10">"0"</f>
        <v>0</v>
      </c>
      <c r="BM115" t="str">
        <f ca="1">IF((OFFSET($A$1, 115 - 1, 63 - 1)) &gt;= (OFFSET($A$1, 135 - 1, 7 - 1)), "1","0")</f>
        <v>0</v>
      </c>
      <c r="BN115">
        <f ca="1" xml:space="preserve"> IF( AND( OFFSET($A$1, 115 - 1, 64 - 1) = "1", OFFSET($A$1, 115 - 1, 65 - 1) = "1" ), 1, IF( AND( OFFSET($A$1, 115 - 1, 64 - 1) = "1", OFFSET($A$1, 115 - 1, 65 - 1) = "0" ), 2, IF( AND( OFFSET($A$1, 115 - 1, 64 - 1) = "0", OFFSET($A$1, 115 - 1, 65 - 1) = "1" ), 3, 4 ) ) )</f>
        <v>4</v>
      </c>
    </row>
    <row r="116" spans="2:66" x14ac:dyDescent="0.2">
      <c r="BF116" s="3">
        <v>0</v>
      </c>
      <c r="BG116" s="3" t="str">
        <f>"0"</f>
        <v>0</v>
      </c>
      <c r="BH116" t="str">
        <f ca="1">IF((OFFSET($A$1, 116 - 1, 58 - 1)) &gt;= (OFFSET($A$1, 96 - 1, 7 - 1)), "1","0")</f>
        <v>0</v>
      </c>
      <c r="BI116">
        <f ca="1" xml:space="preserve"> IF( AND( OFFSET($A$1, 116 - 1, 59 - 1) = "1", OFFSET($A$1, 116 - 1, 60 - 1) = "1" ), 1, IF( AND( OFFSET($A$1, 116 - 1, 59 - 1) = "1", OFFSET($A$1, 116 - 1, 60 - 1) = "0" ), 2, IF( AND( OFFSET($A$1, 116 - 1, 59 - 1) = "0", OFFSET($A$1, 116 - 1, 60 - 1) = "1" ), 3, 4 ) ) )</f>
        <v>4</v>
      </c>
      <c r="BK116" s="3">
        <v>6.6350710900473939E-2</v>
      </c>
      <c r="BL116" s="3" t="str">
        <f t="shared" si="10"/>
        <v>0</v>
      </c>
      <c r="BM116" t="str">
        <f ca="1">IF((OFFSET($A$1, 116 - 1, 63 - 1)) &gt;= (OFFSET($A$1, 135 - 1, 7 - 1)), "1","0")</f>
        <v>0</v>
      </c>
      <c r="BN116">
        <f ca="1" xml:space="preserve"> IF( AND( OFFSET($A$1, 116 - 1, 64 - 1) = "1", OFFSET($A$1, 116 - 1, 65 - 1) = "1" ), 1, IF( AND( OFFSET($A$1, 116 - 1, 64 - 1) = "1", OFFSET($A$1, 116 - 1, 65 - 1) = "0" ), 2, IF( AND( OFFSET($A$1, 116 - 1, 64 - 1) = "0", OFFSET($A$1, 116 - 1, 65 - 1) = "1" ), 3, 4 ) ) )</f>
        <v>4</v>
      </c>
    </row>
    <row r="117" spans="2:66" ht="19" x14ac:dyDescent="0.25">
      <c r="B117" s="7" t="s">
        <v>160</v>
      </c>
      <c r="BF117" s="3">
        <v>0</v>
      </c>
      <c r="BG117" s="3" t="str">
        <f>"0"</f>
        <v>0</v>
      </c>
      <c r="BH117" t="str">
        <f ca="1">IF((OFFSET($A$1, 117 - 1, 58 - 1)) &gt;= (OFFSET($A$1, 96 - 1, 7 - 1)), "1","0")</f>
        <v>0</v>
      </c>
      <c r="BI117">
        <f ca="1" xml:space="preserve"> IF( AND( OFFSET($A$1, 117 - 1, 59 - 1) = "1", OFFSET($A$1, 117 - 1, 60 - 1) = "1" ), 1, IF( AND( OFFSET($A$1, 117 - 1, 59 - 1) = "1", OFFSET($A$1, 117 - 1, 60 - 1) = "0" ), 2, IF( AND( OFFSET($A$1, 117 - 1, 59 - 1) = "0", OFFSET($A$1, 117 - 1, 60 - 1) = "1" ), 3, 4 ) ) )</f>
        <v>4</v>
      </c>
      <c r="BK117" s="3">
        <v>6.6350710900473939E-2</v>
      </c>
      <c r="BL117" s="3" t="str">
        <f t="shared" si="10"/>
        <v>0</v>
      </c>
      <c r="BM117" t="str">
        <f ca="1">IF((OFFSET($A$1, 117 - 1, 63 - 1)) &gt;= (OFFSET($A$1, 135 - 1, 7 - 1)), "1","0")</f>
        <v>0</v>
      </c>
      <c r="BN117">
        <f ca="1" xml:space="preserve"> IF( AND( OFFSET($A$1, 117 - 1, 64 - 1) = "1", OFFSET($A$1, 117 - 1, 65 - 1) = "1" ), 1, IF( AND( OFFSET($A$1, 117 - 1, 64 - 1) = "1", OFFSET($A$1, 117 - 1, 65 - 1) = "0" ), 2, IF( AND( OFFSET($A$1, 117 - 1, 64 - 1) = "0", OFFSET($A$1, 117 - 1, 65 - 1) = "1" ), 3, 4 ) ) )</f>
        <v>4</v>
      </c>
    </row>
    <row r="118" spans="2:66" x14ac:dyDescent="0.2">
      <c r="BF118" s="3">
        <v>0.90579710144927539</v>
      </c>
      <c r="BG118" s="3" t="str">
        <f>"1"</f>
        <v>1</v>
      </c>
      <c r="BH118" t="str">
        <f ca="1">IF((OFFSET($A$1, 118 - 1, 58 - 1)) &gt;= (OFFSET($A$1, 96 - 1, 7 - 1)), "1","0")</f>
        <v>1</v>
      </c>
      <c r="BI118">
        <f ca="1" xml:space="preserve"> IF( AND( OFFSET($A$1, 118 - 1, 59 - 1) = "1", OFFSET($A$1, 118 - 1, 60 - 1) = "1" ), 1, IF( AND( OFFSET($A$1, 118 - 1, 59 - 1) = "1", OFFSET($A$1, 118 - 1, 60 - 1) = "0" ), 2, IF( AND( OFFSET($A$1, 118 - 1, 59 - 1) = "0", OFFSET($A$1, 118 - 1, 60 - 1) = "1" ), 3, 4 ) ) )</f>
        <v>1</v>
      </c>
      <c r="BK118" s="3">
        <v>2.5316455696202531E-2</v>
      </c>
      <c r="BL118" s="3" t="str">
        <f t="shared" si="10"/>
        <v>0</v>
      </c>
      <c r="BM118" t="str">
        <f ca="1">IF((OFFSET($A$1, 118 - 1, 63 - 1)) &gt;= (OFFSET($A$1, 135 - 1, 7 - 1)), "1","0")</f>
        <v>0</v>
      </c>
      <c r="BN118">
        <f ca="1" xml:space="preserve"> IF( AND( OFFSET($A$1, 118 - 1, 64 - 1) = "1", OFFSET($A$1, 118 - 1, 65 - 1) = "1" ), 1, IF( AND( OFFSET($A$1, 118 - 1, 64 - 1) = "1", OFFSET($A$1, 118 - 1, 65 - 1) = "0" ), 2, IF( AND( OFFSET($A$1, 118 - 1, 64 - 1) = "0", OFFSET($A$1, 118 - 1, 65 - 1) = "1" ), 3, 4 ) ) )</f>
        <v>4</v>
      </c>
    </row>
    <row r="119" spans="2:66" x14ac:dyDescent="0.2">
      <c r="C119" s="20" t="s">
        <v>133</v>
      </c>
      <c r="D119" s="21"/>
      <c r="E119" s="3">
        <v>4</v>
      </c>
      <c r="H119" s="20" t="s">
        <v>134</v>
      </c>
      <c r="I119" s="21"/>
      <c r="J119" s="3">
        <v>5</v>
      </c>
      <c r="BF119" s="3">
        <v>0.47692307692307689</v>
      </c>
      <c r="BG119" s="3" t="str">
        <f>"1"</f>
        <v>1</v>
      </c>
      <c r="BH119" t="str">
        <f ca="1">IF((OFFSET($A$1, 119 - 1, 58 - 1)) &gt;= (OFFSET($A$1, 96 - 1, 7 - 1)), "1","0")</f>
        <v>0</v>
      </c>
      <c r="BI119">
        <f ca="1" xml:space="preserve"> IF( AND( OFFSET($A$1, 119 - 1, 59 - 1) = "1", OFFSET($A$1, 119 - 1, 60 - 1) = "1" ), 1, IF( AND( OFFSET($A$1, 119 - 1, 59 - 1) = "1", OFFSET($A$1, 119 - 1, 60 - 1) = "0" ), 2, IF( AND( OFFSET($A$1, 119 - 1, 59 - 1) = "0", OFFSET($A$1, 119 - 1, 60 - 1) = "1" ), 3, 4 ) ) )</f>
        <v>2</v>
      </c>
      <c r="BK119" s="3">
        <v>6.6350710900473939E-2</v>
      </c>
      <c r="BL119" s="3" t="str">
        <f t="shared" si="10"/>
        <v>0</v>
      </c>
      <c r="BM119" t="str">
        <f ca="1">IF((OFFSET($A$1, 119 - 1, 63 - 1)) &gt;= (OFFSET($A$1, 135 - 1, 7 - 1)), "1","0")</f>
        <v>0</v>
      </c>
      <c r="BN119">
        <f ca="1" xml:space="preserve"> IF( AND( OFFSET($A$1, 119 - 1, 64 - 1) = "1", OFFSET($A$1, 119 - 1, 65 - 1) = "1" ), 1, IF( AND( OFFSET($A$1, 119 - 1, 64 - 1) = "1", OFFSET($A$1, 119 - 1, 65 - 1) = "0" ), 2, IF( AND( OFFSET($A$1, 119 - 1, 64 - 1) = "0", OFFSET($A$1, 119 - 1, 65 - 1) = "1" ), 3, 4 ) ) )</f>
        <v>4</v>
      </c>
    </row>
    <row r="120" spans="2:66" x14ac:dyDescent="0.2">
      <c r="BF120" s="3">
        <v>3.7037037037037042E-2</v>
      </c>
      <c r="BG120" s="3" t="str">
        <f>"0"</f>
        <v>0</v>
      </c>
      <c r="BH120" t="str">
        <f ca="1">IF((OFFSET($A$1, 120 - 1, 58 - 1)) &gt;= (OFFSET($A$1, 96 - 1, 7 - 1)), "1","0")</f>
        <v>0</v>
      </c>
      <c r="BI120">
        <f ca="1" xml:space="preserve"> IF( AND( OFFSET($A$1, 120 - 1, 59 - 1) = "1", OFFSET($A$1, 120 - 1, 60 - 1) = "1" ), 1, IF( AND( OFFSET($A$1, 120 - 1, 59 - 1) = "1", OFFSET($A$1, 120 - 1, 60 - 1) = "0" ), 2, IF( AND( OFFSET($A$1, 120 - 1, 59 - 1) = "0", OFFSET($A$1, 120 - 1, 60 - 1) = "1" ), 3, 4 ) ) )</f>
        <v>4</v>
      </c>
      <c r="BK120" s="3">
        <v>2.5316455696202531E-2</v>
      </c>
      <c r="BL120" s="3" t="str">
        <f t="shared" si="10"/>
        <v>0</v>
      </c>
      <c r="BM120" t="str">
        <f ca="1">IF((OFFSET($A$1, 120 - 1, 63 - 1)) &gt;= (OFFSET($A$1, 135 - 1, 7 - 1)), "1","0")</f>
        <v>0</v>
      </c>
      <c r="BN120">
        <f ca="1" xml:space="preserve"> IF( AND( OFFSET($A$1, 120 - 1, 64 - 1) = "1", OFFSET($A$1, 120 - 1, 65 - 1) = "1" ), 1, IF( AND( OFFSET($A$1, 120 - 1, 64 - 1) = "1", OFFSET($A$1, 120 - 1, 65 - 1) = "0" ), 2, IF( AND( OFFSET($A$1, 120 - 1, 64 - 1) = "0", OFFSET($A$1, 120 - 1, 65 - 1) = "1" ), 3, 4 ) ) )</f>
        <v>4</v>
      </c>
    </row>
    <row r="121" spans="2:66" x14ac:dyDescent="0.2">
      <c r="C121" s="4" t="s">
        <v>135</v>
      </c>
      <c r="D121" s="4" t="s">
        <v>136</v>
      </c>
      <c r="E121" s="4" t="s">
        <v>137</v>
      </c>
      <c r="F121" s="4" t="s">
        <v>55</v>
      </c>
      <c r="G121" s="4" t="s">
        <v>56</v>
      </c>
      <c r="H121" s="4" t="s">
        <v>51</v>
      </c>
      <c r="I121" s="4" t="s">
        <v>138</v>
      </c>
      <c r="J121" s="4" t="s">
        <v>139</v>
      </c>
      <c r="K121" s="4" t="s">
        <v>140</v>
      </c>
      <c r="L121" s="4" t="s">
        <v>13</v>
      </c>
      <c r="M121" s="4" t="s">
        <v>23</v>
      </c>
      <c r="BF121" s="3">
        <v>0.47692307692307689</v>
      </c>
      <c r="BG121" s="3" t="str">
        <f>"1"</f>
        <v>1</v>
      </c>
      <c r="BH121" t="str">
        <f ca="1">IF((OFFSET($A$1, 121 - 1, 58 - 1)) &gt;= (OFFSET($A$1, 96 - 1, 7 - 1)), "1","0")</f>
        <v>0</v>
      </c>
      <c r="BI121">
        <f ca="1" xml:space="preserve"> IF( AND( OFFSET($A$1, 121 - 1, 59 - 1) = "1", OFFSET($A$1, 121 - 1, 60 - 1) = "1" ), 1, IF( AND( OFFSET($A$1, 121 - 1, 59 - 1) = "1", OFFSET($A$1, 121 - 1, 60 - 1) = "0" ), 2, IF( AND( OFFSET($A$1, 121 - 1, 59 - 1) = "0", OFFSET($A$1, 121 - 1, 60 - 1) = "1" ), 3, 4 ) ) )</f>
        <v>2</v>
      </c>
      <c r="BK121" s="3">
        <v>6.6350710900473939E-2</v>
      </c>
      <c r="BL121" s="3" t="str">
        <f t="shared" si="10"/>
        <v>0</v>
      </c>
      <c r="BM121" t="str">
        <f ca="1">IF((OFFSET($A$1, 121 - 1, 63 - 1)) &gt;= (OFFSET($A$1, 135 - 1, 7 - 1)), "1","0")</f>
        <v>0</v>
      </c>
      <c r="BN121">
        <f ca="1" xml:space="preserve"> IF( AND( OFFSET($A$1, 121 - 1, 64 - 1) = "1", OFFSET($A$1, 121 - 1, 65 - 1) = "1" ), 1, IF( AND( OFFSET($A$1, 121 - 1, 64 - 1) = "1", OFFSET($A$1, 121 - 1, 65 - 1) = "0" ), 2, IF( AND( OFFSET($A$1, 121 - 1, 64 - 1) = "0", OFFSET($A$1, 121 - 1, 65 - 1) = "1" ), 3, 4 ) ) )</f>
        <v>4</v>
      </c>
    </row>
    <row r="122" spans="2:66" x14ac:dyDescent="0.2">
      <c r="C122" s="9">
        <v>0</v>
      </c>
      <c r="D122" s="9">
        <v>0</v>
      </c>
      <c r="E122" s="9" t="s">
        <v>141</v>
      </c>
      <c r="F122" s="9">
        <v>1</v>
      </c>
      <c r="G122" s="9">
        <v>2</v>
      </c>
      <c r="H122" s="9" t="s">
        <v>6</v>
      </c>
      <c r="I122" s="9">
        <v>7.5</v>
      </c>
      <c r="J122" s="9">
        <v>1000</v>
      </c>
      <c r="K122" s="9">
        <v>0.16933333333333334</v>
      </c>
      <c r="L122" s="9">
        <v>0</v>
      </c>
      <c r="M122" s="9" t="s">
        <v>142</v>
      </c>
      <c r="BF122" s="3">
        <v>0</v>
      </c>
      <c r="BG122" s="3" t="str">
        <f t="shared" ref="BG122:BG135" si="11">"0"</f>
        <v>0</v>
      </c>
      <c r="BH122" t="str">
        <f ca="1">IF((OFFSET($A$1, 122 - 1, 58 - 1)) &gt;= (OFFSET($A$1, 96 - 1, 7 - 1)), "1","0")</f>
        <v>0</v>
      </c>
      <c r="BI122">
        <f ca="1" xml:space="preserve"> IF( AND( OFFSET($A$1, 122 - 1, 59 - 1) = "1", OFFSET($A$1, 122 - 1, 60 - 1) = "1" ), 1, IF( AND( OFFSET($A$1, 122 - 1, 59 - 1) = "1", OFFSET($A$1, 122 - 1, 60 - 1) = "0" ), 2, IF( AND( OFFSET($A$1, 122 - 1, 59 - 1) = "0", OFFSET($A$1, 122 - 1, 60 - 1) = "1" ), 3, 4 ) ) )</f>
        <v>4</v>
      </c>
      <c r="BK122" s="3">
        <v>2.5316455696202531E-2</v>
      </c>
      <c r="BL122" s="3" t="str">
        <f t="shared" si="10"/>
        <v>0</v>
      </c>
      <c r="BM122" t="str">
        <f ca="1">IF((OFFSET($A$1, 122 - 1, 63 - 1)) &gt;= (OFFSET($A$1, 135 - 1, 7 - 1)), "1","0")</f>
        <v>0</v>
      </c>
      <c r="BN122">
        <f ca="1" xml:space="preserve"> IF( AND( OFFSET($A$1, 122 - 1, 64 - 1) = "1", OFFSET($A$1, 122 - 1, 65 - 1) = "1" ), 1, IF( AND( OFFSET($A$1, 122 - 1, 64 - 1) = "1", OFFSET($A$1, 122 - 1, 65 - 1) = "0" ), 2, IF( AND( OFFSET($A$1, 122 - 1, 64 - 1) = "0", OFFSET($A$1, 122 - 1, 65 - 1) = "1" ), 3, 4 ) ) )</f>
        <v>4</v>
      </c>
    </row>
    <row r="123" spans="2:66" x14ac:dyDescent="0.2">
      <c r="C123" s="9">
        <v>1</v>
      </c>
      <c r="D123" s="9">
        <v>1</v>
      </c>
      <c r="E123" s="9">
        <v>0</v>
      </c>
      <c r="F123" s="9" t="s">
        <v>141</v>
      </c>
      <c r="G123" s="9" t="s">
        <v>141</v>
      </c>
      <c r="H123" s="9" t="s">
        <v>141</v>
      </c>
      <c r="I123" s="9" t="s">
        <v>141</v>
      </c>
      <c r="J123" s="9">
        <v>696</v>
      </c>
      <c r="K123" s="9">
        <v>4.6666666666666634E-2</v>
      </c>
      <c r="L123" s="9">
        <v>0</v>
      </c>
      <c r="M123" s="9" t="s">
        <v>143</v>
      </c>
      <c r="BF123" s="3">
        <v>0</v>
      </c>
      <c r="BG123" s="3" t="str">
        <f t="shared" si="11"/>
        <v>0</v>
      </c>
      <c r="BH123" t="str">
        <f ca="1">IF((OFFSET($A$1, 123 - 1, 58 - 1)) &gt;= (OFFSET($A$1, 96 - 1, 7 - 1)), "1","0")</f>
        <v>0</v>
      </c>
      <c r="BI123">
        <f ca="1" xml:space="preserve"> IF( AND( OFFSET($A$1, 123 - 1, 59 - 1) = "1", OFFSET($A$1, 123 - 1, 60 - 1) = "1" ), 1, IF( AND( OFFSET($A$1, 123 - 1, 59 - 1) = "1", OFFSET($A$1, 123 - 1, 60 - 1) = "0" ), 2, IF( AND( OFFSET($A$1, 123 - 1, 59 - 1) = "0", OFFSET($A$1, 123 - 1, 60 - 1) = "1" ), 3, 4 ) ) )</f>
        <v>4</v>
      </c>
      <c r="BK123" s="3">
        <v>6.6350710900473939E-2</v>
      </c>
      <c r="BL123" s="3" t="str">
        <f t="shared" si="10"/>
        <v>0</v>
      </c>
      <c r="BM123" t="str">
        <f ca="1">IF((OFFSET($A$1, 123 - 1, 63 - 1)) &gt;= (OFFSET($A$1, 135 - 1, 7 - 1)), "1","0")</f>
        <v>0</v>
      </c>
      <c r="BN123">
        <f ca="1" xml:space="preserve"> IF( AND( OFFSET($A$1, 123 - 1, 64 - 1) = "1", OFFSET($A$1, 123 - 1, 65 - 1) = "1" ), 1, IF( AND( OFFSET($A$1, 123 - 1, 64 - 1) = "1", OFFSET($A$1, 123 - 1, 65 - 1) = "0" ), 2, IF( AND( OFFSET($A$1, 123 - 1, 64 - 1) = "0", OFFSET($A$1, 123 - 1, 65 - 1) = "1" ), 3, 4 ) ) )</f>
        <v>4</v>
      </c>
    </row>
    <row r="124" spans="2:66" x14ac:dyDescent="0.2">
      <c r="C124" s="9">
        <v>2</v>
      </c>
      <c r="D124" s="9">
        <v>1</v>
      </c>
      <c r="E124" s="9">
        <v>0</v>
      </c>
      <c r="F124" s="9">
        <v>3</v>
      </c>
      <c r="G124" s="9">
        <v>4</v>
      </c>
      <c r="H124" s="9" t="s">
        <v>9</v>
      </c>
      <c r="I124" s="9">
        <v>3.5</v>
      </c>
      <c r="J124" s="9">
        <v>304</v>
      </c>
      <c r="K124" s="9">
        <v>0.12266666666666665</v>
      </c>
      <c r="L124" s="9">
        <v>0</v>
      </c>
      <c r="M124" s="9" t="s">
        <v>142</v>
      </c>
      <c r="BF124" s="3">
        <v>0</v>
      </c>
      <c r="BG124" s="3" t="str">
        <f t="shared" si="11"/>
        <v>0</v>
      </c>
      <c r="BH124" t="str">
        <f ca="1">IF((OFFSET($A$1, 124 - 1, 58 - 1)) &gt;= (OFFSET($A$1, 96 - 1, 7 - 1)), "1","0")</f>
        <v>0</v>
      </c>
      <c r="BI124">
        <f ca="1" xml:space="preserve"> IF( AND( OFFSET($A$1, 124 - 1, 59 - 1) = "1", OFFSET($A$1, 124 - 1, 60 - 1) = "1" ), 1, IF( AND( OFFSET($A$1, 124 - 1, 59 - 1) = "1", OFFSET($A$1, 124 - 1, 60 - 1) = "0" ), 2, IF( AND( OFFSET($A$1, 124 - 1, 59 - 1) = "0", OFFSET($A$1, 124 - 1, 60 - 1) = "1" ), 3, 4 ) ) )</f>
        <v>4</v>
      </c>
      <c r="BK124" s="3">
        <v>0.90579710144927539</v>
      </c>
      <c r="BL124" s="3" t="str">
        <f>"1"</f>
        <v>1</v>
      </c>
      <c r="BM124" t="str">
        <f ca="1">IF((OFFSET($A$1, 124 - 1, 63 - 1)) &gt;= (OFFSET($A$1, 135 - 1, 7 - 1)), "1","0")</f>
        <v>1</v>
      </c>
      <c r="BN124">
        <f ca="1" xml:space="preserve"> IF( AND( OFFSET($A$1, 124 - 1, 64 - 1) = "1", OFFSET($A$1, 124 - 1, 65 - 1) = "1" ), 1, IF( AND( OFFSET($A$1, 124 - 1, 64 - 1) = "1", OFFSET($A$1, 124 - 1, 65 - 1) = "0" ), 2, IF( AND( OFFSET($A$1, 124 - 1, 64 - 1) = "0", OFFSET($A$1, 124 - 1, 65 - 1) = "1" ), 3, 4 ) ) )</f>
        <v>1</v>
      </c>
    </row>
    <row r="125" spans="2:66" x14ac:dyDescent="0.2">
      <c r="C125" s="9">
        <v>3</v>
      </c>
      <c r="D125" s="9">
        <v>2</v>
      </c>
      <c r="E125" s="9">
        <v>2</v>
      </c>
      <c r="F125" s="9">
        <v>5</v>
      </c>
      <c r="G125" s="9">
        <v>6</v>
      </c>
      <c r="H125" s="9" t="s">
        <v>5</v>
      </c>
      <c r="I125" s="9">
        <v>6.5</v>
      </c>
      <c r="J125" s="9">
        <v>181</v>
      </c>
      <c r="K125" s="9">
        <v>2.6666666666666672E-2</v>
      </c>
      <c r="L125" s="9">
        <v>0</v>
      </c>
      <c r="M125" s="9" t="s">
        <v>142</v>
      </c>
      <c r="BF125" s="3">
        <v>0</v>
      </c>
      <c r="BG125" s="3" t="str">
        <f t="shared" si="11"/>
        <v>0</v>
      </c>
      <c r="BH125" t="str">
        <f ca="1">IF((OFFSET($A$1, 125 - 1, 58 - 1)) &gt;= (OFFSET($A$1, 96 - 1, 7 - 1)), "1","0")</f>
        <v>0</v>
      </c>
      <c r="BI125">
        <f ca="1" xml:space="preserve"> IF( AND( OFFSET($A$1, 125 - 1, 59 - 1) = "1", OFFSET($A$1, 125 - 1, 60 - 1) = "1" ), 1, IF( AND( OFFSET($A$1, 125 - 1, 59 - 1) = "1", OFFSET($A$1, 125 - 1, 60 - 1) = "0" ), 2, IF( AND( OFFSET($A$1, 125 - 1, 59 - 1) = "0", OFFSET($A$1, 125 - 1, 60 - 1) = "1" ), 3, 4 ) ) )</f>
        <v>4</v>
      </c>
      <c r="BK125" s="3">
        <v>0.90579710144927539</v>
      </c>
      <c r="BL125" s="3" t="str">
        <f>"1"</f>
        <v>1</v>
      </c>
      <c r="BM125" t="str">
        <f ca="1">IF((OFFSET($A$1, 125 - 1, 63 - 1)) &gt;= (OFFSET($A$1, 135 - 1, 7 - 1)), "1","0")</f>
        <v>1</v>
      </c>
      <c r="BN125">
        <f ca="1" xml:space="preserve"> IF( AND( OFFSET($A$1, 125 - 1, 64 - 1) = "1", OFFSET($A$1, 125 - 1, 65 - 1) = "1" ), 1, IF( AND( OFFSET($A$1, 125 - 1, 64 - 1) = "1", OFFSET($A$1, 125 - 1, 65 - 1) = "0" ), 2, IF( AND( OFFSET($A$1, 125 - 1, 64 - 1) = "0", OFFSET($A$1, 125 - 1, 65 - 1) = "1" ), 3, 4 ) ) )</f>
        <v>1</v>
      </c>
    </row>
    <row r="126" spans="2:66" x14ac:dyDescent="0.2">
      <c r="C126" s="9">
        <v>4</v>
      </c>
      <c r="D126" s="9">
        <v>2</v>
      </c>
      <c r="E126" s="9">
        <v>2</v>
      </c>
      <c r="F126" s="9">
        <v>7</v>
      </c>
      <c r="G126" s="9">
        <v>8</v>
      </c>
      <c r="H126" s="9" t="s">
        <v>4</v>
      </c>
      <c r="I126" s="9">
        <v>2.5</v>
      </c>
      <c r="J126" s="9">
        <v>123</v>
      </c>
      <c r="K126" s="9">
        <v>2.866666666666666E-2</v>
      </c>
      <c r="L126" s="9">
        <v>1</v>
      </c>
      <c r="M126" s="9" t="s">
        <v>142</v>
      </c>
      <c r="BF126" s="3">
        <v>3.7037037037037042E-2</v>
      </c>
      <c r="BG126" s="3" t="str">
        <f t="shared" si="11"/>
        <v>0</v>
      </c>
      <c r="BH126" t="str">
        <f ca="1">IF((OFFSET($A$1, 126 - 1, 58 - 1)) &gt;= (OFFSET($A$1, 96 - 1, 7 - 1)), "1","0")</f>
        <v>0</v>
      </c>
      <c r="BI126">
        <f ca="1" xml:space="preserve"> IF( AND( OFFSET($A$1, 126 - 1, 59 - 1) = "1", OFFSET($A$1, 126 - 1, 60 - 1) = "1" ), 1, IF( AND( OFFSET($A$1, 126 - 1, 59 - 1) = "1", OFFSET($A$1, 126 - 1, 60 - 1) = "0" ), 2, IF( AND( OFFSET($A$1, 126 - 1, 59 - 1) = "0", OFFSET($A$1, 126 - 1, 60 - 1) = "1" ), 3, 4 ) ) )</f>
        <v>4</v>
      </c>
      <c r="BK126" s="3">
        <v>2.5316455696202531E-2</v>
      </c>
      <c r="BL126" s="3" t="str">
        <f>"0"</f>
        <v>0</v>
      </c>
      <c r="BM126" t="str">
        <f ca="1">IF((OFFSET($A$1, 126 - 1, 63 - 1)) &gt;= (OFFSET($A$1, 135 - 1, 7 - 1)), "1","0")</f>
        <v>0</v>
      </c>
      <c r="BN126">
        <f ca="1" xml:space="preserve"> IF( AND( OFFSET($A$1, 126 - 1, 64 - 1) = "1", OFFSET($A$1, 126 - 1, 65 - 1) = "1" ), 1, IF( AND( OFFSET($A$1, 126 - 1, 64 - 1) = "1", OFFSET($A$1, 126 - 1, 65 - 1) = "0" ), 2, IF( AND( OFFSET($A$1, 126 - 1, 64 - 1) = "0", OFFSET($A$1, 126 - 1, 65 - 1) = "1" ), 3, 4 ) ) )</f>
        <v>4</v>
      </c>
    </row>
    <row r="127" spans="2:66" x14ac:dyDescent="0.2">
      <c r="C127" s="9">
        <v>5</v>
      </c>
      <c r="D127" s="9">
        <v>3</v>
      </c>
      <c r="E127" s="9">
        <v>3</v>
      </c>
      <c r="F127" s="9" t="s">
        <v>141</v>
      </c>
      <c r="G127" s="9" t="s">
        <v>141</v>
      </c>
      <c r="H127" s="9" t="s">
        <v>141</v>
      </c>
      <c r="I127" s="9" t="s">
        <v>141</v>
      </c>
      <c r="J127" s="9">
        <v>117</v>
      </c>
      <c r="K127" s="9">
        <v>2.6666666666666644E-3</v>
      </c>
      <c r="L127" s="9">
        <v>0</v>
      </c>
      <c r="M127" s="9" t="s">
        <v>143</v>
      </c>
      <c r="BF127" s="3">
        <v>0.1081081081081081</v>
      </c>
      <c r="BG127" s="3" t="str">
        <f t="shared" si="11"/>
        <v>0</v>
      </c>
      <c r="BH127" t="str">
        <f ca="1">IF((OFFSET($A$1, 127 - 1, 58 - 1)) &gt;= (OFFSET($A$1, 96 - 1, 7 - 1)), "1","0")</f>
        <v>0</v>
      </c>
      <c r="BI127">
        <f ca="1" xml:space="preserve"> IF( AND( OFFSET($A$1, 127 - 1, 59 - 1) = "1", OFFSET($A$1, 127 - 1, 60 - 1) = "1" ), 1, IF( AND( OFFSET($A$1, 127 - 1, 59 - 1) = "1", OFFSET($A$1, 127 - 1, 60 - 1) = "0" ), 2, IF( AND( OFFSET($A$1, 127 - 1, 59 - 1) = "0", OFFSET($A$1, 127 - 1, 60 - 1) = "1" ), 3, 4 ) ) )</f>
        <v>4</v>
      </c>
      <c r="BK127" s="3">
        <v>6.6350710900473939E-2</v>
      </c>
      <c r="BL127" s="3" t="str">
        <f>"0"</f>
        <v>0</v>
      </c>
      <c r="BM127" t="str">
        <f ca="1">IF((OFFSET($A$1, 127 - 1, 63 - 1)) &gt;= (OFFSET($A$1, 135 - 1, 7 - 1)), "1","0")</f>
        <v>0</v>
      </c>
      <c r="BN127">
        <f ca="1" xml:space="preserve"> IF( AND( OFFSET($A$1, 127 - 1, 64 - 1) = "1", OFFSET($A$1, 127 - 1, 65 - 1) = "1" ), 1, IF( AND( OFFSET($A$1, 127 - 1, 64 - 1) = "1", OFFSET($A$1, 127 - 1, 65 - 1) = "0" ), 2, IF( AND( OFFSET($A$1, 127 - 1, 64 - 1) = "0", OFFSET($A$1, 127 - 1, 65 - 1) = "1" ), 3, 4 ) ) )</f>
        <v>4</v>
      </c>
    </row>
    <row r="128" spans="2:66" x14ac:dyDescent="0.2">
      <c r="C128" s="9">
        <v>6</v>
      </c>
      <c r="D128" s="9">
        <v>3</v>
      </c>
      <c r="E128" s="9">
        <v>3</v>
      </c>
      <c r="F128" s="9" t="s">
        <v>141</v>
      </c>
      <c r="G128" s="9" t="s">
        <v>141</v>
      </c>
      <c r="H128" s="9" t="s">
        <v>141</v>
      </c>
      <c r="I128" s="9" t="s">
        <v>141</v>
      </c>
      <c r="J128" s="9">
        <v>64</v>
      </c>
      <c r="K128" s="9">
        <v>2.4E-2</v>
      </c>
      <c r="L128" s="9">
        <v>0</v>
      </c>
      <c r="M128" s="9" t="s">
        <v>143</v>
      </c>
      <c r="BF128" s="3">
        <v>0</v>
      </c>
      <c r="BG128" s="3" t="str">
        <f t="shared" si="11"/>
        <v>0</v>
      </c>
      <c r="BH128" t="str">
        <f ca="1">IF((OFFSET($A$1, 128 - 1, 58 - 1)) &gt;= (OFFSET($A$1, 96 - 1, 7 - 1)), "1","0")</f>
        <v>0</v>
      </c>
      <c r="BI128">
        <f ca="1" xml:space="preserve"> IF( AND( OFFSET($A$1, 128 - 1, 59 - 1) = "1", OFFSET($A$1, 128 - 1, 60 - 1) = "1" ), 1, IF( AND( OFFSET($A$1, 128 - 1, 59 - 1) = "1", OFFSET($A$1, 128 - 1, 60 - 1) = "0" ), 2, IF( AND( OFFSET($A$1, 128 - 1, 59 - 1) = "0", OFFSET($A$1, 128 - 1, 60 - 1) = "1" ), 3, 4 ) ) )</f>
        <v>4</v>
      </c>
      <c r="BK128" s="3">
        <v>6.6350710900473939E-2</v>
      </c>
      <c r="BL128" s="3" t="str">
        <f>"0"</f>
        <v>0</v>
      </c>
      <c r="BM128" t="str">
        <f ca="1">IF((OFFSET($A$1, 128 - 1, 63 - 1)) &gt;= (OFFSET($A$1, 135 - 1, 7 - 1)), "1","0")</f>
        <v>0</v>
      </c>
      <c r="BN128">
        <f ca="1" xml:space="preserve"> IF( AND( OFFSET($A$1, 128 - 1, 64 - 1) = "1", OFFSET($A$1, 128 - 1, 65 - 1) = "1" ), 1, IF( AND( OFFSET($A$1, 128 - 1, 64 - 1) = "1", OFFSET($A$1, 128 - 1, 65 - 1) = "0" ), 2, IF( AND( OFFSET($A$1, 128 - 1, 64 - 1) = "0", OFFSET($A$1, 128 - 1, 65 - 1) = "1" ), 3, 4 ) ) )</f>
        <v>4</v>
      </c>
    </row>
    <row r="129" spans="2:66" x14ac:dyDescent="0.2">
      <c r="C129" s="9">
        <v>7</v>
      </c>
      <c r="D129" s="9">
        <v>3</v>
      </c>
      <c r="E129" s="9">
        <v>4</v>
      </c>
      <c r="F129" s="9" t="s">
        <v>141</v>
      </c>
      <c r="G129" s="9" t="s">
        <v>141</v>
      </c>
      <c r="H129" s="9" t="s">
        <v>141</v>
      </c>
      <c r="I129" s="9" t="s">
        <v>141</v>
      </c>
      <c r="J129" s="9">
        <v>81</v>
      </c>
      <c r="K129" s="9">
        <v>8.6666666666666697E-3</v>
      </c>
      <c r="L129" s="9">
        <v>1</v>
      </c>
      <c r="M129" s="9" t="s">
        <v>143</v>
      </c>
      <c r="BF129" s="3">
        <v>0</v>
      </c>
      <c r="BG129" s="3" t="str">
        <f t="shared" si="11"/>
        <v>0</v>
      </c>
      <c r="BH129" t="str">
        <f ca="1">IF((OFFSET($A$1, 129 - 1, 58 - 1)) &gt;= (OFFSET($A$1, 96 - 1, 7 - 1)), "1","0")</f>
        <v>0</v>
      </c>
      <c r="BI129">
        <f ca="1" xml:space="preserve"> IF( AND( OFFSET($A$1, 129 - 1, 59 - 1) = "1", OFFSET($A$1, 129 - 1, 60 - 1) = "1" ), 1, IF( AND( OFFSET($A$1, 129 - 1, 59 - 1) = "1", OFFSET($A$1, 129 - 1, 60 - 1) = "0" ), 2, IF( AND( OFFSET($A$1, 129 - 1, 59 - 1) = "0", OFFSET($A$1, 129 - 1, 60 - 1) = "1" ), 3, 4 ) ) )</f>
        <v>4</v>
      </c>
      <c r="BK129" s="3">
        <v>6.6350710900473939E-2</v>
      </c>
      <c r="BL129" s="3" t="str">
        <f>"0"</f>
        <v>0</v>
      </c>
      <c r="BM129" t="str">
        <f ca="1">IF((OFFSET($A$1, 129 - 1, 63 - 1)) &gt;= (OFFSET($A$1, 135 - 1, 7 - 1)), "1","0")</f>
        <v>0</v>
      </c>
      <c r="BN129">
        <f ca="1" xml:space="preserve"> IF( AND( OFFSET($A$1, 129 - 1, 64 - 1) = "1", OFFSET($A$1, 129 - 1, 65 - 1) = "1" ), 1, IF( AND( OFFSET($A$1, 129 - 1, 64 - 1) = "1", OFFSET($A$1, 129 - 1, 65 - 1) = "0" ), 2, IF( AND( OFFSET($A$1, 129 - 1, 64 - 1) = "0", OFFSET($A$1, 129 - 1, 65 - 1) = "1" ), 3, 4 ) ) )</f>
        <v>4</v>
      </c>
    </row>
    <row r="130" spans="2:66" x14ac:dyDescent="0.2">
      <c r="C130" s="9">
        <v>8</v>
      </c>
      <c r="D130" s="9">
        <v>3</v>
      </c>
      <c r="E130" s="9">
        <v>4</v>
      </c>
      <c r="F130" s="9" t="s">
        <v>141</v>
      </c>
      <c r="G130" s="9" t="s">
        <v>141</v>
      </c>
      <c r="H130" s="9" t="s">
        <v>141</v>
      </c>
      <c r="I130" s="9" t="s">
        <v>141</v>
      </c>
      <c r="J130" s="9">
        <v>42</v>
      </c>
      <c r="K130" s="9">
        <v>1.2666666666666663E-2</v>
      </c>
      <c r="L130" s="9">
        <v>0</v>
      </c>
      <c r="M130" s="9" t="s">
        <v>143</v>
      </c>
      <c r="BF130" s="3">
        <v>0</v>
      </c>
      <c r="BG130" s="3" t="str">
        <f t="shared" si="11"/>
        <v>0</v>
      </c>
      <c r="BH130" t="str">
        <f ca="1">IF((OFFSET($A$1, 130 - 1, 58 - 1)) &gt;= (OFFSET($A$1, 96 - 1, 7 - 1)), "1","0")</f>
        <v>0</v>
      </c>
      <c r="BI130">
        <f ca="1" xml:space="preserve"> IF( AND( OFFSET($A$1, 130 - 1, 59 - 1) = "1", OFFSET($A$1, 130 - 1, 60 - 1) = "1" ), 1, IF( AND( OFFSET($A$1, 130 - 1, 59 - 1) = "1", OFFSET($A$1, 130 - 1, 60 - 1) = "0" ), 2, IF( AND( OFFSET($A$1, 130 - 1, 59 - 1) = "0", OFFSET($A$1, 130 - 1, 60 - 1) = "1" ), 3, 4 ) ) )</f>
        <v>4</v>
      </c>
      <c r="BK130" s="3">
        <v>6.6350710900473939E-2</v>
      </c>
      <c r="BL130" s="3" t="str">
        <f>"0"</f>
        <v>0</v>
      </c>
      <c r="BM130" t="str">
        <f ca="1">IF((OFFSET($A$1, 130 - 1, 63 - 1)) &gt;= (OFFSET($A$1, 135 - 1, 7 - 1)), "1","0")</f>
        <v>0</v>
      </c>
      <c r="BN130">
        <f ca="1" xml:space="preserve"> IF( AND( OFFSET($A$1, 130 - 1, 64 - 1) = "1", OFFSET($A$1, 130 - 1, 65 - 1) = "1" ), 1, IF( AND( OFFSET($A$1, 130 - 1, 64 - 1) = "1", OFFSET($A$1, 130 - 1, 65 - 1) = "0" ), 2, IF( AND( OFFSET($A$1, 130 - 1, 64 - 1) = "0", OFFSET($A$1, 130 - 1, 65 - 1) = "1" ), 3, 4 ) ) )</f>
        <v>4</v>
      </c>
    </row>
    <row r="131" spans="2:66" x14ac:dyDescent="0.2">
      <c r="BF131" s="3">
        <v>0</v>
      </c>
      <c r="BG131" s="3" t="str">
        <f t="shared" si="11"/>
        <v>0</v>
      </c>
      <c r="BH131" t="str">
        <f ca="1">IF((OFFSET($A$1, 131 - 1, 58 - 1)) &gt;= (OFFSET($A$1, 96 - 1, 7 - 1)), "1","0")</f>
        <v>0</v>
      </c>
      <c r="BI131">
        <f ca="1" xml:space="preserve"> IF( AND( OFFSET($A$1, 131 - 1, 59 - 1) = "1", OFFSET($A$1, 131 - 1, 60 - 1) = "1" ), 1, IF( AND( OFFSET($A$1, 131 - 1, 59 - 1) = "1", OFFSET($A$1, 131 - 1, 60 - 1) = "0" ), 2, IF( AND( OFFSET($A$1, 131 - 1, 59 - 1) = "0", OFFSET($A$1, 131 - 1, 60 - 1) = "1" ), 3, 4 ) ) )</f>
        <v>4</v>
      </c>
      <c r="BK131" s="3">
        <v>0.90579710144927539</v>
      </c>
      <c r="BL131" s="3" t="str">
        <f>"1"</f>
        <v>1</v>
      </c>
      <c r="BM131" t="str">
        <f ca="1">IF((OFFSET($A$1, 131 - 1, 63 - 1)) &gt;= (OFFSET($A$1, 135 - 1, 7 - 1)), "1","0")</f>
        <v>1</v>
      </c>
      <c r="BN131">
        <f ca="1" xml:space="preserve"> IF( AND( OFFSET($A$1, 131 - 1, 64 - 1) = "1", OFFSET($A$1, 131 - 1, 65 - 1) = "1" ), 1, IF( AND( OFFSET($A$1, 131 - 1, 64 - 1) = "1", OFFSET($A$1, 131 - 1, 65 - 1) = "0" ), 2, IF( AND( OFFSET($A$1, 131 - 1, 64 - 1) = "0", OFFSET($A$1, 131 - 1, 65 - 1) = "1" ), 3, 4 ) ) )</f>
        <v>1</v>
      </c>
    </row>
    <row r="132" spans="2:66" x14ac:dyDescent="0.2">
      <c r="BF132" s="3">
        <v>0.90579710144927539</v>
      </c>
      <c r="BG132" s="3" t="str">
        <f t="shared" si="11"/>
        <v>0</v>
      </c>
      <c r="BH132" t="str">
        <f ca="1">IF((OFFSET($A$1, 132 - 1, 58 - 1)) &gt;= (OFFSET($A$1, 96 - 1, 7 - 1)), "1","0")</f>
        <v>1</v>
      </c>
      <c r="BI132">
        <f ca="1" xml:space="preserve"> IF( AND( OFFSET($A$1, 132 - 1, 59 - 1) = "1", OFFSET($A$1, 132 - 1, 60 - 1) = "1" ), 1, IF( AND( OFFSET($A$1, 132 - 1, 59 - 1) = "1", OFFSET($A$1, 132 - 1, 60 - 1) = "0" ), 2, IF( AND( OFFSET($A$1, 132 - 1, 59 - 1) = "0", OFFSET($A$1, 132 - 1, 60 - 1) = "1" ), 3, 4 ) ) )</f>
        <v>3</v>
      </c>
      <c r="BK132" s="3">
        <v>6.6350710900473939E-2</v>
      </c>
      <c r="BL132" s="3" t="str">
        <f>"0"</f>
        <v>0</v>
      </c>
      <c r="BM132" t="str">
        <f ca="1">IF((OFFSET($A$1, 132 - 1, 63 - 1)) &gt;= (OFFSET($A$1, 135 - 1, 7 - 1)), "1","0")</f>
        <v>0</v>
      </c>
      <c r="BN132">
        <f ca="1" xml:space="preserve"> IF( AND( OFFSET($A$1, 132 - 1, 64 - 1) = "1", OFFSET($A$1, 132 - 1, 65 - 1) = "1" ), 1, IF( AND( OFFSET($A$1, 132 - 1, 64 - 1) = "1", OFFSET($A$1, 132 - 1, 65 - 1) = "0" ), 2, IF( AND( OFFSET($A$1, 132 - 1, 64 - 1) = "0", OFFSET($A$1, 132 - 1, 65 - 1) = "1" ), 3, 4 ) ) )</f>
        <v>4</v>
      </c>
    </row>
    <row r="133" spans="2:66" ht="19" x14ac:dyDescent="0.25">
      <c r="B133" s="7" t="s">
        <v>161</v>
      </c>
      <c r="BF133" s="3">
        <v>0.36</v>
      </c>
      <c r="BG133" s="3" t="str">
        <f t="shared" si="11"/>
        <v>0</v>
      </c>
      <c r="BH133" t="str">
        <f ca="1">IF((OFFSET($A$1, 133 - 1, 58 - 1)) &gt;= (OFFSET($A$1, 96 - 1, 7 - 1)), "1","0")</f>
        <v>0</v>
      </c>
      <c r="BI133">
        <f ca="1" xml:space="preserve"> IF( AND( OFFSET($A$1, 133 - 1, 59 - 1) = "1", OFFSET($A$1, 133 - 1, 60 - 1) = "1" ), 1, IF( AND( OFFSET($A$1, 133 - 1, 59 - 1) = "1", OFFSET($A$1, 133 - 1, 60 - 1) = "0" ), 2, IF( AND( OFFSET($A$1, 133 - 1, 59 - 1) = "0", OFFSET($A$1, 133 - 1, 60 - 1) = "1" ), 3, 4 ) ) )</f>
        <v>4</v>
      </c>
      <c r="BK133" s="3">
        <v>6.6350710900473939E-2</v>
      </c>
      <c r="BL133" s="3" t="str">
        <f>"0"</f>
        <v>0</v>
      </c>
      <c r="BM133" t="str">
        <f ca="1">IF((OFFSET($A$1, 133 - 1, 63 - 1)) &gt;= (OFFSET($A$1, 135 - 1, 7 - 1)), "1","0")</f>
        <v>0</v>
      </c>
      <c r="BN133">
        <f ca="1" xml:space="preserve"> IF( AND( OFFSET($A$1, 133 - 1, 64 - 1) = "1", OFFSET($A$1, 133 - 1, 65 - 1) = "1" ), 1, IF( AND( OFFSET($A$1, 133 - 1, 64 - 1) = "1", OFFSET($A$1, 133 - 1, 65 - 1) = "0" ), 2, IF( AND( OFFSET($A$1, 133 - 1, 64 - 1) = "0", OFFSET($A$1, 133 - 1, 65 - 1) = "1" ), 3, 4 ) ) )</f>
        <v>4</v>
      </c>
    </row>
    <row r="134" spans="2:66" x14ac:dyDescent="0.2">
      <c r="BF134" s="3">
        <v>0</v>
      </c>
      <c r="BG134" s="3" t="str">
        <f t="shared" si="11"/>
        <v>0</v>
      </c>
      <c r="BH134" t="str">
        <f ca="1">IF((OFFSET($A$1, 134 - 1, 58 - 1)) &gt;= (OFFSET($A$1, 96 - 1, 7 - 1)), "1","0")</f>
        <v>0</v>
      </c>
      <c r="BI134">
        <f ca="1" xml:space="preserve"> IF( AND( OFFSET($A$1, 134 - 1, 59 - 1) = "1", OFFSET($A$1, 134 - 1, 60 - 1) = "1" ), 1, IF( AND( OFFSET($A$1, 134 - 1, 59 - 1) = "1", OFFSET($A$1, 134 - 1, 60 - 1) = "0" ), 2, IF( AND( OFFSET($A$1, 134 - 1, 59 - 1) = "0", OFFSET($A$1, 134 - 1, 60 - 1) = "1" ), 3, 4 ) ) )</f>
        <v>4</v>
      </c>
      <c r="BK134" s="3">
        <v>6.6350710900473939E-2</v>
      </c>
      <c r="BL134" s="3" t="str">
        <f>"0"</f>
        <v>0</v>
      </c>
      <c r="BM134" t="str">
        <f ca="1">IF((OFFSET($A$1, 134 - 1, 63 - 1)) &gt;= (OFFSET($A$1, 135 - 1, 7 - 1)), "1","0")</f>
        <v>0</v>
      </c>
      <c r="BN134">
        <f ca="1" xml:space="preserve"> IF( AND( OFFSET($A$1, 134 - 1, 64 - 1) = "1", OFFSET($A$1, 134 - 1, 65 - 1) = "1" ), 1, IF( AND( OFFSET($A$1, 134 - 1, 64 - 1) = "1", OFFSET($A$1, 134 - 1, 65 - 1) = "0" ), 2, IF( AND( OFFSET($A$1, 134 - 1, 64 - 1) = "0", OFFSET($A$1, 134 - 1, 65 - 1) = "1" ), 3, 4 ) ) )</f>
        <v>4</v>
      </c>
    </row>
    <row r="135" spans="2:66" x14ac:dyDescent="0.2">
      <c r="C135" s="24" t="s">
        <v>145</v>
      </c>
      <c r="D135" s="25"/>
      <c r="E135" s="25"/>
      <c r="F135" s="26"/>
      <c r="G135" s="11">
        <v>0.5</v>
      </c>
      <c r="H135" s="24" t="s">
        <v>146</v>
      </c>
      <c r="I135" s="25"/>
      <c r="J135" s="25"/>
      <c r="K135" s="25"/>
      <c r="L135" s="25"/>
      <c r="M135" s="26"/>
      <c r="BF135" s="3">
        <v>0</v>
      </c>
      <c r="BG135" s="3" t="str">
        <f t="shared" si="11"/>
        <v>0</v>
      </c>
      <c r="BH135" t="str">
        <f ca="1">IF((OFFSET($A$1, 135 - 1, 58 - 1)) &gt;= (OFFSET($A$1, 96 - 1, 7 - 1)), "1","0")</f>
        <v>0</v>
      </c>
      <c r="BI135">
        <f ca="1" xml:space="preserve"> IF( AND( OFFSET($A$1, 135 - 1, 59 - 1) = "1", OFFSET($A$1, 135 - 1, 60 - 1) = "1" ), 1, IF( AND( OFFSET($A$1, 135 - 1, 59 - 1) = "1", OFFSET($A$1, 135 - 1, 60 - 1) = "0" ), 2, IF( AND( OFFSET($A$1, 135 - 1, 59 - 1) = "0", OFFSET($A$1, 135 - 1, 60 - 1) = "1" ), 3, 4 ) ) )</f>
        <v>4</v>
      </c>
      <c r="BK135" s="3">
        <v>0.90579710144927539</v>
      </c>
      <c r="BL135" s="3" t="str">
        <f>"1"</f>
        <v>1</v>
      </c>
      <c r="BM135" t="str">
        <f ca="1">IF((OFFSET($A$1, 135 - 1, 63 - 1)) &gt;= (OFFSET($A$1, 135 - 1, 7 - 1)), "1","0")</f>
        <v>1</v>
      </c>
      <c r="BN135">
        <f ca="1" xml:space="preserve"> IF( AND( OFFSET($A$1, 135 - 1, 64 - 1) = "1", OFFSET($A$1, 135 - 1, 65 - 1) = "1" ), 1, IF( AND( OFFSET($A$1, 135 - 1, 64 - 1) = "1", OFFSET($A$1, 135 - 1, 65 - 1) = "0" ), 2, IF( AND( OFFSET($A$1, 135 - 1, 64 - 1) = "0", OFFSET($A$1, 135 - 1, 65 - 1) = "1" ), 3, 4 ) ) )</f>
        <v>1</v>
      </c>
    </row>
    <row r="136" spans="2:66" x14ac:dyDescent="0.2">
      <c r="BF136" s="3">
        <v>0.90579710144927539</v>
      </c>
      <c r="BG136" s="3" t="str">
        <f>"1"</f>
        <v>1</v>
      </c>
      <c r="BH136" t="str">
        <f ca="1">IF((OFFSET($A$1, 136 - 1, 58 - 1)) &gt;= (OFFSET($A$1, 96 - 1, 7 - 1)), "1","0")</f>
        <v>1</v>
      </c>
      <c r="BI136">
        <f ca="1" xml:space="preserve"> IF( AND( OFFSET($A$1, 136 - 1, 59 - 1) = "1", OFFSET($A$1, 136 - 1, 60 - 1) = "1" ), 1, IF( AND( OFFSET($A$1, 136 - 1, 59 - 1) = "1", OFFSET($A$1, 136 - 1, 60 - 1) = "0" ), 2, IF( AND( OFFSET($A$1, 136 - 1, 59 - 1) = "0", OFFSET($A$1, 136 - 1, 60 - 1) = "1" ), 3, 4 ) ) )</f>
        <v>1</v>
      </c>
      <c r="BK136" s="3">
        <v>6.6350710900473939E-2</v>
      </c>
      <c r="BL136" s="3" t="str">
        <f>"0"</f>
        <v>0</v>
      </c>
      <c r="BM136" t="str">
        <f ca="1">IF((OFFSET($A$1, 136 - 1, 63 - 1)) &gt;= (OFFSET($A$1, 135 - 1, 7 - 1)), "1","0")</f>
        <v>0</v>
      </c>
      <c r="BN136">
        <f ca="1" xml:space="preserve"> IF( AND( OFFSET($A$1, 136 - 1, 64 - 1) = "1", OFFSET($A$1, 136 - 1, 65 - 1) = "1" ), 1, IF( AND( OFFSET($A$1, 136 - 1, 64 - 1) = "1", OFFSET($A$1, 136 - 1, 65 - 1) = "0" ), 2, IF( AND( OFFSET($A$1, 136 - 1, 64 - 1) = "0", OFFSET($A$1, 136 - 1, 65 - 1) = "1" ), 3, 4 ) ) )</f>
        <v>4</v>
      </c>
    </row>
    <row r="137" spans="2:66" ht="16" x14ac:dyDescent="0.2">
      <c r="C137" s="14" t="s">
        <v>147</v>
      </c>
      <c r="D137" s="15"/>
      <c r="E137" s="16"/>
      <c r="BF137" s="3">
        <v>0</v>
      </c>
      <c r="BG137" s="3" t="str">
        <f t="shared" ref="BG137:BG142" si="12">"0"</f>
        <v>0</v>
      </c>
      <c r="BH137" t="str">
        <f ca="1">IF((OFFSET($A$1, 137 - 1, 58 - 1)) &gt;= (OFFSET($A$1, 96 - 1, 7 - 1)), "1","0")</f>
        <v>0</v>
      </c>
      <c r="BI137">
        <f ca="1" xml:space="preserve"> IF( AND( OFFSET($A$1, 137 - 1, 59 - 1) = "1", OFFSET($A$1, 137 - 1, 60 - 1) = "1" ), 1, IF( AND( OFFSET($A$1, 137 - 1, 59 - 1) = "1", OFFSET($A$1, 137 - 1, 60 - 1) = "0" ), 2, IF( AND( OFFSET($A$1, 137 - 1, 59 - 1) = "0", OFFSET($A$1, 137 - 1, 60 - 1) = "1" ), 3, 4 ) ) )</f>
        <v>4</v>
      </c>
      <c r="BK137" s="3">
        <v>0.36</v>
      </c>
      <c r="BL137" s="3" t="str">
        <f>"0"</f>
        <v>0</v>
      </c>
      <c r="BM137" t="str">
        <f ca="1">IF((OFFSET($A$1, 137 - 1, 63 - 1)) &gt;= (OFFSET($A$1, 135 - 1, 7 - 1)), "1","0")</f>
        <v>0</v>
      </c>
      <c r="BN137">
        <f ca="1" xml:space="preserve"> IF( AND( OFFSET($A$1, 137 - 1, 64 - 1) = "1", OFFSET($A$1, 137 - 1, 65 - 1) = "1" ), 1, IF( AND( OFFSET($A$1, 137 - 1, 64 - 1) = "1", OFFSET($A$1, 137 - 1, 65 - 1) = "0" ), 2, IF( AND( OFFSET($A$1, 137 - 1, 64 - 1) = "0", OFFSET($A$1, 137 - 1, 65 - 1) = "1" ), 3, 4 ) ) )</f>
        <v>4</v>
      </c>
    </row>
    <row r="138" spans="2:66" x14ac:dyDescent="0.2">
      <c r="C138" s="4"/>
      <c r="D138" s="22" t="s">
        <v>148</v>
      </c>
      <c r="E138" s="23"/>
      <c r="BF138" s="3">
        <v>3.7037037037037042E-2</v>
      </c>
      <c r="BG138" s="3" t="str">
        <f t="shared" si="12"/>
        <v>0</v>
      </c>
      <c r="BH138" t="str">
        <f ca="1">IF((OFFSET($A$1, 138 - 1, 58 - 1)) &gt;= (OFFSET($A$1, 96 - 1, 7 - 1)), "1","0")</f>
        <v>0</v>
      </c>
      <c r="BI138">
        <f ca="1" xml:space="preserve"> IF( AND( OFFSET($A$1, 138 - 1, 59 - 1) = "1", OFFSET($A$1, 138 - 1, 60 - 1) = "1" ), 1, IF( AND( OFFSET($A$1, 138 - 1, 59 - 1) = "1", OFFSET($A$1, 138 - 1, 60 - 1) = "0" ), 2, IF( AND( OFFSET($A$1, 138 - 1, 59 - 1) = "0", OFFSET($A$1, 138 - 1, 60 - 1) = "1" ), 3, 4 ) ) )</f>
        <v>4</v>
      </c>
      <c r="BK138" s="3">
        <v>6.6350710900473939E-2</v>
      </c>
      <c r="BL138" s="3" t="str">
        <f>"0"</f>
        <v>0</v>
      </c>
      <c r="BM138" t="str">
        <f ca="1">IF((OFFSET($A$1, 138 - 1, 63 - 1)) &gt;= (OFFSET($A$1, 135 - 1, 7 - 1)), "1","0")</f>
        <v>0</v>
      </c>
      <c r="BN138">
        <f ca="1" xml:space="preserve"> IF( AND( OFFSET($A$1, 138 - 1, 64 - 1) = "1", OFFSET($A$1, 138 - 1, 65 - 1) = "1" ), 1, IF( AND( OFFSET($A$1, 138 - 1, 64 - 1) = "1", OFFSET($A$1, 138 - 1, 65 - 1) = "0" ), 2, IF( AND( OFFSET($A$1, 138 - 1, 64 - 1) = "0", OFFSET($A$1, 138 - 1, 65 - 1) = "1" ), 3, 4 ) ) )</f>
        <v>4</v>
      </c>
    </row>
    <row r="139" spans="2:66" x14ac:dyDescent="0.2">
      <c r="C139" s="5" t="s">
        <v>149</v>
      </c>
      <c r="D139" s="4">
        <v>1</v>
      </c>
      <c r="E139" s="4">
        <v>0</v>
      </c>
      <c r="BF139" s="3">
        <v>0</v>
      </c>
      <c r="BG139" s="3" t="str">
        <f t="shared" si="12"/>
        <v>0</v>
      </c>
      <c r="BH139" t="str">
        <f ca="1">IF((OFFSET($A$1, 139 - 1, 58 - 1)) &gt;= (OFFSET($A$1, 96 - 1, 7 - 1)), "1","0")</f>
        <v>0</v>
      </c>
      <c r="BI139">
        <f ca="1" xml:space="preserve"> IF( AND( OFFSET($A$1, 139 - 1, 59 - 1) = "1", OFFSET($A$1, 139 - 1, 60 - 1) = "1" ), 1, IF( AND( OFFSET($A$1, 139 - 1, 59 - 1) = "1", OFFSET($A$1, 139 - 1, 60 - 1) = "0" ), 2, IF( AND( OFFSET($A$1, 139 - 1, 59 - 1) = "0", OFFSET($A$1, 139 - 1, 60 - 1) = "1" ), 3, 4 ) ) )</f>
        <v>4</v>
      </c>
      <c r="BK139" s="3">
        <v>2.5316455696202531E-2</v>
      </c>
      <c r="BL139" s="3" t="str">
        <f>"0"</f>
        <v>0</v>
      </c>
      <c r="BM139" t="str">
        <f ca="1">IF((OFFSET($A$1, 139 - 1, 63 - 1)) &gt;= (OFFSET($A$1, 135 - 1, 7 - 1)), "1","0")</f>
        <v>0</v>
      </c>
      <c r="BN139">
        <f ca="1" xml:space="preserve"> IF( AND( OFFSET($A$1, 139 - 1, 64 - 1) = "1", OFFSET($A$1, 139 - 1, 65 - 1) = "1" ), 1, IF( AND( OFFSET($A$1, 139 - 1, 64 - 1) = "1", OFFSET($A$1, 139 - 1, 65 - 1) = "0" ), 2, IF( AND( OFFSET($A$1, 139 - 1, 64 - 1) = "0", OFFSET($A$1, 139 - 1, 65 - 1) = "1" ), 3, 4 ) ) )</f>
        <v>4</v>
      </c>
    </row>
    <row r="140" spans="2:66" x14ac:dyDescent="0.2">
      <c r="C140" s="5">
        <v>1</v>
      </c>
      <c r="D140" s="3">
        <f ca="1" xml:space="preserve"> COUNTIF( OFFSET($A$1, 1 - 1, 66 - 1, 1001, 1), 1 )</f>
        <v>75</v>
      </c>
      <c r="E140" s="3">
        <f ca="1" xml:space="preserve"> COUNTIF( OFFSET($A$1, 1 - 1, 66 - 1, 1001, 1), 2 )</f>
        <v>101</v>
      </c>
      <c r="BF140" s="3">
        <v>0</v>
      </c>
      <c r="BG140" s="3" t="str">
        <f t="shared" si="12"/>
        <v>0</v>
      </c>
      <c r="BH140" t="str">
        <f ca="1">IF((OFFSET($A$1, 140 - 1, 58 - 1)) &gt;= (OFFSET($A$1, 96 - 1, 7 - 1)), "1","0")</f>
        <v>0</v>
      </c>
      <c r="BI140">
        <f ca="1" xml:space="preserve"> IF( AND( OFFSET($A$1, 140 - 1, 59 - 1) = "1", OFFSET($A$1, 140 - 1, 60 - 1) = "1" ), 1, IF( AND( OFFSET($A$1, 140 - 1, 59 - 1) = "1", OFFSET($A$1, 140 - 1, 60 - 1) = "0" ), 2, IF( AND( OFFSET($A$1, 140 - 1, 59 - 1) = "0", OFFSET($A$1, 140 - 1, 60 - 1) = "1" ), 3, 4 ) ) )</f>
        <v>4</v>
      </c>
      <c r="BK140" s="3">
        <v>0.90579710144927539</v>
      </c>
      <c r="BL140" s="3" t="str">
        <f>"1"</f>
        <v>1</v>
      </c>
      <c r="BM140" t="str">
        <f ca="1">IF((OFFSET($A$1, 140 - 1, 63 - 1)) &gt;= (OFFSET($A$1, 135 - 1, 7 - 1)), "1","0")</f>
        <v>1</v>
      </c>
      <c r="BN140">
        <f ca="1" xml:space="preserve"> IF( AND( OFFSET($A$1, 140 - 1, 64 - 1) = "1", OFFSET($A$1, 140 - 1, 65 - 1) = "1" ), 1, IF( AND( OFFSET($A$1, 140 - 1, 64 - 1) = "1", OFFSET($A$1, 140 - 1, 65 - 1) = "0" ), 2, IF( AND( OFFSET($A$1, 140 - 1, 64 - 1) = "0", OFFSET($A$1, 140 - 1, 65 - 1) = "1" ), 3, 4 ) ) )</f>
        <v>1</v>
      </c>
    </row>
    <row r="141" spans="2:66" x14ac:dyDescent="0.2">
      <c r="C141" s="5">
        <v>0</v>
      </c>
      <c r="D141" s="3">
        <f ca="1" xml:space="preserve"> COUNTIF( OFFSET($A$1, 1 - 1, 66 - 1, 1001, 1), 3 )</f>
        <v>6</v>
      </c>
      <c r="E141" s="3">
        <f ca="1" xml:space="preserve"> COUNTIF( OFFSET($A$1, 1 - 1, 66 - 1, 1001, 1), 4 )</f>
        <v>818</v>
      </c>
      <c r="BF141" s="3">
        <v>0.34722222222222221</v>
      </c>
      <c r="BG141" s="3" t="str">
        <f t="shared" si="12"/>
        <v>0</v>
      </c>
      <c r="BH141" t="str">
        <f ca="1">IF((OFFSET($A$1, 141 - 1, 58 - 1)) &gt;= (OFFSET($A$1, 96 - 1, 7 - 1)), "1","0")</f>
        <v>0</v>
      </c>
      <c r="BI141">
        <f ca="1" xml:space="preserve"> IF( AND( OFFSET($A$1, 141 - 1, 59 - 1) = "1", OFFSET($A$1, 141 - 1, 60 - 1) = "1" ), 1, IF( AND( OFFSET($A$1, 141 - 1, 59 - 1) = "1", OFFSET($A$1, 141 - 1, 60 - 1) = "0" ), 2, IF( AND( OFFSET($A$1, 141 - 1, 59 - 1) = "0", OFFSET($A$1, 141 - 1, 60 - 1) = "1" ), 3, 4 ) ) )</f>
        <v>4</v>
      </c>
      <c r="BK141" s="3">
        <v>0.90579710144927539</v>
      </c>
      <c r="BL141" s="3" t="str">
        <f>"1"</f>
        <v>1</v>
      </c>
      <c r="BM141" t="str">
        <f ca="1">IF((OFFSET($A$1, 141 - 1, 63 - 1)) &gt;= (OFFSET($A$1, 135 - 1, 7 - 1)), "1","0")</f>
        <v>1</v>
      </c>
      <c r="BN141">
        <f ca="1" xml:space="preserve"> IF( AND( OFFSET($A$1, 141 - 1, 64 - 1) = "1", OFFSET($A$1, 141 - 1, 65 - 1) = "1" ), 1, IF( AND( OFFSET($A$1, 141 - 1, 64 - 1) = "1", OFFSET($A$1, 141 - 1, 65 - 1) = "0" ), 2, IF( AND( OFFSET($A$1, 141 - 1, 64 - 1) = "0", OFFSET($A$1, 141 - 1, 65 - 1) = "1" ), 3, 4 ) ) )</f>
        <v>1</v>
      </c>
    </row>
    <row r="142" spans="2:66" x14ac:dyDescent="0.2">
      <c r="BF142" s="3">
        <v>0</v>
      </c>
      <c r="BG142" s="3" t="str">
        <f t="shared" si="12"/>
        <v>0</v>
      </c>
      <c r="BH142" t="str">
        <f ca="1">IF((OFFSET($A$1, 142 - 1, 58 - 1)) &gt;= (OFFSET($A$1, 96 - 1, 7 - 1)), "1","0")</f>
        <v>0</v>
      </c>
      <c r="BI142">
        <f ca="1" xml:space="preserve"> IF( AND( OFFSET($A$1, 142 - 1, 59 - 1) = "1", OFFSET($A$1, 142 - 1, 60 - 1) = "1" ), 1, IF( AND( OFFSET($A$1, 142 - 1, 59 - 1) = "1", OFFSET($A$1, 142 - 1, 60 - 1) = "0" ), 2, IF( AND( OFFSET($A$1, 142 - 1, 59 - 1) = "0", OFFSET($A$1, 142 - 1, 60 - 1) = "1" ), 3, 4 ) ) )</f>
        <v>4</v>
      </c>
      <c r="BK142" s="3">
        <v>6.6350710900473939E-2</v>
      </c>
      <c r="BL142" s="3" t="str">
        <f>"0"</f>
        <v>0</v>
      </c>
      <c r="BM142" t="str">
        <f ca="1">IF((OFFSET($A$1, 142 - 1, 63 - 1)) &gt;= (OFFSET($A$1, 135 - 1, 7 - 1)), "1","0")</f>
        <v>0</v>
      </c>
      <c r="BN142">
        <f ca="1" xml:space="preserve"> IF( AND( OFFSET($A$1, 142 - 1, 64 - 1) = "1", OFFSET($A$1, 142 - 1, 65 - 1) = "1" ), 1, IF( AND( OFFSET($A$1, 142 - 1, 64 - 1) = "1", OFFSET($A$1, 142 - 1, 65 - 1) = "0" ), 2, IF( AND( OFFSET($A$1, 142 - 1, 64 - 1) = "0", OFFSET($A$1, 142 - 1, 65 - 1) = "1" ), 3, 4 ) ) )</f>
        <v>4</v>
      </c>
    </row>
    <row r="143" spans="2:66" ht="16" x14ac:dyDescent="0.2">
      <c r="C143" s="14" t="s">
        <v>150</v>
      </c>
      <c r="D143" s="15"/>
      <c r="E143" s="15"/>
      <c r="F143" s="16"/>
      <c r="BF143" s="3">
        <v>0.90579710144927539</v>
      </c>
      <c r="BG143" s="3" t="str">
        <f>"1"</f>
        <v>1</v>
      </c>
      <c r="BH143" t="str">
        <f ca="1">IF((OFFSET($A$1, 143 - 1, 58 - 1)) &gt;= (OFFSET($A$1, 96 - 1, 7 - 1)), "1","0")</f>
        <v>1</v>
      </c>
      <c r="BI143">
        <f ca="1" xml:space="preserve"> IF( AND( OFFSET($A$1, 143 - 1, 59 - 1) = "1", OFFSET($A$1, 143 - 1, 60 - 1) = "1" ), 1, IF( AND( OFFSET($A$1, 143 - 1, 59 - 1) = "1", OFFSET($A$1, 143 - 1, 60 - 1) = "0" ), 2, IF( AND( OFFSET($A$1, 143 - 1, 59 - 1) = "0", OFFSET($A$1, 143 - 1, 60 - 1) = "1" ), 3, 4 ) ) )</f>
        <v>1</v>
      </c>
      <c r="BK143" s="3">
        <v>6.6350710900473939E-2</v>
      </c>
      <c r="BL143" s="3" t="str">
        <f>"0"</f>
        <v>0</v>
      </c>
      <c r="BM143" t="str">
        <f ca="1">IF((OFFSET($A$1, 143 - 1, 63 - 1)) &gt;= (OFFSET($A$1, 135 - 1, 7 - 1)), "1","0")</f>
        <v>0</v>
      </c>
      <c r="BN143">
        <f ca="1" xml:space="preserve"> IF( AND( OFFSET($A$1, 143 - 1, 64 - 1) = "1", OFFSET($A$1, 143 - 1, 65 - 1) = "1" ), 1, IF( AND( OFFSET($A$1, 143 - 1, 64 - 1) = "1", OFFSET($A$1, 143 - 1, 65 - 1) = "0" ), 2, IF( AND( OFFSET($A$1, 143 - 1, 64 - 1) = "0", OFFSET($A$1, 143 - 1, 65 - 1) = "1" ), 3, 4 ) ) )</f>
        <v>4</v>
      </c>
    </row>
    <row r="144" spans="2:66" x14ac:dyDescent="0.2">
      <c r="C144" s="4" t="s">
        <v>13</v>
      </c>
      <c r="D144" s="4" t="s">
        <v>151</v>
      </c>
      <c r="E144" s="4" t="s">
        <v>152</v>
      </c>
      <c r="F144" s="4" t="s">
        <v>98</v>
      </c>
      <c r="BF144" s="3">
        <v>0.34722222222222221</v>
      </c>
      <c r="BG144" s="3" t="str">
        <f>"0"</f>
        <v>0</v>
      </c>
      <c r="BH144" t="str">
        <f ca="1">IF((OFFSET($A$1, 144 - 1, 58 - 1)) &gt;= (OFFSET($A$1, 96 - 1, 7 - 1)), "1","0")</f>
        <v>0</v>
      </c>
      <c r="BI144">
        <f ca="1" xml:space="preserve"> IF( AND( OFFSET($A$1, 144 - 1, 59 - 1) = "1", OFFSET($A$1, 144 - 1, 60 - 1) = "1" ), 1, IF( AND( OFFSET($A$1, 144 - 1, 59 - 1) = "1", OFFSET($A$1, 144 - 1, 60 - 1) = "0" ), 2, IF( AND( OFFSET($A$1, 144 - 1, 59 - 1) = "0", OFFSET($A$1, 144 - 1, 60 - 1) = "1" ), 3, 4 ) ) )</f>
        <v>4</v>
      </c>
      <c r="BK144" s="3">
        <v>0.90579710144927539</v>
      </c>
      <c r="BL144" s="3" t="str">
        <f>"1"</f>
        <v>1</v>
      </c>
      <c r="BM144" t="str">
        <f ca="1">IF((OFFSET($A$1, 144 - 1, 63 - 1)) &gt;= (OFFSET($A$1, 135 - 1, 7 - 1)), "1","0")</f>
        <v>1</v>
      </c>
      <c r="BN144">
        <f ca="1" xml:space="preserve"> IF( AND( OFFSET($A$1, 144 - 1, 64 - 1) = "1", OFFSET($A$1, 144 - 1, 65 - 1) = "1" ), 1, IF( AND( OFFSET($A$1, 144 - 1, 64 - 1) = "1", OFFSET($A$1, 144 - 1, 65 - 1) = "0" ), 2, IF( AND( OFFSET($A$1, 144 - 1, 64 - 1) = "0", OFFSET($A$1, 144 - 1, 65 - 1) = "1" ), 3, 4 ) ) )</f>
        <v>1</v>
      </c>
    </row>
    <row r="145" spans="3:66" x14ac:dyDescent="0.2">
      <c r="C145" s="5">
        <v>1</v>
      </c>
      <c r="D145" s="3">
        <f ca="1">SUM(OFFSET($A$1, 140 - 1, 4 - 1, 1, 2))</f>
        <v>176</v>
      </c>
      <c r="E145" s="3">
        <f ca="1">SUM(OFFSET($A$1, 140 - 1, 4 - 1, 1, 2)) - OFFSET($A$1, 140 - 1, 4 - 1)</f>
        <v>101</v>
      </c>
      <c r="F145" s="3">
        <f ca="1">IF(OFFSET($A$1, 145 - 1, 4 - 1)=0,"Undefined",((OFFSET($A$1, 145 - 1, 5 - 1))*100) / (OFFSET($A$1, 145 - 1, 4 - 1)))</f>
        <v>57.386363636363633</v>
      </c>
      <c r="BF145" s="3">
        <v>0</v>
      </c>
      <c r="BG145" s="3" t="str">
        <f>"0"</f>
        <v>0</v>
      </c>
      <c r="BH145" t="str">
        <f ca="1">IF((OFFSET($A$1, 145 - 1, 58 - 1)) &gt;= (OFFSET($A$1, 96 - 1, 7 - 1)), "1","0")</f>
        <v>0</v>
      </c>
      <c r="BI145">
        <f ca="1" xml:space="preserve"> IF( AND( OFFSET($A$1, 145 - 1, 59 - 1) = "1", OFFSET($A$1, 145 - 1, 60 - 1) = "1" ), 1, IF( AND( OFFSET($A$1, 145 - 1, 59 - 1) = "1", OFFSET($A$1, 145 - 1, 60 - 1) = "0" ), 2, IF( AND( OFFSET($A$1, 145 - 1, 59 - 1) = "0", OFFSET($A$1, 145 - 1, 60 - 1) = "1" ), 3, 4 ) ) )</f>
        <v>4</v>
      </c>
      <c r="BK145" s="3">
        <v>2.5316455696202531E-2</v>
      </c>
      <c r="BL145" s="3" t="str">
        <f>"0"</f>
        <v>0</v>
      </c>
      <c r="BM145" t="str">
        <f ca="1">IF((OFFSET($A$1, 145 - 1, 63 - 1)) &gt;= (OFFSET($A$1, 135 - 1, 7 - 1)), "1","0")</f>
        <v>0</v>
      </c>
      <c r="BN145">
        <f ca="1" xml:space="preserve"> IF( AND( OFFSET($A$1, 145 - 1, 64 - 1) = "1", OFFSET($A$1, 145 - 1, 65 - 1) = "1" ), 1, IF( AND( OFFSET($A$1, 145 - 1, 64 - 1) = "1", OFFSET($A$1, 145 - 1, 65 - 1) = "0" ), 2, IF( AND( OFFSET($A$1, 145 - 1, 64 - 1) = "0", OFFSET($A$1, 145 - 1, 65 - 1) = "1" ), 3, 4 ) ) )</f>
        <v>4</v>
      </c>
    </row>
    <row r="146" spans="3:66" x14ac:dyDescent="0.2">
      <c r="C146" s="5">
        <v>0</v>
      </c>
      <c r="D146" s="3">
        <f ca="1">SUM(OFFSET($A$1, 141 - 1, 4 - 1, 1, 2))</f>
        <v>824</v>
      </c>
      <c r="E146" s="3">
        <f ca="1">SUM(OFFSET($A$1, 141 - 1, 4 - 1, 1, 2)) - OFFSET($A$1, 141 - 1, 5 - 1)</f>
        <v>6</v>
      </c>
      <c r="F146" s="3">
        <f ca="1">IF(OFFSET($A$1, 146 - 1, 4 - 1)=0,"Undefined",((OFFSET($A$1, 146 - 1, 5 - 1))*100) / (OFFSET($A$1, 146 - 1, 4 - 1)))</f>
        <v>0.72815533980582525</v>
      </c>
      <c r="BF146" s="3">
        <v>0.08</v>
      </c>
      <c r="BG146" s="3" t="str">
        <f>"0"</f>
        <v>0</v>
      </c>
      <c r="BH146" t="str">
        <f ca="1">IF((OFFSET($A$1, 146 - 1, 58 - 1)) &gt;= (OFFSET($A$1, 96 - 1, 7 - 1)), "1","0")</f>
        <v>0</v>
      </c>
      <c r="BI146">
        <f ca="1" xml:space="preserve"> IF( AND( OFFSET($A$1, 146 - 1, 59 - 1) = "1", OFFSET($A$1, 146 - 1, 60 - 1) = "1" ), 1, IF( AND( OFFSET($A$1, 146 - 1, 59 - 1) = "1", OFFSET($A$1, 146 - 1, 60 - 1) = "0" ), 2, IF( AND( OFFSET($A$1, 146 - 1, 59 - 1) = "0", OFFSET($A$1, 146 - 1, 60 - 1) = "1" ), 3, 4 ) ) )</f>
        <v>4</v>
      </c>
      <c r="BK146" s="3">
        <v>6.6350710900473939E-2</v>
      </c>
      <c r="BL146" s="3" t="str">
        <f>"1"</f>
        <v>1</v>
      </c>
      <c r="BM146" t="str">
        <f ca="1">IF((OFFSET($A$1, 146 - 1, 63 - 1)) &gt;= (OFFSET($A$1, 135 - 1, 7 - 1)), "1","0")</f>
        <v>0</v>
      </c>
      <c r="BN146">
        <f ca="1" xml:space="preserve"> IF( AND( OFFSET($A$1, 146 - 1, 64 - 1) = "1", OFFSET($A$1, 146 - 1, 65 - 1) = "1" ), 1, IF( AND( OFFSET($A$1, 146 - 1, 64 - 1) = "1", OFFSET($A$1, 146 - 1, 65 - 1) = "0" ), 2, IF( AND( OFFSET($A$1, 146 - 1, 64 - 1) = "0", OFFSET($A$1, 146 - 1, 65 - 1) = "1" ), 3, 4 ) ) )</f>
        <v>2</v>
      </c>
    </row>
    <row r="147" spans="3:66" x14ac:dyDescent="0.2">
      <c r="C147" s="5" t="s">
        <v>153</v>
      </c>
      <c r="D147" s="3">
        <f ca="1">SUM(OFFSET($A$1, 145 - 1, 4 - 1, 2, 1))</f>
        <v>1000</v>
      </c>
      <c r="E147" s="3">
        <f ca="1">SUM(OFFSET($A$1, 145 - 1, 5 - 1, 2, 1))</f>
        <v>107</v>
      </c>
      <c r="F147" s="3">
        <f ca="1">IF(OFFSET($A$1, 147 - 1, 4 - 1)=0,"Undefined",((OFFSET($A$1, 147 - 1, 5 - 1))*100) / (OFFSET($A$1, 147 - 1, 4 - 1)))</f>
        <v>10.7</v>
      </c>
      <c r="BF147" s="3">
        <v>0.38775510204081637</v>
      </c>
      <c r="BG147" s="3" t="str">
        <f>"0"</f>
        <v>0</v>
      </c>
      <c r="BH147" t="str">
        <f ca="1">IF((OFFSET($A$1, 147 - 1, 58 - 1)) &gt;= (OFFSET($A$1, 96 - 1, 7 - 1)), "1","0")</f>
        <v>0</v>
      </c>
      <c r="BI147">
        <f ca="1" xml:space="preserve"> IF( AND( OFFSET($A$1, 147 - 1, 59 - 1) = "1", OFFSET($A$1, 147 - 1, 60 - 1) = "1" ), 1, IF( AND( OFFSET($A$1, 147 - 1, 59 - 1) = "1", OFFSET($A$1, 147 - 1, 60 - 1) = "0" ), 2, IF( AND( OFFSET($A$1, 147 - 1, 59 - 1) = "0", OFFSET($A$1, 147 - 1, 60 - 1) = "1" ), 3, 4 ) ) )</f>
        <v>4</v>
      </c>
      <c r="BK147" s="3">
        <v>0.90579710144927539</v>
      </c>
      <c r="BL147" s="3" t="str">
        <f>"1"</f>
        <v>1</v>
      </c>
      <c r="BM147" t="str">
        <f ca="1">IF((OFFSET($A$1, 147 - 1, 63 - 1)) &gt;= (OFFSET($A$1, 135 - 1, 7 - 1)), "1","0")</f>
        <v>1</v>
      </c>
      <c r="BN147">
        <f ca="1" xml:space="preserve"> IF( AND( OFFSET($A$1, 147 - 1, 64 - 1) = "1", OFFSET($A$1, 147 - 1, 65 - 1) = "1" ), 1, IF( AND( OFFSET($A$1, 147 - 1, 64 - 1) = "1", OFFSET($A$1, 147 - 1, 65 - 1) = "0" ), 2, IF( AND( OFFSET($A$1, 147 - 1, 64 - 1) = "0", OFFSET($A$1, 147 - 1, 65 - 1) = "1" ), 3, 4 ) ) )</f>
        <v>1</v>
      </c>
    </row>
    <row r="148" spans="3:66" x14ac:dyDescent="0.2">
      <c r="BF148" s="3">
        <v>0.34722222222222221</v>
      </c>
      <c r="BG148" s="3" t="str">
        <f>"1"</f>
        <v>1</v>
      </c>
      <c r="BH148" t="str">
        <f ca="1">IF((OFFSET($A$1, 148 - 1, 58 - 1)) &gt;= (OFFSET($A$1, 96 - 1, 7 - 1)), "1","0")</f>
        <v>0</v>
      </c>
      <c r="BI148">
        <f ca="1" xml:space="preserve"> IF( AND( OFFSET($A$1, 148 - 1, 59 - 1) = "1", OFFSET($A$1, 148 - 1, 60 - 1) = "1" ), 1, IF( AND( OFFSET($A$1, 148 - 1, 59 - 1) = "1", OFFSET($A$1, 148 - 1, 60 - 1) = "0" ), 2, IF( AND( OFFSET($A$1, 148 - 1, 59 - 1) = "0", OFFSET($A$1, 148 - 1, 60 - 1) = "1" ), 3, 4 ) ) )</f>
        <v>2</v>
      </c>
      <c r="BK148" s="3">
        <v>0.90579710144927539</v>
      </c>
      <c r="BL148" s="3" t="str">
        <f>"1"</f>
        <v>1</v>
      </c>
      <c r="BM148" t="str">
        <f ca="1">IF((OFFSET($A$1, 148 - 1, 63 - 1)) &gt;= (OFFSET($A$1, 135 - 1, 7 - 1)), "1","0")</f>
        <v>1</v>
      </c>
      <c r="BN148">
        <f ca="1" xml:space="preserve"> IF( AND( OFFSET($A$1, 148 - 1, 64 - 1) = "1", OFFSET($A$1, 148 - 1, 65 - 1) = "1" ), 1, IF( AND( OFFSET($A$1, 148 - 1, 64 - 1) = "1", OFFSET($A$1, 148 - 1, 65 - 1) = "0" ), 2, IF( AND( OFFSET($A$1, 148 - 1, 64 - 1) = "0", OFFSET($A$1, 148 - 1, 65 - 1) = "1" ), 3, 4 ) ) )</f>
        <v>1</v>
      </c>
    </row>
    <row r="149" spans="3:66" ht="16" x14ac:dyDescent="0.2">
      <c r="C149" s="14" t="s">
        <v>154</v>
      </c>
      <c r="D149" s="15"/>
      <c r="E149" s="16"/>
      <c r="BF149" s="3">
        <v>0</v>
      </c>
      <c r="BG149" s="3" t="str">
        <f t="shared" ref="BG149:BG154" si="13">"0"</f>
        <v>0</v>
      </c>
      <c r="BH149" t="str">
        <f ca="1">IF((OFFSET($A$1, 149 - 1, 58 - 1)) &gt;= (OFFSET($A$1, 96 - 1, 7 - 1)), "1","0")</f>
        <v>0</v>
      </c>
      <c r="BI149">
        <f ca="1" xml:space="preserve"> IF( AND( OFFSET($A$1, 149 - 1, 59 - 1) = "1", OFFSET($A$1, 149 - 1, 60 - 1) = "1" ), 1, IF( AND( OFFSET($A$1, 149 - 1, 59 - 1) = "1", OFFSET($A$1, 149 - 1, 60 - 1) = "0" ), 2, IF( AND( OFFSET($A$1, 149 - 1, 59 - 1) = "0", OFFSET($A$1, 149 - 1, 60 - 1) = "1" ), 3, 4 ) ) )</f>
        <v>4</v>
      </c>
      <c r="BK149" s="3">
        <v>6.6350710900473939E-2</v>
      </c>
      <c r="BL149" s="3" t="str">
        <f>"1"</f>
        <v>1</v>
      </c>
      <c r="BM149" t="str">
        <f ca="1">IF((OFFSET($A$1, 149 - 1, 63 - 1)) &gt;= (OFFSET($A$1, 135 - 1, 7 - 1)), "1","0")</f>
        <v>0</v>
      </c>
      <c r="BN149">
        <f ca="1" xml:space="preserve"> IF( AND( OFFSET($A$1, 149 - 1, 64 - 1) = "1", OFFSET($A$1, 149 - 1, 65 - 1) = "1" ), 1, IF( AND( OFFSET($A$1, 149 - 1, 64 - 1) = "1", OFFSET($A$1, 149 - 1, 65 - 1) = "0" ), 2, IF( AND( OFFSET($A$1, 149 - 1, 64 - 1) = "0", OFFSET($A$1, 149 - 1, 65 - 1) = "1" ), 3, 4 ) ) )</f>
        <v>2</v>
      </c>
    </row>
    <row r="150" spans="3:66" x14ac:dyDescent="0.2">
      <c r="C150" s="20" t="s">
        <v>155</v>
      </c>
      <c r="D150" s="21"/>
      <c r="E150" s="10">
        <v>1</v>
      </c>
      <c r="BF150" s="3">
        <v>0</v>
      </c>
      <c r="BG150" s="3" t="str">
        <f t="shared" si="13"/>
        <v>0</v>
      </c>
      <c r="BH150" t="str">
        <f ca="1">IF((OFFSET($A$1, 150 - 1, 58 - 1)) &gt;= (OFFSET($A$1, 96 - 1, 7 - 1)), "1","0")</f>
        <v>0</v>
      </c>
      <c r="BI150">
        <f ca="1" xml:space="preserve"> IF( AND( OFFSET($A$1, 150 - 1, 59 - 1) = "1", OFFSET($A$1, 150 - 1, 60 - 1) = "1" ), 1, IF( AND( OFFSET($A$1, 150 - 1, 59 - 1) = "1", OFFSET($A$1, 150 - 1, 60 - 1) = "0" ), 2, IF( AND( OFFSET($A$1, 150 - 1, 59 - 1) = "0", OFFSET($A$1, 150 - 1, 60 - 1) = "1" ), 3, 4 ) ) )</f>
        <v>4</v>
      </c>
      <c r="BK150" s="3">
        <v>0.36</v>
      </c>
      <c r="BL150" s="3" t="str">
        <f>"1"</f>
        <v>1</v>
      </c>
      <c r="BM150" t="str">
        <f ca="1">IF((OFFSET($A$1, 150 - 1, 63 - 1)) &gt;= (OFFSET($A$1, 135 - 1, 7 - 1)), "1","0")</f>
        <v>0</v>
      </c>
      <c r="BN150">
        <f ca="1" xml:space="preserve"> IF( AND( OFFSET($A$1, 150 - 1, 64 - 1) = "1", OFFSET($A$1, 150 - 1, 65 - 1) = "1" ), 1, IF( AND( OFFSET($A$1, 150 - 1, 64 - 1) = "1", OFFSET($A$1, 150 - 1, 65 - 1) = "0" ), 2, IF( AND( OFFSET($A$1, 150 - 1, 64 - 1) = "0", OFFSET($A$1, 150 - 1, 65 - 1) = "1" ), 3, 4 ) ) )</f>
        <v>2</v>
      </c>
    </row>
    <row r="151" spans="3:66" x14ac:dyDescent="0.2">
      <c r="C151" s="20" t="s">
        <v>156</v>
      </c>
      <c r="D151" s="21"/>
      <c r="E151" s="10">
        <f ca="1">IF((OFFSET($A$1, 140 - 1, 4 - 1) + OFFSET($A$1, 141 - 1, 4 - 1)) = 0,"Undefined",OFFSET($A$1, 140 - 1, 4 - 1)/(OFFSET($A$1, 140 - 1, 4 - 1) + OFFSET($A$1, 141 - 1, 4 - 1)))</f>
        <v>0.92592592592592593</v>
      </c>
      <c r="BF151" s="3">
        <v>0</v>
      </c>
      <c r="BG151" s="3" t="str">
        <f t="shared" si="13"/>
        <v>0</v>
      </c>
      <c r="BH151" t="str">
        <f ca="1">IF((OFFSET($A$1, 151 - 1, 58 - 1)) &gt;= (OFFSET($A$1, 96 - 1, 7 - 1)), "1","0")</f>
        <v>0</v>
      </c>
      <c r="BI151">
        <f ca="1" xml:space="preserve"> IF( AND( OFFSET($A$1, 151 - 1, 59 - 1) = "1", OFFSET($A$1, 151 - 1, 60 - 1) = "1" ), 1, IF( AND( OFFSET($A$1, 151 - 1, 59 - 1) = "1", OFFSET($A$1, 151 - 1, 60 - 1) = "0" ), 2, IF( AND( OFFSET($A$1, 151 - 1, 59 - 1) = "0", OFFSET($A$1, 151 - 1, 60 - 1) = "1" ), 3, 4 ) ) )</f>
        <v>4</v>
      </c>
      <c r="BK151" s="3">
        <v>6.6350710900473939E-2</v>
      </c>
      <c r="BL151" s="3" t="str">
        <f>"0"</f>
        <v>0</v>
      </c>
      <c r="BM151" t="str">
        <f ca="1">IF((OFFSET($A$1, 151 - 1, 63 - 1)) &gt;= (OFFSET($A$1, 135 - 1, 7 - 1)), "1","0")</f>
        <v>0</v>
      </c>
      <c r="BN151">
        <f ca="1" xml:space="preserve"> IF( AND( OFFSET($A$1, 151 - 1, 64 - 1) = "1", OFFSET($A$1, 151 - 1, 65 - 1) = "1" ), 1, IF( AND( OFFSET($A$1, 151 - 1, 64 - 1) = "1", OFFSET($A$1, 151 - 1, 65 - 1) = "0" ), 2, IF( AND( OFFSET($A$1, 151 - 1, 64 - 1) = "0", OFFSET($A$1, 151 - 1, 65 - 1) = "1" ), 3, 4 ) ) )</f>
        <v>4</v>
      </c>
    </row>
    <row r="152" spans="3:66" x14ac:dyDescent="0.2">
      <c r="C152" s="20" t="s">
        <v>157</v>
      </c>
      <c r="D152" s="21"/>
      <c r="E152" s="10">
        <f ca="1">IF((OFFSET($A$1, 140 - 1, 4 - 1) + OFFSET($A$1, 140 - 1, 5 - 1)) = 0,"Undefined",OFFSET($A$1, 140 - 1, 4 - 1)/(OFFSET($A$1, 140 - 1, 4 - 1) + OFFSET($A$1, 140 - 1, 5 - 1)))</f>
        <v>0.42613636363636365</v>
      </c>
      <c r="BF152" s="3">
        <v>0</v>
      </c>
      <c r="BG152" s="3" t="str">
        <f t="shared" si="13"/>
        <v>0</v>
      </c>
      <c r="BH152" t="str">
        <f ca="1">IF((OFFSET($A$1, 152 - 1, 58 - 1)) &gt;= (OFFSET($A$1, 96 - 1, 7 - 1)), "1","0")</f>
        <v>0</v>
      </c>
      <c r="BI152">
        <f ca="1" xml:space="preserve"> IF( AND( OFFSET($A$1, 152 - 1, 59 - 1) = "1", OFFSET($A$1, 152 - 1, 60 - 1) = "1" ), 1, IF( AND( OFFSET($A$1, 152 - 1, 59 - 1) = "1", OFFSET($A$1, 152 - 1, 60 - 1) = "0" ), 2, IF( AND( OFFSET($A$1, 152 - 1, 59 - 1) = "0", OFFSET($A$1, 152 - 1, 60 - 1) = "1" ), 3, 4 ) ) )</f>
        <v>4</v>
      </c>
      <c r="BK152" s="3">
        <v>6.6350710900473939E-2</v>
      </c>
      <c r="BL152" s="3" t="str">
        <f>"0"</f>
        <v>0</v>
      </c>
      <c r="BM152" t="str">
        <f ca="1">IF((OFFSET($A$1, 152 - 1, 63 - 1)) &gt;= (OFFSET($A$1, 135 - 1, 7 - 1)), "1","0")</f>
        <v>0</v>
      </c>
      <c r="BN152">
        <f ca="1" xml:space="preserve"> IF( AND( OFFSET($A$1, 152 - 1, 64 - 1) = "1", OFFSET($A$1, 152 - 1, 65 - 1) = "1" ), 1, IF( AND( OFFSET($A$1, 152 - 1, 64 - 1) = "1", OFFSET($A$1, 152 - 1, 65 - 1) = "0" ), 2, IF( AND( OFFSET($A$1, 152 - 1, 64 - 1) = "0", OFFSET($A$1, 152 - 1, 65 - 1) = "1" ), 3, 4 ) ) )</f>
        <v>4</v>
      </c>
    </row>
    <row r="153" spans="3:66" x14ac:dyDescent="0.2">
      <c r="C153" s="20" t="s">
        <v>158</v>
      </c>
      <c r="D153" s="21"/>
      <c r="E153" s="10">
        <f ca="1">IF((OFFSET($A$1, 141 - 1, 4 - 1) + OFFSET($A$1, 141 - 1, 5 - 1)) = 0,"Undefined",OFFSET($A$1, 141 - 1, 5 - 1)/(OFFSET($A$1, 141 - 1, 4 - 1) + OFFSET($A$1, 141 - 1, 5 - 1)))</f>
        <v>0.99271844660194175</v>
      </c>
      <c r="BF153" s="3">
        <v>0.34722222222222221</v>
      </c>
      <c r="BG153" s="3" t="str">
        <f t="shared" si="13"/>
        <v>0</v>
      </c>
      <c r="BH153" t="str">
        <f ca="1">IF((OFFSET($A$1, 153 - 1, 58 - 1)) &gt;= (OFFSET($A$1, 96 - 1, 7 - 1)), "1","0")</f>
        <v>0</v>
      </c>
      <c r="BI153">
        <f ca="1" xml:space="preserve"> IF( AND( OFFSET($A$1, 153 - 1, 59 - 1) = "1", OFFSET($A$1, 153 - 1, 60 - 1) = "1" ), 1, IF( AND( OFFSET($A$1, 153 - 1, 59 - 1) = "1", OFFSET($A$1, 153 - 1, 60 - 1) = "0" ), 2, IF( AND( OFFSET($A$1, 153 - 1, 59 - 1) = "0", OFFSET($A$1, 153 - 1, 60 - 1) = "1" ), 3, 4 ) ) )</f>
        <v>4</v>
      </c>
      <c r="BK153" s="3">
        <v>2.5316455696202531E-2</v>
      </c>
      <c r="BL153" s="3" t="str">
        <f>"0"</f>
        <v>0</v>
      </c>
      <c r="BM153" t="str">
        <f ca="1">IF((OFFSET($A$1, 153 - 1, 63 - 1)) &gt;= (OFFSET($A$1, 135 - 1, 7 - 1)), "1","0")</f>
        <v>0</v>
      </c>
      <c r="BN153">
        <f ca="1" xml:space="preserve"> IF( AND( OFFSET($A$1, 153 - 1, 64 - 1) = "1", OFFSET($A$1, 153 - 1, 65 - 1) = "1" ), 1, IF( AND( OFFSET($A$1, 153 - 1, 64 - 1) = "1", OFFSET($A$1, 153 - 1, 65 - 1) = "0" ), 2, IF( AND( OFFSET($A$1, 153 - 1, 64 - 1) = "0", OFFSET($A$1, 153 - 1, 65 - 1) = "1" ), 3, 4 ) ) )</f>
        <v>4</v>
      </c>
    </row>
    <row r="154" spans="3:66" x14ac:dyDescent="0.2">
      <c r="C154" s="20" t="s">
        <v>159</v>
      </c>
      <c r="D154" s="21"/>
      <c r="E154" s="10">
        <f ca="1">IF(OR(OFFSET($A$1, 151 - 1, 5 - 1)="Undefined",OFFSET($A$1, 152 - 1, 5 - 1)="Undefined"),"Undefined",IF((OFFSET($A$1, 151 - 1, 5 - 1) + OFFSET($A$1, 152 - 1, 5 - 1))=0,"Undefined",2*OFFSET($A$1, 151 - 1, 5 - 1)*OFFSET($A$1, 152 - 1, 5 - 1)/(OFFSET($A$1, 151 - 1, 5 - 1)+OFFSET($A$1, 152 - 1, 5 - 1))))</f>
        <v>0.58365758754863817</v>
      </c>
      <c r="BF154" s="3">
        <v>0</v>
      </c>
      <c r="BG154" s="3" t="str">
        <f t="shared" si="13"/>
        <v>0</v>
      </c>
      <c r="BH154" t="str">
        <f ca="1">IF((OFFSET($A$1, 154 - 1, 58 - 1)) &gt;= (OFFSET($A$1, 96 - 1, 7 - 1)), "1","0")</f>
        <v>0</v>
      </c>
      <c r="BI154">
        <f ca="1" xml:space="preserve"> IF( AND( OFFSET($A$1, 154 - 1, 59 - 1) = "1", OFFSET($A$1, 154 - 1, 60 - 1) = "1" ), 1, IF( AND( OFFSET($A$1, 154 - 1, 59 - 1) = "1", OFFSET($A$1, 154 - 1, 60 - 1) = "0" ), 2, IF( AND( OFFSET($A$1, 154 - 1, 59 - 1) = "0", OFFSET($A$1, 154 - 1, 60 - 1) = "1" ), 3, 4 ) ) )</f>
        <v>4</v>
      </c>
      <c r="BK154" s="3">
        <v>2.5316455696202531E-2</v>
      </c>
      <c r="BL154" s="3" t="str">
        <f>"0"</f>
        <v>0</v>
      </c>
      <c r="BM154" t="str">
        <f ca="1">IF((OFFSET($A$1, 154 - 1, 63 - 1)) &gt;= (OFFSET($A$1, 135 - 1, 7 - 1)), "1","0")</f>
        <v>0</v>
      </c>
      <c r="BN154">
        <f ca="1" xml:space="preserve"> IF( AND( OFFSET($A$1, 154 - 1, 64 - 1) = "1", OFFSET($A$1, 154 - 1, 65 - 1) = "1" ), 1, IF( AND( OFFSET($A$1, 154 - 1, 64 - 1) = "1", OFFSET($A$1, 154 - 1, 65 - 1) = "0" ), 2, IF( AND( OFFSET($A$1, 154 - 1, 64 - 1) = "0", OFFSET($A$1, 154 - 1, 65 - 1) = "1" ), 3, 4 ) ) )</f>
        <v>4</v>
      </c>
    </row>
    <row r="155" spans="3:66" x14ac:dyDescent="0.2">
      <c r="BF155" s="3">
        <v>0.90579710144927539</v>
      </c>
      <c r="BG155" s="3" t="str">
        <f>"1"</f>
        <v>1</v>
      </c>
      <c r="BH155" t="str">
        <f ca="1">IF((OFFSET($A$1, 155 - 1, 58 - 1)) &gt;= (OFFSET($A$1, 96 - 1, 7 - 1)), "1","0")</f>
        <v>1</v>
      </c>
      <c r="BI155">
        <f ca="1" xml:space="preserve"> IF( AND( OFFSET($A$1, 155 - 1, 59 - 1) = "1", OFFSET($A$1, 155 - 1, 60 - 1) = "1" ), 1, IF( AND( OFFSET($A$1, 155 - 1, 59 - 1) = "1", OFFSET($A$1, 155 - 1, 60 - 1) = "0" ), 2, IF( AND( OFFSET($A$1, 155 - 1, 59 - 1) = "0", OFFSET($A$1, 155 - 1, 60 - 1) = "1" ), 3, 4 ) ) )</f>
        <v>1</v>
      </c>
      <c r="BK155" s="3">
        <v>0.90579710144927539</v>
      </c>
      <c r="BL155" s="3" t="str">
        <f>"1"</f>
        <v>1</v>
      </c>
      <c r="BM155" t="str">
        <f ca="1">IF((OFFSET($A$1, 155 - 1, 63 - 1)) &gt;= (OFFSET($A$1, 135 - 1, 7 - 1)), "1","0")</f>
        <v>1</v>
      </c>
      <c r="BN155">
        <f ca="1" xml:space="preserve"> IF( AND( OFFSET($A$1, 155 - 1, 64 - 1) = "1", OFFSET($A$1, 155 - 1, 65 - 1) = "1" ), 1, IF( AND( OFFSET($A$1, 155 - 1, 64 - 1) = "1", OFFSET($A$1, 155 - 1, 65 - 1) = "0" ), 2, IF( AND( OFFSET($A$1, 155 - 1, 64 - 1) = "0", OFFSET($A$1, 155 - 1, 65 - 1) = "1" ), 3, 4 ) ) )</f>
        <v>1</v>
      </c>
    </row>
    <row r="156" spans="3:66" x14ac:dyDescent="0.2">
      <c r="BF156" s="3">
        <v>3.7037037037037042E-2</v>
      </c>
      <c r="BG156" s="3" t="str">
        <f>"0"</f>
        <v>0</v>
      </c>
      <c r="BH156" t="str">
        <f ca="1">IF((OFFSET($A$1, 156 - 1, 58 - 1)) &gt;= (OFFSET($A$1, 96 - 1, 7 - 1)), "1","0")</f>
        <v>0</v>
      </c>
      <c r="BI156">
        <f ca="1" xml:space="preserve"> IF( AND( OFFSET($A$1, 156 - 1, 59 - 1) = "1", OFFSET($A$1, 156 - 1, 60 - 1) = "1" ), 1, IF( AND( OFFSET($A$1, 156 - 1, 59 - 1) = "1", OFFSET($A$1, 156 - 1, 60 - 1) = "0" ), 2, IF( AND( OFFSET($A$1, 156 - 1, 59 - 1) = "0", OFFSET($A$1, 156 - 1, 60 - 1) = "1" ), 3, 4 ) ) )</f>
        <v>4</v>
      </c>
      <c r="BK156" s="3">
        <v>0.36</v>
      </c>
      <c r="BL156" s="3" t="str">
        <f>"0"</f>
        <v>0</v>
      </c>
      <c r="BM156" t="str">
        <f ca="1">IF((OFFSET($A$1, 156 - 1, 63 - 1)) &gt;= (OFFSET($A$1, 135 - 1, 7 - 1)), "1","0")</f>
        <v>0</v>
      </c>
      <c r="BN156">
        <f ca="1" xml:space="preserve"> IF( AND( OFFSET($A$1, 156 - 1, 64 - 1) = "1", OFFSET($A$1, 156 - 1, 65 - 1) = "1" ), 1, IF( AND( OFFSET($A$1, 156 - 1, 64 - 1) = "1", OFFSET($A$1, 156 - 1, 65 - 1) = "0" ), 2, IF( AND( OFFSET($A$1, 156 - 1, 64 - 1) = "0", OFFSET($A$1, 156 - 1, 65 - 1) = "1" ), 3, 4 ) ) )</f>
        <v>4</v>
      </c>
    </row>
    <row r="157" spans="3:66" x14ac:dyDescent="0.2">
      <c r="BF157" s="3">
        <v>0.08</v>
      </c>
      <c r="BG157" s="3" t="str">
        <f>"1"</f>
        <v>1</v>
      </c>
      <c r="BH157" t="str">
        <f ca="1">IF((OFFSET($A$1, 157 - 1, 58 - 1)) &gt;= (OFFSET($A$1, 96 - 1, 7 - 1)), "1","0")</f>
        <v>0</v>
      </c>
      <c r="BI157">
        <f ca="1" xml:space="preserve"> IF( AND( OFFSET($A$1, 157 - 1, 59 - 1) = "1", OFFSET($A$1, 157 - 1, 60 - 1) = "1" ), 1, IF( AND( OFFSET($A$1, 157 - 1, 59 - 1) = "1", OFFSET($A$1, 157 - 1, 60 - 1) = "0" ), 2, IF( AND( OFFSET($A$1, 157 - 1, 59 - 1) = "0", OFFSET($A$1, 157 - 1, 60 - 1) = "1" ), 3, 4 ) ) )</f>
        <v>2</v>
      </c>
      <c r="BK157" s="3">
        <v>0.90579710144927539</v>
      </c>
      <c r="BL157" s="3" t="str">
        <f>"1"</f>
        <v>1</v>
      </c>
      <c r="BM157" t="str">
        <f ca="1">IF((OFFSET($A$1, 157 - 1, 63 - 1)) &gt;= (OFFSET($A$1, 135 - 1, 7 - 1)), "1","0")</f>
        <v>1</v>
      </c>
      <c r="BN157">
        <f ca="1" xml:space="preserve"> IF( AND( OFFSET($A$1, 157 - 1, 64 - 1) = "1", OFFSET($A$1, 157 - 1, 65 - 1) = "1" ), 1, IF( AND( OFFSET($A$1, 157 - 1, 64 - 1) = "1", OFFSET($A$1, 157 - 1, 65 - 1) = "0" ), 2, IF( AND( OFFSET($A$1, 157 - 1, 64 - 1) = "0", OFFSET($A$1, 157 - 1, 65 - 1) = "1" ), 3, 4 ) ) )</f>
        <v>1</v>
      </c>
    </row>
    <row r="158" spans="3:66" x14ac:dyDescent="0.2">
      <c r="BF158" s="3">
        <v>0.90579710144927539</v>
      </c>
      <c r="BG158" s="3" t="str">
        <f>"1"</f>
        <v>1</v>
      </c>
      <c r="BH158" t="str">
        <f ca="1">IF((OFFSET($A$1, 158 - 1, 58 - 1)) &gt;= (OFFSET($A$1, 96 - 1, 7 - 1)), "1","0")</f>
        <v>1</v>
      </c>
      <c r="BI158">
        <f ca="1" xml:space="preserve"> IF( AND( OFFSET($A$1, 158 - 1, 59 - 1) = "1", OFFSET($A$1, 158 - 1, 60 - 1) = "1" ), 1, IF( AND( OFFSET($A$1, 158 - 1, 59 - 1) = "1", OFFSET($A$1, 158 - 1, 60 - 1) = "0" ), 2, IF( AND( OFFSET($A$1, 158 - 1, 59 - 1) = "0", OFFSET($A$1, 158 - 1, 60 - 1) = "1" ), 3, 4 ) ) )</f>
        <v>1</v>
      </c>
      <c r="BK158" s="3">
        <v>6.6350710900473939E-2</v>
      </c>
      <c r="BL158" s="3" t="str">
        <f>"0"</f>
        <v>0</v>
      </c>
      <c r="BM158" t="str">
        <f ca="1">IF((OFFSET($A$1, 158 - 1, 63 - 1)) &gt;= (OFFSET($A$1, 135 - 1, 7 - 1)), "1","0")</f>
        <v>0</v>
      </c>
      <c r="BN158">
        <f ca="1" xml:space="preserve"> IF( AND( OFFSET($A$1, 158 - 1, 64 - 1) = "1", OFFSET($A$1, 158 - 1, 65 - 1) = "1" ), 1, IF( AND( OFFSET($A$1, 158 - 1, 64 - 1) = "1", OFFSET($A$1, 158 - 1, 65 - 1) = "0" ), 2, IF( AND( OFFSET($A$1, 158 - 1, 64 - 1) = "0", OFFSET($A$1, 158 - 1, 65 - 1) = "1" ), 3, 4 ) ) )</f>
        <v>4</v>
      </c>
    </row>
    <row r="159" spans="3:66" x14ac:dyDescent="0.2">
      <c r="BF159" s="3">
        <v>0</v>
      </c>
      <c r="BG159" s="3" t="str">
        <f>"0"</f>
        <v>0</v>
      </c>
      <c r="BH159" t="str">
        <f ca="1">IF((OFFSET($A$1, 159 - 1, 58 - 1)) &gt;= (OFFSET($A$1, 96 - 1, 7 - 1)), "1","0")</f>
        <v>0</v>
      </c>
      <c r="BI159">
        <f ca="1" xml:space="preserve"> IF( AND( OFFSET($A$1, 159 - 1, 59 - 1) = "1", OFFSET($A$1, 159 - 1, 60 - 1) = "1" ), 1, IF( AND( OFFSET($A$1, 159 - 1, 59 - 1) = "1", OFFSET($A$1, 159 - 1, 60 - 1) = "0" ), 2, IF( AND( OFFSET($A$1, 159 - 1, 59 - 1) = "0", OFFSET($A$1, 159 - 1, 60 - 1) = "1" ), 3, 4 ) ) )</f>
        <v>4</v>
      </c>
      <c r="BK159" s="3">
        <v>6.6350710900473939E-2</v>
      </c>
      <c r="BL159" s="3" t="str">
        <f>"0"</f>
        <v>0</v>
      </c>
      <c r="BM159" t="str">
        <f ca="1">IF((OFFSET($A$1, 159 - 1, 63 - 1)) &gt;= (OFFSET($A$1, 135 - 1, 7 - 1)), "1","0")</f>
        <v>0</v>
      </c>
      <c r="BN159">
        <f ca="1" xml:space="preserve"> IF( AND( OFFSET($A$1, 159 - 1, 64 - 1) = "1", OFFSET($A$1, 159 - 1, 65 - 1) = "1" ), 1, IF( AND( OFFSET($A$1, 159 - 1, 64 - 1) = "1", OFFSET($A$1, 159 - 1, 65 - 1) = "0" ), 2, IF( AND( OFFSET($A$1, 159 - 1, 64 - 1) = "0", OFFSET($A$1, 159 - 1, 65 - 1) = "1" ), 3, 4 ) ) )</f>
        <v>4</v>
      </c>
    </row>
    <row r="160" spans="3:66" x14ac:dyDescent="0.2">
      <c r="BF160" s="3">
        <v>0.90579710144927539</v>
      </c>
      <c r="BG160" s="3" t="str">
        <f>"1"</f>
        <v>1</v>
      </c>
      <c r="BH160" t="str">
        <f ca="1">IF((OFFSET($A$1, 160 - 1, 58 - 1)) &gt;= (OFFSET($A$1, 96 - 1, 7 - 1)), "1","0")</f>
        <v>1</v>
      </c>
      <c r="BI160">
        <f ca="1" xml:space="preserve"> IF( AND( OFFSET($A$1, 160 - 1, 59 - 1) = "1", OFFSET($A$1, 160 - 1, 60 - 1) = "1" ), 1, IF( AND( OFFSET($A$1, 160 - 1, 59 - 1) = "1", OFFSET($A$1, 160 - 1, 60 - 1) = "0" ), 2, IF( AND( OFFSET($A$1, 160 - 1, 59 - 1) = "0", OFFSET($A$1, 160 - 1, 60 - 1) = "1" ), 3, 4 ) ) )</f>
        <v>1</v>
      </c>
      <c r="BK160" s="3">
        <v>6.6350710900473939E-2</v>
      </c>
      <c r="BL160" s="3" t="str">
        <f>"0"</f>
        <v>0</v>
      </c>
      <c r="BM160" t="str">
        <f ca="1">IF((OFFSET($A$1, 160 - 1, 63 - 1)) &gt;= (OFFSET($A$1, 135 - 1, 7 - 1)), "1","0")</f>
        <v>0</v>
      </c>
      <c r="BN160">
        <f ca="1" xml:space="preserve"> IF( AND( OFFSET($A$1, 160 - 1, 64 - 1) = "1", OFFSET($A$1, 160 - 1, 65 - 1) = "1" ), 1, IF( AND( OFFSET($A$1, 160 - 1, 64 - 1) = "1", OFFSET($A$1, 160 - 1, 65 - 1) = "0" ), 2, IF( AND( OFFSET($A$1, 160 - 1, 64 - 1) = "0", OFFSET($A$1, 160 - 1, 65 - 1) = "1" ), 3, 4 ) ) )</f>
        <v>4</v>
      </c>
    </row>
    <row r="161" spans="58:66" x14ac:dyDescent="0.2">
      <c r="BF161" s="3">
        <v>0</v>
      </c>
      <c r="BG161" s="3" t="str">
        <f>"0"</f>
        <v>0</v>
      </c>
      <c r="BH161" t="str">
        <f ca="1">IF((OFFSET($A$1, 161 - 1, 58 - 1)) &gt;= (OFFSET($A$1, 96 - 1, 7 - 1)), "1","0")</f>
        <v>0</v>
      </c>
      <c r="BI161">
        <f ca="1" xml:space="preserve"> IF( AND( OFFSET($A$1, 161 - 1, 59 - 1) = "1", OFFSET($A$1, 161 - 1, 60 - 1) = "1" ), 1, IF( AND( OFFSET($A$1, 161 - 1, 59 - 1) = "1", OFFSET($A$1, 161 - 1, 60 - 1) = "0" ), 2, IF( AND( OFFSET($A$1, 161 - 1, 59 - 1) = "0", OFFSET($A$1, 161 - 1, 60 - 1) = "1" ), 3, 4 ) ) )</f>
        <v>4</v>
      </c>
      <c r="BK161" s="3">
        <v>0.90579710144927539</v>
      </c>
      <c r="BL161" s="3" t="str">
        <f>"1"</f>
        <v>1</v>
      </c>
      <c r="BM161" t="str">
        <f ca="1">IF((OFFSET($A$1, 161 - 1, 63 - 1)) &gt;= (OFFSET($A$1, 135 - 1, 7 - 1)), "1","0")</f>
        <v>1</v>
      </c>
      <c r="BN161">
        <f ca="1" xml:space="preserve"> IF( AND( OFFSET($A$1, 161 - 1, 64 - 1) = "1", OFFSET($A$1, 161 - 1, 65 - 1) = "1" ), 1, IF( AND( OFFSET($A$1, 161 - 1, 64 - 1) = "1", OFFSET($A$1, 161 - 1, 65 - 1) = "0" ), 2, IF( AND( OFFSET($A$1, 161 - 1, 64 - 1) = "0", OFFSET($A$1, 161 - 1, 65 - 1) = "1" ), 3, 4 ) ) )</f>
        <v>1</v>
      </c>
    </row>
    <row r="162" spans="58:66" x14ac:dyDescent="0.2">
      <c r="BF162" s="3">
        <v>0.34722222222222221</v>
      </c>
      <c r="BG162" s="3" t="str">
        <f>"0"</f>
        <v>0</v>
      </c>
      <c r="BH162" t="str">
        <f ca="1">IF((OFFSET($A$1, 162 - 1, 58 - 1)) &gt;= (OFFSET($A$1, 96 - 1, 7 - 1)), "1","0")</f>
        <v>0</v>
      </c>
      <c r="BI162">
        <f ca="1" xml:space="preserve"> IF( AND( OFFSET($A$1, 162 - 1, 59 - 1) = "1", OFFSET($A$1, 162 - 1, 60 - 1) = "1" ), 1, IF( AND( OFFSET($A$1, 162 - 1, 59 - 1) = "1", OFFSET($A$1, 162 - 1, 60 - 1) = "0" ), 2, IF( AND( OFFSET($A$1, 162 - 1, 59 - 1) = "0", OFFSET($A$1, 162 - 1, 60 - 1) = "1" ), 3, 4 ) ) )</f>
        <v>4</v>
      </c>
      <c r="BK162" s="3">
        <v>0.90579710144927539</v>
      </c>
      <c r="BL162" s="3" t="str">
        <f>"1"</f>
        <v>1</v>
      </c>
      <c r="BM162" t="str">
        <f ca="1">IF((OFFSET($A$1, 162 - 1, 63 - 1)) &gt;= (OFFSET($A$1, 135 - 1, 7 - 1)), "1","0")</f>
        <v>1</v>
      </c>
      <c r="BN162">
        <f ca="1" xml:space="preserve"> IF( AND( OFFSET($A$1, 162 - 1, 64 - 1) = "1", OFFSET($A$1, 162 - 1, 65 - 1) = "1" ), 1, IF( AND( OFFSET($A$1, 162 - 1, 64 - 1) = "1", OFFSET($A$1, 162 - 1, 65 - 1) = "0" ), 2, IF( AND( OFFSET($A$1, 162 - 1, 64 - 1) = "0", OFFSET($A$1, 162 - 1, 65 - 1) = "1" ), 3, 4 ) ) )</f>
        <v>1</v>
      </c>
    </row>
    <row r="163" spans="58:66" x14ac:dyDescent="0.2">
      <c r="BF163" s="3">
        <v>0</v>
      </c>
      <c r="BG163" s="3" t="str">
        <f>"0"</f>
        <v>0</v>
      </c>
      <c r="BH163" t="str">
        <f ca="1">IF((OFFSET($A$1, 163 - 1, 58 - 1)) &gt;= (OFFSET($A$1, 96 - 1, 7 - 1)), "1","0")</f>
        <v>0</v>
      </c>
      <c r="BI163">
        <f ca="1" xml:space="preserve"> IF( AND( OFFSET($A$1, 163 - 1, 59 - 1) = "1", OFFSET($A$1, 163 - 1, 60 - 1) = "1" ), 1, IF( AND( OFFSET($A$1, 163 - 1, 59 - 1) = "1", OFFSET($A$1, 163 - 1, 60 - 1) = "0" ), 2, IF( AND( OFFSET($A$1, 163 - 1, 59 - 1) = "0", OFFSET($A$1, 163 - 1, 60 - 1) = "1" ), 3, 4 ) ) )</f>
        <v>4</v>
      </c>
      <c r="BK163" s="3">
        <v>6.6350710900473939E-2</v>
      </c>
      <c r="BL163" s="3" t="str">
        <f>"0"</f>
        <v>0</v>
      </c>
      <c r="BM163" t="str">
        <f ca="1">IF((OFFSET($A$1, 163 - 1, 63 - 1)) &gt;= (OFFSET($A$1, 135 - 1, 7 - 1)), "1","0")</f>
        <v>0</v>
      </c>
      <c r="BN163">
        <f ca="1" xml:space="preserve"> IF( AND( OFFSET($A$1, 163 - 1, 64 - 1) = "1", OFFSET($A$1, 163 - 1, 65 - 1) = "1" ), 1, IF( AND( OFFSET($A$1, 163 - 1, 64 - 1) = "1", OFFSET($A$1, 163 - 1, 65 - 1) = "0" ), 2, IF( AND( OFFSET($A$1, 163 - 1, 64 - 1) = "0", OFFSET($A$1, 163 - 1, 65 - 1) = "1" ), 3, 4 ) ) )</f>
        <v>4</v>
      </c>
    </row>
    <row r="164" spans="58:66" x14ac:dyDescent="0.2">
      <c r="BF164" s="3">
        <v>0.90579710144927539</v>
      </c>
      <c r="BG164" s="3" t="str">
        <f>"1"</f>
        <v>1</v>
      </c>
      <c r="BH164" t="str">
        <f ca="1">IF((OFFSET($A$1, 164 - 1, 58 - 1)) &gt;= (OFFSET($A$1, 96 - 1, 7 - 1)), "1","0")</f>
        <v>1</v>
      </c>
      <c r="BI164">
        <f ca="1" xml:space="preserve"> IF( AND( OFFSET($A$1, 164 - 1, 59 - 1) = "1", OFFSET($A$1, 164 - 1, 60 - 1) = "1" ), 1, IF( AND( OFFSET($A$1, 164 - 1, 59 - 1) = "1", OFFSET($A$1, 164 - 1, 60 - 1) = "0" ), 2, IF( AND( OFFSET($A$1, 164 - 1, 59 - 1) = "0", OFFSET($A$1, 164 - 1, 60 - 1) = "1" ), 3, 4 ) ) )</f>
        <v>1</v>
      </c>
      <c r="BK164" s="3">
        <v>2.5316455696202531E-2</v>
      </c>
      <c r="BL164" s="3" t="str">
        <f>"0"</f>
        <v>0</v>
      </c>
      <c r="BM164" t="str">
        <f ca="1">IF((OFFSET($A$1, 164 - 1, 63 - 1)) &gt;= (OFFSET($A$1, 135 - 1, 7 - 1)), "1","0")</f>
        <v>0</v>
      </c>
      <c r="BN164">
        <f ca="1" xml:space="preserve"> IF( AND( OFFSET($A$1, 164 - 1, 64 - 1) = "1", OFFSET($A$1, 164 - 1, 65 - 1) = "1" ), 1, IF( AND( OFFSET($A$1, 164 - 1, 64 - 1) = "1", OFFSET($A$1, 164 - 1, 65 - 1) = "0" ), 2, IF( AND( OFFSET($A$1, 164 - 1, 64 - 1) = "0", OFFSET($A$1, 164 - 1, 65 - 1) = "1" ), 3, 4 ) ) )</f>
        <v>4</v>
      </c>
    </row>
    <row r="165" spans="58:66" x14ac:dyDescent="0.2">
      <c r="BF165" s="3">
        <v>0</v>
      </c>
      <c r="BG165" s="3" t="str">
        <f>"0"</f>
        <v>0</v>
      </c>
      <c r="BH165" t="str">
        <f ca="1">IF((OFFSET($A$1, 165 - 1, 58 - 1)) &gt;= (OFFSET($A$1, 96 - 1, 7 - 1)), "1","0")</f>
        <v>0</v>
      </c>
      <c r="BI165">
        <f ca="1" xml:space="preserve"> IF( AND( OFFSET($A$1, 165 - 1, 59 - 1) = "1", OFFSET($A$1, 165 - 1, 60 - 1) = "1" ), 1, IF( AND( OFFSET($A$1, 165 - 1, 59 - 1) = "1", OFFSET($A$1, 165 - 1, 60 - 1) = "0" ), 2, IF( AND( OFFSET($A$1, 165 - 1, 59 - 1) = "0", OFFSET($A$1, 165 - 1, 60 - 1) = "1" ), 3, 4 ) ) )</f>
        <v>4</v>
      </c>
      <c r="BK165" s="3">
        <v>0.90579710144927539</v>
      </c>
      <c r="BL165" s="3" t="str">
        <f>"0"</f>
        <v>0</v>
      </c>
      <c r="BM165" t="str">
        <f ca="1">IF((OFFSET($A$1, 165 - 1, 63 - 1)) &gt;= (OFFSET($A$1, 135 - 1, 7 - 1)), "1","0")</f>
        <v>1</v>
      </c>
      <c r="BN165">
        <f ca="1" xml:space="preserve"> IF( AND( OFFSET($A$1, 165 - 1, 64 - 1) = "1", OFFSET($A$1, 165 - 1, 65 - 1) = "1" ), 1, IF( AND( OFFSET($A$1, 165 - 1, 64 - 1) = "1", OFFSET($A$1, 165 - 1, 65 - 1) = "0" ), 2, IF( AND( OFFSET($A$1, 165 - 1, 64 - 1) = "0", OFFSET($A$1, 165 - 1, 65 - 1) = "1" ), 3, 4 ) ) )</f>
        <v>3</v>
      </c>
    </row>
    <row r="166" spans="58:66" x14ac:dyDescent="0.2">
      <c r="BF166" s="3">
        <v>0.90579710144927539</v>
      </c>
      <c r="BG166" s="3" t="str">
        <f>"1"</f>
        <v>1</v>
      </c>
      <c r="BH166" t="str">
        <f ca="1">IF((OFFSET($A$1, 166 - 1, 58 - 1)) &gt;= (OFFSET($A$1, 96 - 1, 7 - 1)), "1","0")</f>
        <v>1</v>
      </c>
      <c r="BI166">
        <f ca="1" xml:space="preserve"> IF( AND( OFFSET($A$1, 166 - 1, 59 - 1) = "1", OFFSET($A$1, 166 - 1, 60 - 1) = "1" ), 1, IF( AND( OFFSET($A$1, 166 - 1, 59 - 1) = "1", OFFSET($A$1, 166 - 1, 60 - 1) = "0" ), 2, IF( AND( OFFSET($A$1, 166 - 1, 59 - 1) = "0", OFFSET($A$1, 166 - 1, 60 - 1) = "1" ), 3, 4 ) ) )</f>
        <v>1</v>
      </c>
      <c r="BK166" s="3">
        <v>6.6350710900473939E-2</v>
      </c>
      <c r="BL166" s="3" t="str">
        <f>"1"</f>
        <v>1</v>
      </c>
      <c r="BM166" t="str">
        <f ca="1">IF((OFFSET($A$1, 166 - 1, 63 - 1)) &gt;= (OFFSET($A$1, 135 - 1, 7 - 1)), "1","0")</f>
        <v>0</v>
      </c>
      <c r="BN166">
        <f ca="1" xml:space="preserve"> IF( AND( OFFSET($A$1, 166 - 1, 64 - 1) = "1", OFFSET($A$1, 166 - 1, 65 - 1) = "1" ), 1, IF( AND( OFFSET($A$1, 166 - 1, 64 - 1) = "1", OFFSET($A$1, 166 - 1, 65 - 1) = "0" ), 2, IF( AND( OFFSET($A$1, 166 - 1, 64 - 1) = "0", OFFSET($A$1, 166 - 1, 65 - 1) = "1" ), 3, 4 ) ) )</f>
        <v>2</v>
      </c>
    </row>
    <row r="167" spans="58:66" x14ac:dyDescent="0.2">
      <c r="BF167" s="3">
        <v>0.08</v>
      </c>
      <c r="BG167" s="3" t="str">
        <f>"0"</f>
        <v>0</v>
      </c>
      <c r="BH167" t="str">
        <f ca="1">IF((OFFSET($A$1, 167 - 1, 58 - 1)) &gt;= (OFFSET($A$1, 96 - 1, 7 - 1)), "1","0")</f>
        <v>0</v>
      </c>
      <c r="BI167">
        <f ca="1" xml:space="preserve"> IF( AND( OFFSET($A$1, 167 - 1, 59 - 1) = "1", OFFSET($A$1, 167 - 1, 60 - 1) = "1" ), 1, IF( AND( OFFSET($A$1, 167 - 1, 59 - 1) = "1", OFFSET($A$1, 167 - 1, 60 - 1) = "0" ), 2, IF( AND( OFFSET($A$1, 167 - 1, 59 - 1) = "0", OFFSET($A$1, 167 - 1, 60 - 1) = "1" ), 3, 4 ) ) )</f>
        <v>4</v>
      </c>
      <c r="BK167" s="3">
        <v>6.6350710900473939E-2</v>
      </c>
      <c r="BL167" s="3" t="str">
        <f t="shared" ref="BL167:BL172" si="14">"0"</f>
        <v>0</v>
      </c>
      <c r="BM167" t="str">
        <f ca="1">IF((OFFSET($A$1, 167 - 1, 63 - 1)) &gt;= (OFFSET($A$1, 135 - 1, 7 - 1)), "1","0")</f>
        <v>0</v>
      </c>
      <c r="BN167">
        <f ca="1" xml:space="preserve"> IF( AND( OFFSET($A$1, 167 - 1, 64 - 1) = "1", OFFSET($A$1, 167 - 1, 65 - 1) = "1" ), 1, IF( AND( OFFSET($A$1, 167 - 1, 64 - 1) = "1", OFFSET($A$1, 167 - 1, 65 - 1) = "0" ), 2, IF( AND( OFFSET($A$1, 167 - 1, 64 - 1) = "0", OFFSET($A$1, 167 - 1, 65 - 1) = "1" ), 3, 4 ) ) )</f>
        <v>4</v>
      </c>
    </row>
    <row r="168" spans="58:66" x14ac:dyDescent="0.2">
      <c r="BF168" s="3">
        <v>0</v>
      </c>
      <c r="BG168" s="3" t="str">
        <f>"0"</f>
        <v>0</v>
      </c>
      <c r="BH168" t="str">
        <f ca="1">IF((OFFSET($A$1, 168 - 1, 58 - 1)) &gt;= (OFFSET($A$1, 96 - 1, 7 - 1)), "1","0")</f>
        <v>0</v>
      </c>
      <c r="BI168">
        <f ca="1" xml:space="preserve"> IF( AND( OFFSET($A$1, 168 - 1, 59 - 1) = "1", OFFSET($A$1, 168 - 1, 60 - 1) = "1" ), 1, IF( AND( OFFSET($A$1, 168 - 1, 59 - 1) = "1", OFFSET($A$1, 168 - 1, 60 - 1) = "0" ), 2, IF( AND( OFFSET($A$1, 168 - 1, 59 - 1) = "0", OFFSET($A$1, 168 - 1, 60 - 1) = "1" ), 3, 4 ) ) )</f>
        <v>4</v>
      </c>
      <c r="BK168" s="3">
        <v>6.6350710900473939E-2</v>
      </c>
      <c r="BL168" s="3" t="str">
        <f t="shared" si="14"/>
        <v>0</v>
      </c>
      <c r="BM168" t="str">
        <f ca="1">IF((OFFSET($A$1, 168 - 1, 63 - 1)) &gt;= (OFFSET($A$1, 135 - 1, 7 - 1)), "1","0")</f>
        <v>0</v>
      </c>
      <c r="BN168">
        <f ca="1" xml:space="preserve"> IF( AND( OFFSET($A$1, 168 - 1, 64 - 1) = "1", OFFSET($A$1, 168 - 1, 65 - 1) = "1" ), 1, IF( AND( OFFSET($A$1, 168 - 1, 64 - 1) = "1", OFFSET($A$1, 168 - 1, 65 - 1) = "0" ), 2, IF( AND( OFFSET($A$1, 168 - 1, 64 - 1) = "0", OFFSET($A$1, 168 - 1, 65 - 1) = "1" ), 3, 4 ) ) )</f>
        <v>4</v>
      </c>
    </row>
    <row r="169" spans="58:66" x14ac:dyDescent="0.2">
      <c r="BF169" s="3">
        <v>0.36</v>
      </c>
      <c r="BG169" s="3" t="str">
        <f>"0"</f>
        <v>0</v>
      </c>
      <c r="BH169" t="str">
        <f ca="1">IF((OFFSET($A$1, 169 - 1, 58 - 1)) &gt;= (OFFSET($A$1, 96 - 1, 7 - 1)), "1","0")</f>
        <v>0</v>
      </c>
      <c r="BI169">
        <f ca="1" xml:space="preserve"> IF( AND( OFFSET($A$1, 169 - 1, 59 - 1) = "1", OFFSET($A$1, 169 - 1, 60 - 1) = "1" ), 1, IF( AND( OFFSET($A$1, 169 - 1, 59 - 1) = "1", OFFSET($A$1, 169 - 1, 60 - 1) = "0" ), 2, IF( AND( OFFSET($A$1, 169 - 1, 59 - 1) = "0", OFFSET($A$1, 169 - 1, 60 - 1) = "1" ), 3, 4 ) ) )</f>
        <v>4</v>
      </c>
      <c r="BK169" s="3">
        <v>6.6350710900473939E-2</v>
      </c>
      <c r="BL169" s="3" t="str">
        <f t="shared" si="14"/>
        <v>0</v>
      </c>
      <c r="BM169" t="str">
        <f ca="1">IF((OFFSET($A$1, 169 - 1, 63 - 1)) &gt;= (OFFSET($A$1, 135 - 1, 7 - 1)), "1","0")</f>
        <v>0</v>
      </c>
      <c r="BN169">
        <f ca="1" xml:space="preserve"> IF( AND( OFFSET($A$1, 169 - 1, 64 - 1) = "1", OFFSET($A$1, 169 - 1, 65 - 1) = "1" ), 1, IF( AND( OFFSET($A$1, 169 - 1, 64 - 1) = "1", OFFSET($A$1, 169 - 1, 65 - 1) = "0" ), 2, IF( AND( OFFSET($A$1, 169 - 1, 64 - 1) = "0", OFFSET($A$1, 169 - 1, 65 - 1) = "1" ), 3, 4 ) ) )</f>
        <v>4</v>
      </c>
    </row>
    <row r="170" spans="58:66" x14ac:dyDescent="0.2">
      <c r="BF170" s="3">
        <v>0.90579710144927539</v>
      </c>
      <c r="BG170" s="3" t="str">
        <f>"1"</f>
        <v>1</v>
      </c>
      <c r="BH170" t="str">
        <f ca="1">IF((OFFSET($A$1, 170 - 1, 58 - 1)) &gt;= (OFFSET($A$1, 96 - 1, 7 - 1)), "1","0")</f>
        <v>1</v>
      </c>
      <c r="BI170">
        <f ca="1" xml:space="preserve"> IF( AND( OFFSET($A$1, 170 - 1, 59 - 1) = "1", OFFSET($A$1, 170 - 1, 60 - 1) = "1" ), 1, IF( AND( OFFSET($A$1, 170 - 1, 59 - 1) = "1", OFFSET($A$1, 170 - 1, 60 - 1) = "0" ), 2, IF( AND( OFFSET($A$1, 170 - 1, 59 - 1) = "0", OFFSET($A$1, 170 - 1, 60 - 1) = "1" ), 3, 4 ) ) )</f>
        <v>1</v>
      </c>
      <c r="BK170" s="3">
        <v>6.6350710900473939E-2</v>
      </c>
      <c r="BL170" s="3" t="str">
        <f t="shared" si="14"/>
        <v>0</v>
      </c>
      <c r="BM170" t="str">
        <f ca="1">IF((OFFSET($A$1, 170 - 1, 63 - 1)) &gt;= (OFFSET($A$1, 135 - 1, 7 - 1)), "1","0")</f>
        <v>0</v>
      </c>
      <c r="BN170">
        <f ca="1" xml:space="preserve"> IF( AND( OFFSET($A$1, 170 - 1, 64 - 1) = "1", OFFSET($A$1, 170 - 1, 65 - 1) = "1" ), 1, IF( AND( OFFSET($A$1, 170 - 1, 64 - 1) = "1", OFFSET($A$1, 170 - 1, 65 - 1) = "0" ), 2, IF( AND( OFFSET($A$1, 170 - 1, 64 - 1) = "0", OFFSET($A$1, 170 - 1, 65 - 1) = "1" ), 3, 4 ) ) )</f>
        <v>4</v>
      </c>
    </row>
    <row r="171" spans="58:66" x14ac:dyDescent="0.2">
      <c r="BF171" s="3">
        <v>0</v>
      </c>
      <c r="BG171" s="3" t="str">
        <f t="shared" ref="BG171:BG180" si="15">"0"</f>
        <v>0</v>
      </c>
      <c r="BH171" t="str">
        <f ca="1">IF((OFFSET($A$1, 171 - 1, 58 - 1)) &gt;= (OFFSET($A$1, 96 - 1, 7 - 1)), "1","0")</f>
        <v>0</v>
      </c>
      <c r="BI171">
        <f ca="1" xml:space="preserve"> IF( AND( OFFSET($A$1, 171 - 1, 59 - 1) = "1", OFFSET($A$1, 171 - 1, 60 - 1) = "1" ), 1, IF( AND( OFFSET($A$1, 171 - 1, 59 - 1) = "1", OFFSET($A$1, 171 - 1, 60 - 1) = "0" ), 2, IF( AND( OFFSET($A$1, 171 - 1, 59 - 1) = "0", OFFSET($A$1, 171 - 1, 60 - 1) = "1" ), 3, 4 ) ) )</f>
        <v>4</v>
      </c>
      <c r="BK171" s="3">
        <v>6.6350710900473939E-2</v>
      </c>
      <c r="BL171" s="3" t="str">
        <f t="shared" si="14"/>
        <v>0</v>
      </c>
      <c r="BM171" t="str">
        <f ca="1">IF((OFFSET($A$1, 171 - 1, 63 - 1)) &gt;= (OFFSET($A$1, 135 - 1, 7 - 1)), "1","0")</f>
        <v>0</v>
      </c>
      <c r="BN171">
        <f ca="1" xml:space="preserve"> IF( AND( OFFSET($A$1, 171 - 1, 64 - 1) = "1", OFFSET($A$1, 171 - 1, 65 - 1) = "1" ), 1, IF( AND( OFFSET($A$1, 171 - 1, 64 - 1) = "1", OFFSET($A$1, 171 - 1, 65 - 1) = "0" ), 2, IF( AND( OFFSET($A$1, 171 - 1, 64 - 1) = "0", OFFSET($A$1, 171 - 1, 65 - 1) = "1" ), 3, 4 ) ) )</f>
        <v>4</v>
      </c>
    </row>
    <row r="172" spans="58:66" x14ac:dyDescent="0.2">
      <c r="BF172" s="3">
        <v>0</v>
      </c>
      <c r="BG172" s="3" t="str">
        <f t="shared" si="15"/>
        <v>0</v>
      </c>
      <c r="BH172" t="str">
        <f ca="1">IF((OFFSET($A$1, 172 - 1, 58 - 1)) &gt;= (OFFSET($A$1, 96 - 1, 7 - 1)), "1","0")</f>
        <v>0</v>
      </c>
      <c r="BI172">
        <f ca="1" xml:space="preserve"> IF( AND( OFFSET($A$1, 172 - 1, 59 - 1) = "1", OFFSET($A$1, 172 - 1, 60 - 1) = "1" ), 1, IF( AND( OFFSET($A$1, 172 - 1, 59 - 1) = "1", OFFSET($A$1, 172 - 1, 60 - 1) = "0" ), 2, IF( AND( OFFSET($A$1, 172 - 1, 59 - 1) = "0", OFFSET($A$1, 172 - 1, 60 - 1) = "1" ), 3, 4 ) ) )</f>
        <v>4</v>
      </c>
      <c r="BK172" s="3">
        <v>6.6350710900473939E-2</v>
      </c>
      <c r="BL172" s="3" t="str">
        <f t="shared" si="14"/>
        <v>0</v>
      </c>
      <c r="BM172" t="str">
        <f ca="1">IF((OFFSET($A$1, 172 - 1, 63 - 1)) &gt;= (OFFSET($A$1, 135 - 1, 7 - 1)), "1","0")</f>
        <v>0</v>
      </c>
      <c r="BN172">
        <f ca="1" xml:space="preserve"> IF( AND( OFFSET($A$1, 172 - 1, 64 - 1) = "1", OFFSET($A$1, 172 - 1, 65 - 1) = "1" ), 1, IF( AND( OFFSET($A$1, 172 - 1, 64 - 1) = "1", OFFSET($A$1, 172 - 1, 65 - 1) = "0" ), 2, IF( AND( OFFSET($A$1, 172 - 1, 64 - 1) = "0", OFFSET($A$1, 172 - 1, 65 - 1) = "1" ), 3, 4 ) ) )</f>
        <v>4</v>
      </c>
    </row>
    <row r="173" spans="58:66" x14ac:dyDescent="0.2">
      <c r="BF173" s="3">
        <v>0.34722222222222221</v>
      </c>
      <c r="BG173" s="3" t="str">
        <f t="shared" si="15"/>
        <v>0</v>
      </c>
      <c r="BH173" t="str">
        <f ca="1">IF((OFFSET($A$1, 173 - 1, 58 - 1)) &gt;= (OFFSET($A$1, 96 - 1, 7 - 1)), "1","0")</f>
        <v>0</v>
      </c>
      <c r="BI173">
        <f ca="1" xml:space="preserve"> IF( AND( OFFSET($A$1, 173 - 1, 59 - 1) = "1", OFFSET($A$1, 173 - 1, 60 - 1) = "1" ), 1, IF( AND( OFFSET($A$1, 173 - 1, 59 - 1) = "1", OFFSET($A$1, 173 - 1, 60 - 1) = "0" ), 2, IF( AND( OFFSET($A$1, 173 - 1, 59 - 1) = "0", OFFSET($A$1, 173 - 1, 60 - 1) = "1" ), 3, 4 ) ) )</f>
        <v>4</v>
      </c>
      <c r="BK173" s="3">
        <v>6.6350710900473939E-2</v>
      </c>
      <c r="BL173" s="3" t="str">
        <f>"1"</f>
        <v>1</v>
      </c>
      <c r="BM173" t="str">
        <f ca="1">IF((OFFSET($A$1, 173 - 1, 63 - 1)) &gt;= (OFFSET($A$1, 135 - 1, 7 - 1)), "1","0")</f>
        <v>0</v>
      </c>
      <c r="BN173">
        <f ca="1" xml:space="preserve"> IF( AND( OFFSET($A$1, 173 - 1, 64 - 1) = "1", OFFSET($A$1, 173 - 1, 65 - 1) = "1" ), 1, IF( AND( OFFSET($A$1, 173 - 1, 64 - 1) = "1", OFFSET($A$1, 173 - 1, 65 - 1) = "0" ), 2, IF( AND( OFFSET($A$1, 173 - 1, 64 - 1) = "0", OFFSET($A$1, 173 - 1, 65 - 1) = "1" ), 3, 4 ) ) )</f>
        <v>2</v>
      </c>
    </row>
    <row r="174" spans="58:66" x14ac:dyDescent="0.2">
      <c r="BF174" s="3">
        <v>0</v>
      </c>
      <c r="BG174" s="3" t="str">
        <f t="shared" si="15"/>
        <v>0</v>
      </c>
      <c r="BH174" t="str">
        <f ca="1">IF((OFFSET($A$1, 174 - 1, 58 - 1)) &gt;= (OFFSET($A$1, 96 - 1, 7 - 1)), "1","0")</f>
        <v>0</v>
      </c>
      <c r="BI174">
        <f ca="1" xml:space="preserve"> IF( AND( OFFSET($A$1, 174 - 1, 59 - 1) = "1", OFFSET($A$1, 174 - 1, 60 - 1) = "1" ), 1, IF( AND( OFFSET($A$1, 174 - 1, 59 - 1) = "1", OFFSET($A$1, 174 - 1, 60 - 1) = "0" ), 2, IF( AND( OFFSET($A$1, 174 - 1, 59 - 1) = "0", OFFSET($A$1, 174 - 1, 60 - 1) = "1" ), 3, 4 ) ) )</f>
        <v>4</v>
      </c>
      <c r="BK174" s="3">
        <v>6.6350710900473939E-2</v>
      </c>
      <c r="BL174" s="3" t="str">
        <f>"0"</f>
        <v>0</v>
      </c>
      <c r="BM174" t="str">
        <f ca="1">IF((OFFSET($A$1, 174 - 1, 63 - 1)) &gt;= (OFFSET($A$1, 135 - 1, 7 - 1)), "1","0")</f>
        <v>0</v>
      </c>
      <c r="BN174">
        <f ca="1" xml:space="preserve"> IF( AND( OFFSET($A$1, 174 - 1, 64 - 1) = "1", OFFSET($A$1, 174 - 1, 65 - 1) = "1" ), 1, IF( AND( OFFSET($A$1, 174 - 1, 64 - 1) = "1", OFFSET($A$1, 174 - 1, 65 - 1) = "0" ), 2, IF( AND( OFFSET($A$1, 174 - 1, 64 - 1) = "0", OFFSET($A$1, 174 - 1, 65 - 1) = "1" ), 3, 4 ) ) )</f>
        <v>4</v>
      </c>
    </row>
    <row r="175" spans="58:66" x14ac:dyDescent="0.2">
      <c r="BF175" s="3">
        <v>0</v>
      </c>
      <c r="BG175" s="3" t="str">
        <f t="shared" si="15"/>
        <v>0</v>
      </c>
      <c r="BH175" t="str">
        <f ca="1">IF((OFFSET($A$1, 175 - 1, 58 - 1)) &gt;= (OFFSET($A$1, 96 - 1, 7 - 1)), "1","0")</f>
        <v>0</v>
      </c>
      <c r="BI175">
        <f ca="1" xml:space="preserve"> IF( AND( OFFSET($A$1, 175 - 1, 59 - 1) = "1", OFFSET($A$1, 175 - 1, 60 - 1) = "1" ), 1, IF( AND( OFFSET($A$1, 175 - 1, 59 - 1) = "1", OFFSET($A$1, 175 - 1, 60 - 1) = "0" ), 2, IF( AND( OFFSET($A$1, 175 - 1, 59 - 1) = "0", OFFSET($A$1, 175 - 1, 60 - 1) = "1" ), 3, 4 ) ) )</f>
        <v>4</v>
      </c>
      <c r="BK175" s="3">
        <v>6.6350710900473939E-2</v>
      </c>
      <c r="BL175" s="3" t="str">
        <f>"0"</f>
        <v>0</v>
      </c>
      <c r="BM175" t="str">
        <f ca="1">IF((OFFSET($A$1, 175 - 1, 63 - 1)) &gt;= (OFFSET($A$1, 135 - 1, 7 - 1)), "1","0")</f>
        <v>0</v>
      </c>
      <c r="BN175">
        <f ca="1" xml:space="preserve"> IF( AND( OFFSET($A$1, 175 - 1, 64 - 1) = "1", OFFSET($A$1, 175 - 1, 65 - 1) = "1" ), 1, IF( AND( OFFSET($A$1, 175 - 1, 64 - 1) = "1", OFFSET($A$1, 175 - 1, 65 - 1) = "0" ), 2, IF( AND( OFFSET($A$1, 175 - 1, 64 - 1) = "0", OFFSET($A$1, 175 - 1, 65 - 1) = "1" ), 3, 4 ) ) )</f>
        <v>4</v>
      </c>
    </row>
    <row r="176" spans="58:66" x14ac:dyDescent="0.2">
      <c r="BF176" s="3">
        <v>0</v>
      </c>
      <c r="BG176" s="3" t="str">
        <f t="shared" si="15"/>
        <v>0</v>
      </c>
      <c r="BH176" t="str">
        <f ca="1">IF((OFFSET($A$1, 176 - 1, 58 - 1)) &gt;= (OFFSET($A$1, 96 - 1, 7 - 1)), "1","0")</f>
        <v>0</v>
      </c>
      <c r="BI176">
        <f ca="1" xml:space="preserve"> IF( AND( OFFSET($A$1, 176 - 1, 59 - 1) = "1", OFFSET($A$1, 176 - 1, 60 - 1) = "1" ), 1, IF( AND( OFFSET($A$1, 176 - 1, 59 - 1) = "1", OFFSET($A$1, 176 - 1, 60 - 1) = "0" ), 2, IF( AND( OFFSET($A$1, 176 - 1, 59 - 1) = "0", OFFSET($A$1, 176 - 1, 60 - 1) = "1" ), 3, 4 ) ) )</f>
        <v>4</v>
      </c>
      <c r="BK176" s="3">
        <v>0.36</v>
      </c>
      <c r="BL176" s="3" t="str">
        <f>"0"</f>
        <v>0</v>
      </c>
      <c r="BM176" t="str">
        <f ca="1">IF((OFFSET($A$1, 176 - 1, 63 - 1)) &gt;= (OFFSET($A$1, 135 - 1, 7 - 1)), "1","0")</f>
        <v>0</v>
      </c>
      <c r="BN176">
        <f ca="1" xml:space="preserve"> IF( AND( OFFSET($A$1, 176 - 1, 64 - 1) = "1", OFFSET($A$1, 176 - 1, 65 - 1) = "1" ), 1, IF( AND( OFFSET($A$1, 176 - 1, 64 - 1) = "1", OFFSET($A$1, 176 - 1, 65 - 1) = "0" ), 2, IF( AND( OFFSET($A$1, 176 - 1, 64 - 1) = "0", OFFSET($A$1, 176 - 1, 65 - 1) = "1" ), 3, 4 ) ) )</f>
        <v>4</v>
      </c>
    </row>
    <row r="177" spans="58:66" x14ac:dyDescent="0.2">
      <c r="BF177" s="3">
        <v>0</v>
      </c>
      <c r="BG177" s="3" t="str">
        <f t="shared" si="15"/>
        <v>0</v>
      </c>
      <c r="BH177" t="str">
        <f ca="1">IF((OFFSET($A$1, 177 - 1, 58 - 1)) &gt;= (OFFSET($A$1, 96 - 1, 7 - 1)), "1","0")</f>
        <v>0</v>
      </c>
      <c r="BI177">
        <f ca="1" xml:space="preserve"> IF( AND( OFFSET($A$1, 177 - 1, 59 - 1) = "1", OFFSET($A$1, 177 - 1, 60 - 1) = "1" ), 1, IF( AND( OFFSET($A$1, 177 - 1, 59 - 1) = "1", OFFSET($A$1, 177 - 1, 60 - 1) = "0" ), 2, IF( AND( OFFSET($A$1, 177 - 1, 59 - 1) = "0", OFFSET($A$1, 177 - 1, 60 - 1) = "1" ), 3, 4 ) ) )</f>
        <v>4</v>
      </c>
      <c r="BK177" s="3">
        <v>6.6350710900473939E-2</v>
      </c>
      <c r="BL177" s="3" t="str">
        <f>"0"</f>
        <v>0</v>
      </c>
      <c r="BM177" t="str">
        <f ca="1">IF((OFFSET($A$1, 177 - 1, 63 - 1)) &gt;= (OFFSET($A$1, 135 - 1, 7 - 1)), "1","0")</f>
        <v>0</v>
      </c>
      <c r="BN177">
        <f ca="1" xml:space="preserve"> IF( AND( OFFSET($A$1, 177 - 1, 64 - 1) = "1", OFFSET($A$1, 177 - 1, 65 - 1) = "1" ), 1, IF( AND( OFFSET($A$1, 177 - 1, 64 - 1) = "1", OFFSET($A$1, 177 - 1, 65 - 1) = "0" ), 2, IF( AND( OFFSET($A$1, 177 - 1, 64 - 1) = "0", OFFSET($A$1, 177 - 1, 65 - 1) = "1" ), 3, 4 ) ) )</f>
        <v>4</v>
      </c>
    </row>
    <row r="178" spans="58:66" x14ac:dyDescent="0.2">
      <c r="BF178" s="3">
        <v>0.36</v>
      </c>
      <c r="BG178" s="3" t="str">
        <f t="shared" si="15"/>
        <v>0</v>
      </c>
      <c r="BH178" t="str">
        <f ca="1">IF((OFFSET($A$1, 178 - 1, 58 - 1)) &gt;= (OFFSET($A$1, 96 - 1, 7 - 1)), "1","0")</f>
        <v>0</v>
      </c>
      <c r="BI178">
        <f ca="1" xml:space="preserve"> IF( AND( OFFSET($A$1, 178 - 1, 59 - 1) = "1", OFFSET($A$1, 178 - 1, 60 - 1) = "1" ), 1, IF( AND( OFFSET($A$1, 178 - 1, 59 - 1) = "1", OFFSET($A$1, 178 - 1, 60 - 1) = "0" ), 2, IF( AND( OFFSET($A$1, 178 - 1, 59 - 1) = "0", OFFSET($A$1, 178 - 1, 60 - 1) = "1" ), 3, 4 ) ) )</f>
        <v>4</v>
      </c>
      <c r="BK178" s="3">
        <v>6.6350710900473939E-2</v>
      </c>
      <c r="BL178" s="3" t="str">
        <f>"1"</f>
        <v>1</v>
      </c>
      <c r="BM178" t="str">
        <f ca="1">IF((OFFSET($A$1, 178 - 1, 63 - 1)) &gt;= (OFFSET($A$1, 135 - 1, 7 - 1)), "1","0")</f>
        <v>0</v>
      </c>
      <c r="BN178">
        <f ca="1" xml:space="preserve"> IF( AND( OFFSET($A$1, 178 - 1, 64 - 1) = "1", OFFSET($A$1, 178 - 1, 65 - 1) = "1" ), 1, IF( AND( OFFSET($A$1, 178 - 1, 64 - 1) = "1", OFFSET($A$1, 178 - 1, 65 - 1) = "0" ), 2, IF( AND( OFFSET($A$1, 178 - 1, 64 - 1) = "0", OFFSET($A$1, 178 - 1, 65 - 1) = "1" ), 3, 4 ) ) )</f>
        <v>2</v>
      </c>
    </row>
    <row r="179" spans="58:66" x14ac:dyDescent="0.2">
      <c r="BF179" s="3">
        <v>0.47692307692307689</v>
      </c>
      <c r="BG179" s="3" t="str">
        <f t="shared" si="15"/>
        <v>0</v>
      </c>
      <c r="BH179" t="str">
        <f ca="1">IF((OFFSET($A$1, 179 - 1, 58 - 1)) &gt;= (OFFSET($A$1, 96 - 1, 7 - 1)), "1","0")</f>
        <v>0</v>
      </c>
      <c r="BI179">
        <f ca="1" xml:space="preserve"> IF( AND( OFFSET($A$1, 179 - 1, 59 - 1) = "1", OFFSET($A$1, 179 - 1, 60 - 1) = "1" ), 1, IF( AND( OFFSET($A$1, 179 - 1, 59 - 1) = "1", OFFSET($A$1, 179 - 1, 60 - 1) = "0" ), 2, IF( AND( OFFSET($A$1, 179 - 1, 59 - 1) = "0", OFFSET($A$1, 179 - 1, 60 - 1) = "1" ), 3, 4 ) ) )</f>
        <v>4</v>
      </c>
      <c r="BK179" s="3">
        <v>6.6350710900473939E-2</v>
      </c>
      <c r="BL179" s="3" t="str">
        <f>"0"</f>
        <v>0</v>
      </c>
      <c r="BM179" t="str">
        <f ca="1">IF((OFFSET($A$1, 179 - 1, 63 - 1)) &gt;= (OFFSET($A$1, 135 - 1, 7 - 1)), "1","0")</f>
        <v>0</v>
      </c>
      <c r="BN179">
        <f ca="1" xml:space="preserve"> IF( AND( OFFSET($A$1, 179 - 1, 64 - 1) = "1", OFFSET($A$1, 179 - 1, 65 - 1) = "1" ), 1, IF( AND( OFFSET($A$1, 179 - 1, 64 - 1) = "1", OFFSET($A$1, 179 - 1, 65 - 1) = "0" ), 2, IF( AND( OFFSET($A$1, 179 - 1, 64 - 1) = "0", OFFSET($A$1, 179 - 1, 65 - 1) = "1" ), 3, 4 ) ) )</f>
        <v>4</v>
      </c>
    </row>
    <row r="180" spans="58:66" x14ac:dyDescent="0.2">
      <c r="BF180" s="3">
        <v>0</v>
      </c>
      <c r="BG180" s="3" t="str">
        <f t="shared" si="15"/>
        <v>0</v>
      </c>
      <c r="BH180" t="str">
        <f ca="1">IF((OFFSET($A$1, 180 - 1, 58 - 1)) &gt;= (OFFSET($A$1, 96 - 1, 7 - 1)), "1","0")</f>
        <v>0</v>
      </c>
      <c r="BI180">
        <f ca="1" xml:space="preserve"> IF( AND( OFFSET($A$1, 180 - 1, 59 - 1) = "1", OFFSET($A$1, 180 - 1, 60 - 1) = "1" ), 1, IF( AND( OFFSET($A$1, 180 - 1, 59 - 1) = "1", OFFSET($A$1, 180 - 1, 60 - 1) = "0" ), 2, IF( AND( OFFSET($A$1, 180 - 1, 59 - 1) = "0", OFFSET($A$1, 180 - 1, 60 - 1) = "1" ), 3, 4 ) ) )</f>
        <v>4</v>
      </c>
      <c r="BK180" s="3">
        <v>6.6350710900473939E-2</v>
      </c>
      <c r="BL180" s="3" t="str">
        <f>"0"</f>
        <v>0</v>
      </c>
      <c r="BM180" t="str">
        <f ca="1">IF((OFFSET($A$1, 180 - 1, 63 - 1)) &gt;= (OFFSET($A$1, 135 - 1, 7 - 1)), "1","0")</f>
        <v>0</v>
      </c>
      <c r="BN180">
        <f ca="1" xml:space="preserve"> IF( AND( OFFSET($A$1, 180 - 1, 64 - 1) = "1", OFFSET($A$1, 180 - 1, 65 - 1) = "1" ), 1, IF( AND( OFFSET($A$1, 180 - 1, 64 - 1) = "1", OFFSET($A$1, 180 - 1, 65 - 1) = "0" ), 2, IF( AND( OFFSET($A$1, 180 - 1, 64 - 1) = "0", OFFSET($A$1, 180 - 1, 65 - 1) = "1" ), 3, 4 ) ) )</f>
        <v>4</v>
      </c>
    </row>
    <row r="181" spans="58:66" x14ac:dyDescent="0.2">
      <c r="BF181" s="3">
        <v>0.47692307692307689</v>
      </c>
      <c r="BG181" s="3" t="str">
        <f>"1"</f>
        <v>1</v>
      </c>
      <c r="BH181" t="str">
        <f ca="1">IF((OFFSET($A$1, 181 - 1, 58 - 1)) &gt;= (OFFSET($A$1, 96 - 1, 7 - 1)), "1","0")</f>
        <v>0</v>
      </c>
      <c r="BI181">
        <f ca="1" xml:space="preserve"> IF( AND( OFFSET($A$1, 181 - 1, 59 - 1) = "1", OFFSET($A$1, 181 - 1, 60 - 1) = "1" ), 1, IF( AND( OFFSET($A$1, 181 - 1, 59 - 1) = "1", OFFSET($A$1, 181 - 1, 60 - 1) = "0" ), 2, IF( AND( OFFSET($A$1, 181 - 1, 59 - 1) = "0", OFFSET($A$1, 181 - 1, 60 - 1) = "1" ), 3, 4 ) ) )</f>
        <v>2</v>
      </c>
      <c r="BK181" s="3">
        <v>0.90579710144927539</v>
      </c>
      <c r="BL181" s="3" t="str">
        <f>"1"</f>
        <v>1</v>
      </c>
      <c r="BM181" t="str">
        <f ca="1">IF((OFFSET($A$1, 181 - 1, 63 - 1)) &gt;= (OFFSET($A$1, 135 - 1, 7 - 1)), "1","0")</f>
        <v>1</v>
      </c>
      <c r="BN181">
        <f ca="1" xml:space="preserve"> IF( AND( OFFSET($A$1, 181 - 1, 64 - 1) = "1", OFFSET($A$1, 181 - 1, 65 - 1) = "1" ), 1, IF( AND( OFFSET($A$1, 181 - 1, 64 - 1) = "1", OFFSET($A$1, 181 - 1, 65 - 1) = "0" ), 2, IF( AND( OFFSET($A$1, 181 - 1, 64 - 1) = "0", OFFSET($A$1, 181 - 1, 65 - 1) = "1" ), 3, 4 ) ) )</f>
        <v>1</v>
      </c>
    </row>
    <row r="182" spans="58:66" x14ac:dyDescent="0.2">
      <c r="BF182" s="3">
        <v>0</v>
      </c>
      <c r="BG182" s="3" t="str">
        <f t="shared" ref="BG182:BG189" si="16">"0"</f>
        <v>0</v>
      </c>
      <c r="BH182" t="str">
        <f ca="1">IF((OFFSET($A$1, 182 - 1, 58 - 1)) &gt;= (OFFSET($A$1, 96 - 1, 7 - 1)), "1","0")</f>
        <v>0</v>
      </c>
      <c r="BI182">
        <f ca="1" xml:space="preserve"> IF( AND( OFFSET($A$1, 182 - 1, 59 - 1) = "1", OFFSET($A$1, 182 - 1, 60 - 1) = "1" ), 1, IF( AND( OFFSET($A$1, 182 - 1, 59 - 1) = "1", OFFSET($A$1, 182 - 1, 60 - 1) = "0" ), 2, IF( AND( OFFSET($A$1, 182 - 1, 59 - 1) = "0", OFFSET($A$1, 182 - 1, 60 - 1) = "1" ), 3, 4 ) ) )</f>
        <v>4</v>
      </c>
      <c r="BK182" s="3">
        <v>2.5316455696202531E-2</v>
      </c>
      <c r="BL182" s="3" t="str">
        <f>"0"</f>
        <v>0</v>
      </c>
      <c r="BM182" t="str">
        <f ca="1">IF((OFFSET($A$1, 182 - 1, 63 - 1)) &gt;= (OFFSET($A$1, 135 - 1, 7 - 1)), "1","0")</f>
        <v>0</v>
      </c>
      <c r="BN182">
        <f ca="1" xml:space="preserve"> IF( AND( OFFSET($A$1, 182 - 1, 64 - 1) = "1", OFFSET($A$1, 182 - 1, 65 - 1) = "1" ), 1, IF( AND( OFFSET($A$1, 182 - 1, 64 - 1) = "1", OFFSET($A$1, 182 - 1, 65 - 1) = "0" ), 2, IF( AND( OFFSET($A$1, 182 - 1, 64 - 1) = "0", OFFSET($A$1, 182 - 1, 65 - 1) = "1" ), 3, 4 ) ) )</f>
        <v>4</v>
      </c>
    </row>
    <row r="183" spans="58:66" x14ac:dyDescent="0.2">
      <c r="BF183" s="3">
        <v>0</v>
      </c>
      <c r="BG183" s="3" t="str">
        <f t="shared" si="16"/>
        <v>0</v>
      </c>
      <c r="BH183" t="str">
        <f ca="1">IF((OFFSET($A$1, 183 - 1, 58 - 1)) &gt;= (OFFSET($A$1, 96 - 1, 7 - 1)), "1","0")</f>
        <v>0</v>
      </c>
      <c r="BI183">
        <f ca="1" xml:space="preserve"> IF( AND( OFFSET($A$1, 183 - 1, 59 - 1) = "1", OFFSET($A$1, 183 - 1, 60 - 1) = "1" ), 1, IF( AND( OFFSET($A$1, 183 - 1, 59 - 1) = "1", OFFSET($A$1, 183 - 1, 60 - 1) = "0" ), 2, IF( AND( OFFSET($A$1, 183 - 1, 59 - 1) = "0", OFFSET($A$1, 183 - 1, 60 - 1) = "1" ), 3, 4 ) ) )</f>
        <v>4</v>
      </c>
      <c r="BK183" s="3">
        <v>6.6350710900473939E-2</v>
      </c>
      <c r="BL183" s="3" t="str">
        <f>"0"</f>
        <v>0</v>
      </c>
      <c r="BM183" t="str">
        <f ca="1">IF((OFFSET($A$1, 183 - 1, 63 - 1)) &gt;= (OFFSET($A$1, 135 - 1, 7 - 1)), "1","0")</f>
        <v>0</v>
      </c>
      <c r="BN183">
        <f ca="1" xml:space="preserve"> IF( AND( OFFSET($A$1, 183 - 1, 64 - 1) = "1", OFFSET($A$1, 183 - 1, 65 - 1) = "1" ), 1, IF( AND( OFFSET($A$1, 183 - 1, 64 - 1) = "1", OFFSET($A$1, 183 - 1, 65 - 1) = "0" ), 2, IF( AND( OFFSET($A$1, 183 - 1, 64 - 1) = "0", OFFSET($A$1, 183 - 1, 65 - 1) = "1" ), 3, 4 ) ) )</f>
        <v>4</v>
      </c>
    </row>
    <row r="184" spans="58:66" x14ac:dyDescent="0.2">
      <c r="BF184" s="3">
        <v>0</v>
      </c>
      <c r="BG184" s="3" t="str">
        <f t="shared" si="16"/>
        <v>0</v>
      </c>
      <c r="BH184" t="str">
        <f ca="1">IF((OFFSET($A$1, 184 - 1, 58 - 1)) &gt;= (OFFSET($A$1, 96 - 1, 7 - 1)), "1","0")</f>
        <v>0</v>
      </c>
      <c r="BI184">
        <f ca="1" xml:space="preserve"> IF( AND( OFFSET($A$1, 184 - 1, 59 - 1) = "1", OFFSET($A$1, 184 - 1, 60 - 1) = "1" ), 1, IF( AND( OFFSET($A$1, 184 - 1, 59 - 1) = "1", OFFSET($A$1, 184 - 1, 60 - 1) = "0" ), 2, IF( AND( OFFSET($A$1, 184 - 1, 59 - 1) = "0", OFFSET($A$1, 184 - 1, 60 - 1) = "1" ), 3, 4 ) ) )</f>
        <v>4</v>
      </c>
      <c r="BK184" s="3">
        <v>0.36</v>
      </c>
      <c r="BL184" s="3" t="str">
        <f>"1"</f>
        <v>1</v>
      </c>
      <c r="BM184" t="str">
        <f ca="1">IF((OFFSET($A$1, 184 - 1, 63 - 1)) &gt;= (OFFSET($A$1, 135 - 1, 7 - 1)), "1","0")</f>
        <v>0</v>
      </c>
      <c r="BN184">
        <f ca="1" xml:space="preserve"> IF( AND( OFFSET($A$1, 184 - 1, 64 - 1) = "1", OFFSET($A$1, 184 - 1, 65 - 1) = "1" ), 1, IF( AND( OFFSET($A$1, 184 - 1, 64 - 1) = "1", OFFSET($A$1, 184 - 1, 65 - 1) = "0" ), 2, IF( AND( OFFSET($A$1, 184 - 1, 64 - 1) = "0", OFFSET($A$1, 184 - 1, 65 - 1) = "1" ), 3, 4 ) ) )</f>
        <v>2</v>
      </c>
    </row>
    <row r="185" spans="58:66" x14ac:dyDescent="0.2">
      <c r="BF185" s="3">
        <v>3.7037037037037042E-2</v>
      </c>
      <c r="BG185" s="3" t="str">
        <f t="shared" si="16"/>
        <v>0</v>
      </c>
      <c r="BH185" t="str">
        <f ca="1">IF((OFFSET($A$1, 185 - 1, 58 - 1)) &gt;= (OFFSET($A$1, 96 - 1, 7 - 1)), "1","0")</f>
        <v>0</v>
      </c>
      <c r="BI185">
        <f ca="1" xml:space="preserve"> IF( AND( OFFSET($A$1, 185 - 1, 59 - 1) = "1", OFFSET($A$1, 185 - 1, 60 - 1) = "1" ), 1, IF( AND( OFFSET($A$1, 185 - 1, 59 - 1) = "1", OFFSET($A$1, 185 - 1, 60 - 1) = "0" ), 2, IF( AND( OFFSET($A$1, 185 - 1, 59 - 1) = "0", OFFSET($A$1, 185 - 1, 60 - 1) = "1" ), 3, 4 ) ) )</f>
        <v>4</v>
      </c>
      <c r="BK185" s="3">
        <v>6.6350710900473939E-2</v>
      </c>
      <c r="BL185" s="3" t="str">
        <f>"0"</f>
        <v>0</v>
      </c>
      <c r="BM185" t="str">
        <f ca="1">IF((OFFSET($A$1, 185 - 1, 63 - 1)) &gt;= (OFFSET($A$1, 135 - 1, 7 - 1)), "1","0")</f>
        <v>0</v>
      </c>
      <c r="BN185">
        <f ca="1" xml:space="preserve"> IF( AND( OFFSET($A$1, 185 - 1, 64 - 1) = "1", OFFSET($A$1, 185 - 1, 65 - 1) = "1" ), 1, IF( AND( OFFSET($A$1, 185 - 1, 64 - 1) = "1", OFFSET($A$1, 185 - 1, 65 - 1) = "0" ), 2, IF( AND( OFFSET($A$1, 185 - 1, 64 - 1) = "0", OFFSET($A$1, 185 - 1, 65 - 1) = "1" ), 3, 4 ) ) )</f>
        <v>4</v>
      </c>
    </row>
    <row r="186" spans="58:66" x14ac:dyDescent="0.2">
      <c r="BF186" s="3">
        <v>0</v>
      </c>
      <c r="BG186" s="3" t="str">
        <f t="shared" si="16"/>
        <v>0</v>
      </c>
      <c r="BH186" t="str">
        <f ca="1">IF((OFFSET($A$1, 186 - 1, 58 - 1)) &gt;= (OFFSET($A$1, 96 - 1, 7 - 1)), "1","0")</f>
        <v>0</v>
      </c>
      <c r="BI186">
        <f ca="1" xml:space="preserve"> IF( AND( OFFSET($A$1, 186 - 1, 59 - 1) = "1", OFFSET($A$1, 186 - 1, 60 - 1) = "1" ), 1, IF( AND( OFFSET($A$1, 186 - 1, 59 - 1) = "1", OFFSET($A$1, 186 - 1, 60 - 1) = "0" ), 2, IF( AND( OFFSET($A$1, 186 - 1, 59 - 1) = "0", OFFSET($A$1, 186 - 1, 60 - 1) = "1" ), 3, 4 ) ) )</f>
        <v>4</v>
      </c>
      <c r="BK186" s="3">
        <v>6.6350710900473939E-2</v>
      </c>
      <c r="BL186" s="3" t="str">
        <f>"0"</f>
        <v>0</v>
      </c>
      <c r="BM186" t="str">
        <f ca="1">IF((OFFSET($A$1, 186 - 1, 63 - 1)) &gt;= (OFFSET($A$1, 135 - 1, 7 - 1)), "1","0")</f>
        <v>0</v>
      </c>
      <c r="BN186">
        <f ca="1" xml:space="preserve"> IF( AND( OFFSET($A$1, 186 - 1, 64 - 1) = "1", OFFSET($A$1, 186 - 1, 65 - 1) = "1" ), 1, IF( AND( OFFSET($A$1, 186 - 1, 64 - 1) = "1", OFFSET($A$1, 186 - 1, 65 - 1) = "0" ), 2, IF( AND( OFFSET($A$1, 186 - 1, 64 - 1) = "0", OFFSET($A$1, 186 - 1, 65 - 1) = "1" ), 3, 4 ) ) )</f>
        <v>4</v>
      </c>
    </row>
    <row r="187" spans="58:66" x14ac:dyDescent="0.2">
      <c r="BF187" s="3">
        <v>0</v>
      </c>
      <c r="BG187" s="3" t="str">
        <f t="shared" si="16"/>
        <v>0</v>
      </c>
      <c r="BH187" t="str">
        <f ca="1">IF((OFFSET($A$1, 187 - 1, 58 - 1)) &gt;= (OFFSET($A$1, 96 - 1, 7 - 1)), "1","0")</f>
        <v>0</v>
      </c>
      <c r="BI187">
        <f ca="1" xml:space="preserve"> IF( AND( OFFSET($A$1, 187 - 1, 59 - 1) = "1", OFFSET($A$1, 187 - 1, 60 - 1) = "1" ), 1, IF( AND( OFFSET($A$1, 187 - 1, 59 - 1) = "1", OFFSET($A$1, 187 - 1, 60 - 1) = "0" ), 2, IF( AND( OFFSET($A$1, 187 - 1, 59 - 1) = "0", OFFSET($A$1, 187 - 1, 60 - 1) = "1" ), 3, 4 ) ) )</f>
        <v>4</v>
      </c>
      <c r="BK187" s="3">
        <v>6.6350710900473939E-2</v>
      </c>
      <c r="BL187" s="3" t="str">
        <f>"0"</f>
        <v>0</v>
      </c>
      <c r="BM187" t="str">
        <f ca="1">IF((OFFSET($A$1, 187 - 1, 63 - 1)) &gt;= (OFFSET($A$1, 135 - 1, 7 - 1)), "1","0")</f>
        <v>0</v>
      </c>
      <c r="BN187">
        <f ca="1" xml:space="preserve"> IF( AND( OFFSET($A$1, 187 - 1, 64 - 1) = "1", OFFSET($A$1, 187 - 1, 65 - 1) = "1" ), 1, IF( AND( OFFSET($A$1, 187 - 1, 64 - 1) = "1", OFFSET($A$1, 187 - 1, 65 - 1) = "0" ), 2, IF( AND( OFFSET($A$1, 187 - 1, 64 - 1) = "0", OFFSET($A$1, 187 - 1, 65 - 1) = "1" ), 3, 4 ) ) )</f>
        <v>4</v>
      </c>
    </row>
    <row r="188" spans="58:66" x14ac:dyDescent="0.2">
      <c r="BF188" s="3">
        <v>0</v>
      </c>
      <c r="BG188" s="3" t="str">
        <f t="shared" si="16"/>
        <v>0</v>
      </c>
      <c r="BH188" t="str">
        <f ca="1">IF((OFFSET($A$1, 188 - 1, 58 - 1)) &gt;= (OFFSET($A$1, 96 - 1, 7 - 1)), "1","0")</f>
        <v>0</v>
      </c>
      <c r="BI188">
        <f ca="1" xml:space="preserve"> IF( AND( OFFSET($A$1, 188 - 1, 59 - 1) = "1", OFFSET($A$1, 188 - 1, 60 - 1) = "1" ), 1, IF( AND( OFFSET($A$1, 188 - 1, 59 - 1) = "1", OFFSET($A$1, 188 - 1, 60 - 1) = "0" ), 2, IF( AND( OFFSET($A$1, 188 - 1, 59 - 1) = "0", OFFSET($A$1, 188 - 1, 60 - 1) = "1" ), 3, 4 ) ) )</f>
        <v>4</v>
      </c>
      <c r="BK188" s="3">
        <v>6.6350710900473939E-2</v>
      </c>
      <c r="BL188" s="3" t="str">
        <f>"0"</f>
        <v>0</v>
      </c>
      <c r="BM188" t="str">
        <f ca="1">IF((OFFSET($A$1, 188 - 1, 63 - 1)) &gt;= (OFFSET($A$1, 135 - 1, 7 - 1)), "1","0")</f>
        <v>0</v>
      </c>
      <c r="BN188">
        <f ca="1" xml:space="preserve"> IF( AND( OFFSET($A$1, 188 - 1, 64 - 1) = "1", OFFSET($A$1, 188 - 1, 65 - 1) = "1" ), 1, IF( AND( OFFSET($A$1, 188 - 1, 64 - 1) = "1", OFFSET($A$1, 188 - 1, 65 - 1) = "0" ), 2, IF( AND( OFFSET($A$1, 188 - 1, 64 - 1) = "0", OFFSET($A$1, 188 - 1, 65 - 1) = "1" ), 3, 4 ) ) )</f>
        <v>4</v>
      </c>
    </row>
    <row r="189" spans="58:66" x14ac:dyDescent="0.2">
      <c r="BF189" s="3">
        <v>0</v>
      </c>
      <c r="BG189" s="3" t="str">
        <f t="shared" si="16"/>
        <v>0</v>
      </c>
      <c r="BH189" t="str">
        <f ca="1">IF((OFFSET($A$1, 189 - 1, 58 - 1)) &gt;= (OFFSET($A$1, 96 - 1, 7 - 1)), "1","0")</f>
        <v>0</v>
      </c>
      <c r="BI189">
        <f ca="1" xml:space="preserve"> IF( AND( OFFSET($A$1, 189 - 1, 59 - 1) = "1", OFFSET($A$1, 189 - 1, 60 - 1) = "1" ), 1, IF( AND( OFFSET($A$1, 189 - 1, 59 - 1) = "1", OFFSET($A$1, 189 - 1, 60 - 1) = "0" ), 2, IF( AND( OFFSET($A$1, 189 - 1, 59 - 1) = "0", OFFSET($A$1, 189 - 1, 60 - 1) = "1" ), 3, 4 ) ) )</f>
        <v>4</v>
      </c>
      <c r="BK189" s="3">
        <v>2.5316455696202531E-2</v>
      </c>
      <c r="BL189" s="3" t="str">
        <f>"0"</f>
        <v>0</v>
      </c>
      <c r="BM189" t="str">
        <f ca="1">IF((OFFSET($A$1, 189 - 1, 63 - 1)) &gt;= (OFFSET($A$1, 135 - 1, 7 - 1)), "1","0")</f>
        <v>0</v>
      </c>
      <c r="BN189">
        <f ca="1" xml:space="preserve"> IF( AND( OFFSET($A$1, 189 - 1, 64 - 1) = "1", OFFSET($A$1, 189 - 1, 65 - 1) = "1" ), 1, IF( AND( OFFSET($A$1, 189 - 1, 64 - 1) = "1", OFFSET($A$1, 189 - 1, 65 - 1) = "0" ), 2, IF( AND( OFFSET($A$1, 189 - 1, 64 - 1) = "0", OFFSET($A$1, 189 - 1, 65 - 1) = "1" ), 3, 4 ) ) )</f>
        <v>4</v>
      </c>
    </row>
    <row r="190" spans="58:66" x14ac:dyDescent="0.2">
      <c r="BF190" s="3">
        <v>0.90579710144927539</v>
      </c>
      <c r="BG190" s="3" t="str">
        <f>"1"</f>
        <v>1</v>
      </c>
      <c r="BH190" t="str">
        <f ca="1">IF((OFFSET($A$1, 190 - 1, 58 - 1)) &gt;= (OFFSET($A$1, 96 - 1, 7 - 1)), "1","0")</f>
        <v>1</v>
      </c>
      <c r="BI190">
        <f ca="1" xml:space="preserve"> IF( AND( OFFSET($A$1, 190 - 1, 59 - 1) = "1", OFFSET($A$1, 190 - 1, 60 - 1) = "1" ), 1, IF( AND( OFFSET($A$1, 190 - 1, 59 - 1) = "1", OFFSET($A$1, 190 - 1, 60 - 1) = "0" ), 2, IF( AND( OFFSET($A$1, 190 - 1, 59 - 1) = "0", OFFSET($A$1, 190 - 1, 60 - 1) = "1" ), 3, 4 ) ) )</f>
        <v>1</v>
      </c>
      <c r="BK190" s="3">
        <v>0.36</v>
      </c>
      <c r="BL190" s="3" t="str">
        <f>"1"</f>
        <v>1</v>
      </c>
      <c r="BM190" t="str">
        <f ca="1">IF((OFFSET($A$1, 190 - 1, 63 - 1)) &gt;= (OFFSET($A$1, 135 - 1, 7 - 1)), "1","0")</f>
        <v>0</v>
      </c>
      <c r="BN190">
        <f ca="1" xml:space="preserve"> IF( AND( OFFSET($A$1, 190 - 1, 64 - 1) = "1", OFFSET($A$1, 190 - 1, 65 - 1) = "1" ), 1, IF( AND( OFFSET($A$1, 190 - 1, 64 - 1) = "1", OFFSET($A$1, 190 - 1, 65 - 1) = "0" ), 2, IF( AND( OFFSET($A$1, 190 - 1, 64 - 1) = "0", OFFSET($A$1, 190 - 1, 65 - 1) = "1" ), 3, 4 ) ) )</f>
        <v>2</v>
      </c>
    </row>
    <row r="191" spans="58:66" x14ac:dyDescent="0.2">
      <c r="BF191" s="3">
        <v>0</v>
      </c>
      <c r="BG191" s="3" t="str">
        <f>"0"</f>
        <v>0</v>
      </c>
      <c r="BH191" t="str">
        <f ca="1">IF((OFFSET($A$1, 191 - 1, 58 - 1)) &gt;= (OFFSET($A$1, 96 - 1, 7 - 1)), "1","0")</f>
        <v>0</v>
      </c>
      <c r="BI191">
        <f ca="1" xml:space="preserve"> IF( AND( OFFSET($A$1, 191 - 1, 59 - 1) = "1", OFFSET($A$1, 191 - 1, 60 - 1) = "1" ), 1, IF( AND( OFFSET($A$1, 191 - 1, 59 - 1) = "1", OFFSET($A$1, 191 - 1, 60 - 1) = "0" ), 2, IF( AND( OFFSET($A$1, 191 - 1, 59 - 1) = "0", OFFSET($A$1, 191 - 1, 60 - 1) = "1" ), 3, 4 ) ) )</f>
        <v>4</v>
      </c>
      <c r="BK191" s="3">
        <v>6.6350710900473939E-2</v>
      </c>
      <c r="BL191" s="3" t="str">
        <f t="shared" ref="BL191:BL200" si="17">"0"</f>
        <v>0</v>
      </c>
      <c r="BM191" t="str">
        <f ca="1">IF((OFFSET($A$1, 191 - 1, 63 - 1)) &gt;= (OFFSET($A$1, 135 - 1, 7 - 1)), "1","0")</f>
        <v>0</v>
      </c>
      <c r="BN191">
        <f ca="1" xml:space="preserve"> IF( AND( OFFSET($A$1, 191 - 1, 64 - 1) = "1", OFFSET($A$1, 191 - 1, 65 - 1) = "1" ), 1, IF( AND( OFFSET($A$1, 191 - 1, 64 - 1) = "1", OFFSET($A$1, 191 - 1, 65 - 1) = "0" ), 2, IF( AND( OFFSET($A$1, 191 - 1, 64 - 1) = "0", OFFSET($A$1, 191 - 1, 65 - 1) = "1" ), 3, 4 ) ) )</f>
        <v>4</v>
      </c>
    </row>
    <row r="192" spans="58:66" x14ac:dyDescent="0.2">
      <c r="BF192" s="3">
        <v>0</v>
      </c>
      <c r="BG192" s="3" t="str">
        <f>"0"</f>
        <v>0</v>
      </c>
      <c r="BH192" t="str">
        <f ca="1">IF((OFFSET($A$1, 192 - 1, 58 - 1)) &gt;= (OFFSET($A$1, 96 - 1, 7 - 1)), "1","0")</f>
        <v>0</v>
      </c>
      <c r="BI192">
        <f ca="1" xml:space="preserve"> IF( AND( OFFSET($A$1, 192 - 1, 59 - 1) = "1", OFFSET($A$1, 192 - 1, 60 - 1) = "1" ), 1, IF( AND( OFFSET($A$1, 192 - 1, 59 - 1) = "1", OFFSET($A$1, 192 - 1, 60 - 1) = "0" ), 2, IF( AND( OFFSET($A$1, 192 - 1, 59 - 1) = "0", OFFSET($A$1, 192 - 1, 60 - 1) = "1" ), 3, 4 ) ) )</f>
        <v>4</v>
      </c>
      <c r="BK192" s="3">
        <v>6.6350710900473939E-2</v>
      </c>
      <c r="BL192" s="3" t="str">
        <f t="shared" si="17"/>
        <v>0</v>
      </c>
      <c r="BM192" t="str">
        <f ca="1">IF((OFFSET($A$1, 192 - 1, 63 - 1)) &gt;= (OFFSET($A$1, 135 - 1, 7 - 1)), "1","0")</f>
        <v>0</v>
      </c>
      <c r="BN192">
        <f ca="1" xml:space="preserve"> IF( AND( OFFSET($A$1, 192 - 1, 64 - 1) = "1", OFFSET($A$1, 192 - 1, 65 - 1) = "1" ), 1, IF( AND( OFFSET($A$1, 192 - 1, 64 - 1) = "1", OFFSET($A$1, 192 - 1, 65 - 1) = "0" ), 2, IF( AND( OFFSET($A$1, 192 - 1, 64 - 1) = "0", OFFSET($A$1, 192 - 1, 65 - 1) = "1" ), 3, 4 ) ) )</f>
        <v>4</v>
      </c>
    </row>
    <row r="193" spans="58:66" x14ac:dyDescent="0.2">
      <c r="BF193" s="3">
        <v>0.90579710144927539</v>
      </c>
      <c r="BG193" s="3" t="str">
        <f>"1"</f>
        <v>1</v>
      </c>
      <c r="BH193" t="str">
        <f ca="1">IF((OFFSET($A$1, 193 - 1, 58 - 1)) &gt;= (OFFSET($A$1, 96 - 1, 7 - 1)), "1","0")</f>
        <v>1</v>
      </c>
      <c r="BI193">
        <f ca="1" xml:space="preserve"> IF( AND( OFFSET($A$1, 193 - 1, 59 - 1) = "1", OFFSET($A$1, 193 - 1, 60 - 1) = "1" ), 1, IF( AND( OFFSET($A$1, 193 - 1, 59 - 1) = "1", OFFSET($A$1, 193 - 1, 60 - 1) = "0" ), 2, IF( AND( OFFSET($A$1, 193 - 1, 59 - 1) = "0", OFFSET($A$1, 193 - 1, 60 - 1) = "1" ), 3, 4 ) ) )</f>
        <v>1</v>
      </c>
      <c r="BK193" s="3">
        <v>6.6350710900473939E-2</v>
      </c>
      <c r="BL193" s="3" t="str">
        <f t="shared" si="17"/>
        <v>0</v>
      </c>
      <c r="BM193" t="str">
        <f ca="1">IF((OFFSET($A$1, 193 - 1, 63 - 1)) &gt;= (OFFSET($A$1, 135 - 1, 7 - 1)), "1","0")</f>
        <v>0</v>
      </c>
      <c r="BN193">
        <f ca="1" xml:space="preserve"> IF( AND( OFFSET($A$1, 193 - 1, 64 - 1) = "1", OFFSET($A$1, 193 - 1, 65 - 1) = "1" ), 1, IF( AND( OFFSET($A$1, 193 - 1, 64 - 1) = "1", OFFSET($A$1, 193 - 1, 65 - 1) = "0" ), 2, IF( AND( OFFSET($A$1, 193 - 1, 64 - 1) = "0", OFFSET($A$1, 193 - 1, 65 - 1) = "1" ), 3, 4 ) ) )</f>
        <v>4</v>
      </c>
    </row>
    <row r="194" spans="58:66" x14ac:dyDescent="0.2">
      <c r="BF194" s="3">
        <v>0</v>
      </c>
      <c r="BG194" s="3" t="str">
        <f>"0"</f>
        <v>0</v>
      </c>
      <c r="BH194" t="str">
        <f ca="1">IF((OFFSET($A$1, 194 - 1, 58 - 1)) &gt;= (OFFSET($A$1, 96 - 1, 7 - 1)), "1","0")</f>
        <v>0</v>
      </c>
      <c r="BI194">
        <f ca="1" xml:space="preserve"> IF( AND( OFFSET($A$1, 194 - 1, 59 - 1) = "1", OFFSET($A$1, 194 - 1, 60 - 1) = "1" ), 1, IF( AND( OFFSET($A$1, 194 - 1, 59 - 1) = "1", OFFSET($A$1, 194 - 1, 60 - 1) = "0" ), 2, IF( AND( OFFSET($A$1, 194 - 1, 59 - 1) = "0", OFFSET($A$1, 194 - 1, 60 - 1) = "1" ), 3, 4 ) ) )</f>
        <v>4</v>
      </c>
      <c r="BK194" s="3">
        <v>2.5316455696202531E-2</v>
      </c>
      <c r="BL194" s="3" t="str">
        <f t="shared" si="17"/>
        <v>0</v>
      </c>
      <c r="BM194" t="str">
        <f ca="1">IF((OFFSET($A$1, 194 - 1, 63 - 1)) &gt;= (OFFSET($A$1, 135 - 1, 7 - 1)), "1","0")</f>
        <v>0</v>
      </c>
      <c r="BN194">
        <f ca="1" xml:space="preserve"> IF( AND( OFFSET($A$1, 194 - 1, 64 - 1) = "1", OFFSET($A$1, 194 - 1, 65 - 1) = "1" ), 1, IF( AND( OFFSET($A$1, 194 - 1, 64 - 1) = "1", OFFSET($A$1, 194 - 1, 65 - 1) = "0" ), 2, IF( AND( OFFSET($A$1, 194 - 1, 64 - 1) = "0", OFFSET($A$1, 194 - 1, 65 - 1) = "1" ), 3, 4 ) ) )</f>
        <v>4</v>
      </c>
    </row>
    <row r="195" spans="58:66" x14ac:dyDescent="0.2">
      <c r="BF195" s="3">
        <v>0</v>
      </c>
      <c r="BG195" s="3" t="str">
        <f>"0"</f>
        <v>0</v>
      </c>
      <c r="BH195" t="str">
        <f ca="1">IF((OFFSET($A$1, 195 - 1, 58 - 1)) &gt;= (OFFSET($A$1, 96 - 1, 7 - 1)), "1","0")</f>
        <v>0</v>
      </c>
      <c r="BI195">
        <f ca="1" xml:space="preserve"> IF( AND( OFFSET($A$1, 195 - 1, 59 - 1) = "1", OFFSET($A$1, 195 - 1, 60 - 1) = "1" ), 1, IF( AND( OFFSET($A$1, 195 - 1, 59 - 1) = "1", OFFSET($A$1, 195 - 1, 60 - 1) = "0" ), 2, IF( AND( OFFSET($A$1, 195 - 1, 59 - 1) = "0", OFFSET($A$1, 195 - 1, 60 - 1) = "1" ), 3, 4 ) ) )</f>
        <v>4</v>
      </c>
      <c r="BK195" s="3">
        <v>6.6350710900473939E-2</v>
      </c>
      <c r="BL195" s="3" t="str">
        <f t="shared" si="17"/>
        <v>0</v>
      </c>
      <c r="BM195" t="str">
        <f ca="1">IF((OFFSET($A$1, 195 - 1, 63 - 1)) &gt;= (OFFSET($A$1, 135 - 1, 7 - 1)), "1","0")</f>
        <v>0</v>
      </c>
      <c r="BN195">
        <f ca="1" xml:space="preserve"> IF( AND( OFFSET($A$1, 195 - 1, 64 - 1) = "1", OFFSET($A$1, 195 - 1, 65 - 1) = "1" ), 1, IF( AND( OFFSET($A$1, 195 - 1, 64 - 1) = "1", OFFSET($A$1, 195 - 1, 65 - 1) = "0" ), 2, IF( AND( OFFSET($A$1, 195 - 1, 64 - 1) = "0", OFFSET($A$1, 195 - 1, 65 - 1) = "1" ), 3, 4 ) ) )</f>
        <v>4</v>
      </c>
    </row>
    <row r="196" spans="58:66" x14ac:dyDescent="0.2">
      <c r="BF196" s="3">
        <v>0.08</v>
      </c>
      <c r="BG196" s="3" t="str">
        <f>"0"</f>
        <v>0</v>
      </c>
      <c r="BH196" t="str">
        <f ca="1">IF((OFFSET($A$1, 196 - 1, 58 - 1)) &gt;= (OFFSET($A$1, 96 - 1, 7 - 1)), "1","0")</f>
        <v>0</v>
      </c>
      <c r="BI196">
        <f ca="1" xml:space="preserve"> IF( AND( OFFSET($A$1, 196 - 1, 59 - 1) = "1", OFFSET($A$1, 196 - 1, 60 - 1) = "1" ), 1, IF( AND( OFFSET($A$1, 196 - 1, 59 - 1) = "1", OFFSET($A$1, 196 - 1, 60 - 1) = "0" ), 2, IF( AND( OFFSET($A$1, 196 - 1, 59 - 1) = "0", OFFSET($A$1, 196 - 1, 60 - 1) = "1" ), 3, 4 ) ) )</f>
        <v>4</v>
      </c>
      <c r="BK196" s="3">
        <v>0.36</v>
      </c>
      <c r="BL196" s="3" t="str">
        <f t="shared" si="17"/>
        <v>0</v>
      </c>
      <c r="BM196" t="str">
        <f ca="1">IF((OFFSET($A$1, 196 - 1, 63 - 1)) &gt;= (OFFSET($A$1, 135 - 1, 7 - 1)), "1","0")</f>
        <v>0</v>
      </c>
      <c r="BN196">
        <f ca="1" xml:space="preserve"> IF( AND( OFFSET($A$1, 196 - 1, 64 - 1) = "1", OFFSET($A$1, 196 - 1, 65 - 1) = "1" ), 1, IF( AND( OFFSET($A$1, 196 - 1, 64 - 1) = "1", OFFSET($A$1, 196 - 1, 65 - 1) = "0" ), 2, IF( AND( OFFSET($A$1, 196 - 1, 64 - 1) = "0", OFFSET($A$1, 196 - 1, 65 - 1) = "1" ), 3, 4 ) ) )</f>
        <v>4</v>
      </c>
    </row>
    <row r="197" spans="58:66" x14ac:dyDescent="0.2">
      <c r="BF197" s="3">
        <v>0.34722222222222221</v>
      </c>
      <c r="BG197" s="3" t="str">
        <f>"0"</f>
        <v>0</v>
      </c>
      <c r="BH197" t="str">
        <f ca="1">IF((OFFSET($A$1, 197 - 1, 58 - 1)) &gt;= (OFFSET($A$1, 96 - 1, 7 - 1)), "1","0")</f>
        <v>0</v>
      </c>
      <c r="BI197">
        <f ca="1" xml:space="preserve"> IF( AND( OFFSET($A$1, 197 - 1, 59 - 1) = "1", OFFSET($A$1, 197 - 1, 60 - 1) = "1" ), 1, IF( AND( OFFSET($A$1, 197 - 1, 59 - 1) = "1", OFFSET($A$1, 197 - 1, 60 - 1) = "0" ), 2, IF( AND( OFFSET($A$1, 197 - 1, 59 - 1) = "0", OFFSET($A$1, 197 - 1, 60 - 1) = "1" ), 3, 4 ) ) )</f>
        <v>4</v>
      </c>
      <c r="BK197" s="3">
        <v>6.6350710900473939E-2</v>
      </c>
      <c r="BL197" s="3" t="str">
        <f t="shared" si="17"/>
        <v>0</v>
      </c>
      <c r="BM197" t="str">
        <f ca="1">IF((OFFSET($A$1, 197 - 1, 63 - 1)) &gt;= (OFFSET($A$1, 135 - 1, 7 - 1)), "1","0")</f>
        <v>0</v>
      </c>
      <c r="BN197">
        <f ca="1" xml:space="preserve"> IF( AND( OFFSET($A$1, 197 - 1, 64 - 1) = "1", OFFSET($A$1, 197 - 1, 65 - 1) = "1" ), 1, IF( AND( OFFSET($A$1, 197 - 1, 64 - 1) = "1", OFFSET($A$1, 197 - 1, 65 - 1) = "0" ), 2, IF( AND( OFFSET($A$1, 197 - 1, 64 - 1) = "0", OFFSET($A$1, 197 - 1, 65 - 1) = "1" ), 3, 4 ) ) )</f>
        <v>4</v>
      </c>
    </row>
    <row r="198" spans="58:66" x14ac:dyDescent="0.2">
      <c r="BF198" s="3">
        <v>0</v>
      </c>
      <c r="BG198" s="3" t="str">
        <f>"0"</f>
        <v>0</v>
      </c>
      <c r="BH198" t="str">
        <f ca="1">IF((OFFSET($A$1, 198 - 1, 58 - 1)) &gt;= (OFFSET($A$1, 96 - 1, 7 - 1)), "1","0")</f>
        <v>0</v>
      </c>
      <c r="BI198">
        <f ca="1" xml:space="preserve"> IF( AND( OFFSET($A$1, 198 - 1, 59 - 1) = "1", OFFSET($A$1, 198 - 1, 60 - 1) = "1" ), 1, IF( AND( OFFSET($A$1, 198 - 1, 59 - 1) = "1", OFFSET($A$1, 198 - 1, 60 - 1) = "0" ), 2, IF( AND( OFFSET($A$1, 198 - 1, 59 - 1) = "0", OFFSET($A$1, 198 - 1, 60 - 1) = "1" ), 3, 4 ) ) )</f>
        <v>4</v>
      </c>
      <c r="BK198" s="3">
        <v>6.6350710900473939E-2</v>
      </c>
      <c r="BL198" s="3" t="str">
        <f t="shared" si="17"/>
        <v>0</v>
      </c>
      <c r="BM198" t="str">
        <f ca="1">IF((OFFSET($A$1, 198 - 1, 63 - 1)) &gt;= (OFFSET($A$1, 135 - 1, 7 - 1)), "1","0")</f>
        <v>0</v>
      </c>
      <c r="BN198">
        <f ca="1" xml:space="preserve"> IF( AND( OFFSET($A$1, 198 - 1, 64 - 1) = "1", OFFSET($A$1, 198 - 1, 65 - 1) = "1" ), 1, IF( AND( OFFSET($A$1, 198 - 1, 64 - 1) = "1", OFFSET($A$1, 198 - 1, 65 - 1) = "0" ), 2, IF( AND( OFFSET($A$1, 198 - 1, 64 - 1) = "0", OFFSET($A$1, 198 - 1, 65 - 1) = "1" ), 3, 4 ) ) )</f>
        <v>4</v>
      </c>
    </row>
    <row r="199" spans="58:66" x14ac:dyDescent="0.2">
      <c r="BF199" s="3">
        <v>0.90579710144927539</v>
      </c>
      <c r="BG199" s="3" t="str">
        <f>"1"</f>
        <v>1</v>
      </c>
      <c r="BH199" t="str">
        <f ca="1">IF((OFFSET($A$1, 199 - 1, 58 - 1)) &gt;= (OFFSET($A$1, 96 - 1, 7 - 1)), "1","0")</f>
        <v>1</v>
      </c>
      <c r="BI199">
        <f ca="1" xml:space="preserve"> IF( AND( OFFSET($A$1, 199 - 1, 59 - 1) = "1", OFFSET($A$1, 199 - 1, 60 - 1) = "1" ), 1, IF( AND( OFFSET($A$1, 199 - 1, 59 - 1) = "1", OFFSET($A$1, 199 - 1, 60 - 1) = "0" ), 2, IF( AND( OFFSET($A$1, 199 - 1, 59 - 1) = "0", OFFSET($A$1, 199 - 1, 60 - 1) = "1" ), 3, 4 ) ) )</f>
        <v>1</v>
      </c>
      <c r="BK199" s="3">
        <v>2.5316455696202531E-2</v>
      </c>
      <c r="BL199" s="3" t="str">
        <f t="shared" si="17"/>
        <v>0</v>
      </c>
      <c r="BM199" t="str">
        <f ca="1">IF((OFFSET($A$1, 199 - 1, 63 - 1)) &gt;= (OFFSET($A$1, 135 - 1, 7 - 1)), "1","0")</f>
        <v>0</v>
      </c>
      <c r="BN199">
        <f ca="1" xml:space="preserve"> IF( AND( OFFSET($A$1, 199 - 1, 64 - 1) = "1", OFFSET($A$1, 199 - 1, 65 - 1) = "1" ), 1, IF( AND( OFFSET($A$1, 199 - 1, 64 - 1) = "1", OFFSET($A$1, 199 - 1, 65 - 1) = "0" ), 2, IF( AND( OFFSET($A$1, 199 - 1, 64 - 1) = "0", OFFSET($A$1, 199 - 1, 65 - 1) = "1" ), 3, 4 ) ) )</f>
        <v>4</v>
      </c>
    </row>
    <row r="200" spans="58:66" x14ac:dyDescent="0.2">
      <c r="BF200" s="3">
        <v>3.7037037037037042E-2</v>
      </c>
      <c r="BG200" s="3" t="str">
        <f>"1"</f>
        <v>1</v>
      </c>
      <c r="BH200" t="str">
        <f ca="1">IF((OFFSET($A$1, 200 - 1, 58 - 1)) &gt;= (OFFSET($A$1, 96 - 1, 7 - 1)), "1","0")</f>
        <v>0</v>
      </c>
      <c r="BI200">
        <f ca="1" xml:space="preserve"> IF( AND( OFFSET($A$1, 200 - 1, 59 - 1) = "1", OFFSET($A$1, 200 - 1, 60 - 1) = "1" ), 1, IF( AND( OFFSET($A$1, 200 - 1, 59 - 1) = "1", OFFSET($A$1, 200 - 1, 60 - 1) = "0" ), 2, IF( AND( OFFSET($A$1, 200 - 1, 59 - 1) = "0", OFFSET($A$1, 200 - 1, 60 - 1) = "1" ), 3, 4 ) ) )</f>
        <v>2</v>
      </c>
      <c r="BK200" s="3">
        <v>6.6350710900473939E-2</v>
      </c>
      <c r="BL200" s="3" t="str">
        <f t="shared" si="17"/>
        <v>0</v>
      </c>
      <c r="BM200" t="str">
        <f ca="1">IF((OFFSET($A$1, 200 - 1, 63 - 1)) &gt;= (OFFSET($A$1, 135 - 1, 7 - 1)), "1","0")</f>
        <v>0</v>
      </c>
      <c r="BN200">
        <f ca="1" xml:space="preserve"> IF( AND( OFFSET($A$1, 200 - 1, 64 - 1) = "1", OFFSET($A$1, 200 - 1, 65 - 1) = "1" ), 1, IF( AND( OFFSET($A$1, 200 - 1, 64 - 1) = "1", OFFSET($A$1, 200 - 1, 65 - 1) = "0" ), 2, IF( AND( OFFSET($A$1, 200 - 1, 64 - 1) = "0", OFFSET($A$1, 200 - 1, 65 - 1) = "1" ), 3, 4 ) ) )</f>
        <v>4</v>
      </c>
    </row>
    <row r="201" spans="58:66" x14ac:dyDescent="0.2">
      <c r="BF201" s="3">
        <v>4.3478260869565216E-2</v>
      </c>
      <c r="BG201" s="3" t="str">
        <f>"1"</f>
        <v>1</v>
      </c>
      <c r="BH201" t="str">
        <f ca="1">IF((OFFSET($A$1, 201 - 1, 58 - 1)) &gt;= (OFFSET($A$1, 96 - 1, 7 - 1)), "1","0")</f>
        <v>0</v>
      </c>
      <c r="BI201">
        <f ca="1" xml:space="preserve"> IF( AND( OFFSET($A$1, 201 - 1, 59 - 1) = "1", OFFSET($A$1, 201 - 1, 60 - 1) = "1" ), 1, IF( AND( OFFSET($A$1, 201 - 1, 59 - 1) = "1", OFFSET($A$1, 201 - 1, 60 - 1) = "0" ), 2, IF( AND( OFFSET($A$1, 201 - 1, 59 - 1) = "0", OFFSET($A$1, 201 - 1, 60 - 1) = "1" ), 3, 4 ) ) )</f>
        <v>2</v>
      </c>
      <c r="BK201" s="3">
        <v>0.38775510204081637</v>
      </c>
      <c r="BL201" s="3" t="str">
        <f>"1"</f>
        <v>1</v>
      </c>
      <c r="BM201" t="str">
        <f ca="1">IF((OFFSET($A$1, 201 - 1, 63 - 1)) &gt;= (OFFSET($A$1, 135 - 1, 7 - 1)), "1","0")</f>
        <v>0</v>
      </c>
      <c r="BN201">
        <f ca="1" xml:space="preserve"> IF( AND( OFFSET($A$1, 201 - 1, 64 - 1) = "1", OFFSET($A$1, 201 - 1, 65 - 1) = "1" ), 1, IF( AND( OFFSET($A$1, 201 - 1, 64 - 1) = "1", OFFSET($A$1, 201 - 1, 65 - 1) = "0" ), 2, IF( AND( OFFSET($A$1, 201 - 1, 64 - 1) = "0", OFFSET($A$1, 201 - 1, 65 - 1) = "1" ), 3, 4 ) ) )</f>
        <v>2</v>
      </c>
    </row>
    <row r="202" spans="58:66" x14ac:dyDescent="0.2">
      <c r="BF202" s="3">
        <v>0</v>
      </c>
      <c r="BG202" s="3" t="str">
        <f t="shared" ref="BG202:BG215" si="18">"0"</f>
        <v>0</v>
      </c>
      <c r="BH202" t="str">
        <f ca="1">IF((OFFSET($A$1, 202 - 1, 58 - 1)) &gt;= (OFFSET($A$1, 96 - 1, 7 - 1)), "1","0")</f>
        <v>0</v>
      </c>
      <c r="BI202">
        <f ca="1" xml:space="preserve"> IF( AND( OFFSET($A$1, 202 - 1, 59 - 1) = "1", OFFSET($A$1, 202 - 1, 60 - 1) = "1" ), 1, IF( AND( OFFSET($A$1, 202 - 1, 59 - 1) = "1", OFFSET($A$1, 202 - 1, 60 - 1) = "0" ), 2, IF( AND( OFFSET($A$1, 202 - 1, 59 - 1) = "0", OFFSET($A$1, 202 - 1, 60 - 1) = "1" ), 3, 4 ) ) )</f>
        <v>4</v>
      </c>
      <c r="BK202" s="3">
        <v>6.6350710900473939E-2</v>
      </c>
      <c r="BL202" s="3" t="str">
        <f>"1"</f>
        <v>1</v>
      </c>
      <c r="BM202" t="str">
        <f ca="1">IF((OFFSET($A$1, 202 - 1, 63 - 1)) &gt;= (OFFSET($A$1, 135 - 1, 7 - 1)), "1","0")</f>
        <v>0</v>
      </c>
      <c r="BN202">
        <f ca="1" xml:space="preserve"> IF( AND( OFFSET($A$1, 202 - 1, 64 - 1) = "1", OFFSET($A$1, 202 - 1, 65 - 1) = "1" ), 1, IF( AND( OFFSET($A$1, 202 - 1, 64 - 1) = "1", OFFSET($A$1, 202 - 1, 65 - 1) = "0" ), 2, IF( AND( OFFSET($A$1, 202 - 1, 64 - 1) = "0", OFFSET($A$1, 202 - 1, 65 - 1) = "1" ), 3, 4 ) ) )</f>
        <v>2</v>
      </c>
    </row>
    <row r="203" spans="58:66" x14ac:dyDescent="0.2">
      <c r="BF203" s="3">
        <v>3.7037037037037042E-2</v>
      </c>
      <c r="BG203" s="3" t="str">
        <f t="shared" si="18"/>
        <v>0</v>
      </c>
      <c r="BH203" t="str">
        <f ca="1">IF((OFFSET($A$1, 203 - 1, 58 - 1)) &gt;= (OFFSET($A$1, 96 - 1, 7 - 1)), "1","0")</f>
        <v>0</v>
      </c>
      <c r="BI203">
        <f ca="1" xml:space="preserve"> IF( AND( OFFSET($A$1, 203 - 1, 59 - 1) = "1", OFFSET($A$1, 203 - 1, 60 - 1) = "1" ), 1, IF( AND( OFFSET($A$1, 203 - 1, 59 - 1) = "1", OFFSET($A$1, 203 - 1, 60 - 1) = "0" ), 2, IF( AND( OFFSET($A$1, 203 - 1, 59 - 1) = "0", OFFSET($A$1, 203 - 1, 60 - 1) = "1" ), 3, 4 ) ) )</f>
        <v>4</v>
      </c>
      <c r="BK203" s="3">
        <v>6.6350710900473939E-2</v>
      </c>
      <c r="BL203" s="3" t="str">
        <f t="shared" ref="BL203:BL210" si="19">"0"</f>
        <v>0</v>
      </c>
      <c r="BM203" t="str">
        <f ca="1">IF((OFFSET($A$1, 203 - 1, 63 - 1)) &gt;= (OFFSET($A$1, 135 - 1, 7 - 1)), "1","0")</f>
        <v>0</v>
      </c>
      <c r="BN203">
        <f ca="1" xml:space="preserve"> IF( AND( OFFSET($A$1, 203 - 1, 64 - 1) = "1", OFFSET($A$1, 203 - 1, 65 - 1) = "1" ), 1, IF( AND( OFFSET($A$1, 203 - 1, 64 - 1) = "1", OFFSET($A$1, 203 - 1, 65 - 1) = "0" ), 2, IF( AND( OFFSET($A$1, 203 - 1, 64 - 1) = "0", OFFSET($A$1, 203 - 1, 65 - 1) = "1" ), 3, 4 ) ) )</f>
        <v>4</v>
      </c>
    </row>
    <row r="204" spans="58:66" x14ac:dyDescent="0.2">
      <c r="BF204" s="3">
        <v>0.08</v>
      </c>
      <c r="BG204" s="3" t="str">
        <f t="shared" si="18"/>
        <v>0</v>
      </c>
      <c r="BH204" t="str">
        <f ca="1">IF((OFFSET($A$1, 204 - 1, 58 - 1)) &gt;= (OFFSET($A$1, 96 - 1, 7 - 1)), "1","0")</f>
        <v>0</v>
      </c>
      <c r="BI204">
        <f ca="1" xml:space="preserve"> IF( AND( OFFSET($A$1, 204 - 1, 59 - 1) = "1", OFFSET($A$1, 204 - 1, 60 - 1) = "1" ), 1, IF( AND( OFFSET($A$1, 204 - 1, 59 - 1) = "1", OFFSET($A$1, 204 - 1, 60 - 1) = "0" ), 2, IF( AND( OFFSET($A$1, 204 - 1, 59 - 1) = "0", OFFSET($A$1, 204 - 1, 60 - 1) = "1" ), 3, 4 ) ) )</f>
        <v>4</v>
      </c>
      <c r="BK204" s="3">
        <v>6.6350710900473939E-2</v>
      </c>
      <c r="BL204" s="3" t="str">
        <f t="shared" si="19"/>
        <v>0</v>
      </c>
      <c r="BM204" t="str">
        <f ca="1">IF((OFFSET($A$1, 204 - 1, 63 - 1)) &gt;= (OFFSET($A$1, 135 - 1, 7 - 1)), "1","0")</f>
        <v>0</v>
      </c>
      <c r="BN204">
        <f ca="1" xml:space="preserve"> IF( AND( OFFSET($A$1, 204 - 1, 64 - 1) = "1", OFFSET($A$1, 204 - 1, 65 - 1) = "1" ), 1, IF( AND( OFFSET($A$1, 204 - 1, 64 - 1) = "1", OFFSET($A$1, 204 - 1, 65 - 1) = "0" ), 2, IF( AND( OFFSET($A$1, 204 - 1, 64 - 1) = "0", OFFSET($A$1, 204 - 1, 65 - 1) = "1" ), 3, 4 ) ) )</f>
        <v>4</v>
      </c>
    </row>
    <row r="205" spans="58:66" x14ac:dyDescent="0.2">
      <c r="BF205" s="3">
        <v>0</v>
      </c>
      <c r="BG205" s="3" t="str">
        <f t="shared" si="18"/>
        <v>0</v>
      </c>
      <c r="BH205" t="str">
        <f ca="1">IF((OFFSET($A$1, 205 - 1, 58 - 1)) &gt;= (OFFSET($A$1, 96 - 1, 7 - 1)), "1","0")</f>
        <v>0</v>
      </c>
      <c r="BI205">
        <f ca="1" xml:space="preserve"> IF( AND( OFFSET($A$1, 205 - 1, 59 - 1) = "1", OFFSET($A$1, 205 - 1, 60 - 1) = "1" ), 1, IF( AND( OFFSET($A$1, 205 - 1, 59 - 1) = "1", OFFSET($A$1, 205 - 1, 60 - 1) = "0" ), 2, IF( AND( OFFSET($A$1, 205 - 1, 59 - 1) = "0", OFFSET($A$1, 205 - 1, 60 - 1) = "1" ), 3, 4 ) ) )</f>
        <v>4</v>
      </c>
      <c r="BK205" s="3">
        <v>2.5316455696202531E-2</v>
      </c>
      <c r="BL205" s="3" t="str">
        <f t="shared" si="19"/>
        <v>0</v>
      </c>
      <c r="BM205" t="str">
        <f ca="1">IF((OFFSET($A$1, 205 - 1, 63 - 1)) &gt;= (OFFSET($A$1, 135 - 1, 7 - 1)), "1","0")</f>
        <v>0</v>
      </c>
      <c r="BN205">
        <f ca="1" xml:space="preserve"> IF( AND( OFFSET($A$1, 205 - 1, 64 - 1) = "1", OFFSET($A$1, 205 - 1, 65 - 1) = "1" ), 1, IF( AND( OFFSET($A$1, 205 - 1, 64 - 1) = "1", OFFSET($A$1, 205 - 1, 65 - 1) = "0" ), 2, IF( AND( OFFSET($A$1, 205 - 1, 64 - 1) = "0", OFFSET($A$1, 205 - 1, 65 - 1) = "1" ), 3, 4 ) ) )</f>
        <v>4</v>
      </c>
    </row>
    <row r="206" spans="58:66" x14ac:dyDescent="0.2">
      <c r="BF206" s="3">
        <v>0.34722222222222221</v>
      </c>
      <c r="BG206" s="3" t="str">
        <f t="shared" si="18"/>
        <v>0</v>
      </c>
      <c r="BH206" t="str">
        <f ca="1">IF((OFFSET($A$1, 206 - 1, 58 - 1)) &gt;= (OFFSET($A$1, 96 - 1, 7 - 1)), "1","0")</f>
        <v>0</v>
      </c>
      <c r="BI206">
        <f ca="1" xml:space="preserve"> IF( AND( OFFSET($A$1, 206 - 1, 59 - 1) = "1", OFFSET($A$1, 206 - 1, 60 - 1) = "1" ), 1, IF( AND( OFFSET($A$1, 206 - 1, 59 - 1) = "1", OFFSET($A$1, 206 - 1, 60 - 1) = "0" ), 2, IF( AND( OFFSET($A$1, 206 - 1, 59 - 1) = "0", OFFSET($A$1, 206 - 1, 60 - 1) = "1" ), 3, 4 ) ) )</f>
        <v>4</v>
      </c>
      <c r="BK206" s="3">
        <v>6.6350710900473939E-2</v>
      </c>
      <c r="BL206" s="3" t="str">
        <f t="shared" si="19"/>
        <v>0</v>
      </c>
      <c r="BM206" t="str">
        <f ca="1">IF((OFFSET($A$1, 206 - 1, 63 - 1)) &gt;= (OFFSET($A$1, 135 - 1, 7 - 1)), "1","0")</f>
        <v>0</v>
      </c>
      <c r="BN206">
        <f ca="1" xml:space="preserve"> IF( AND( OFFSET($A$1, 206 - 1, 64 - 1) = "1", OFFSET($A$1, 206 - 1, 65 - 1) = "1" ), 1, IF( AND( OFFSET($A$1, 206 - 1, 64 - 1) = "1", OFFSET($A$1, 206 - 1, 65 - 1) = "0" ), 2, IF( AND( OFFSET($A$1, 206 - 1, 64 - 1) = "0", OFFSET($A$1, 206 - 1, 65 - 1) = "1" ), 3, 4 ) ) )</f>
        <v>4</v>
      </c>
    </row>
    <row r="207" spans="58:66" x14ac:dyDescent="0.2">
      <c r="BF207" s="3">
        <v>0</v>
      </c>
      <c r="BG207" s="3" t="str">
        <f t="shared" si="18"/>
        <v>0</v>
      </c>
      <c r="BH207" t="str">
        <f ca="1">IF((OFFSET($A$1, 207 - 1, 58 - 1)) &gt;= (OFFSET($A$1, 96 - 1, 7 - 1)), "1","0")</f>
        <v>0</v>
      </c>
      <c r="BI207">
        <f ca="1" xml:space="preserve"> IF( AND( OFFSET($A$1, 207 - 1, 59 - 1) = "1", OFFSET($A$1, 207 - 1, 60 - 1) = "1" ), 1, IF( AND( OFFSET($A$1, 207 - 1, 59 - 1) = "1", OFFSET($A$1, 207 - 1, 60 - 1) = "0" ), 2, IF( AND( OFFSET($A$1, 207 - 1, 59 - 1) = "0", OFFSET($A$1, 207 - 1, 60 - 1) = "1" ), 3, 4 ) ) )</f>
        <v>4</v>
      </c>
      <c r="BK207" s="3">
        <v>6.6350710900473939E-2</v>
      </c>
      <c r="BL207" s="3" t="str">
        <f t="shared" si="19"/>
        <v>0</v>
      </c>
      <c r="BM207" t="str">
        <f ca="1">IF((OFFSET($A$1, 207 - 1, 63 - 1)) &gt;= (OFFSET($A$1, 135 - 1, 7 - 1)), "1","0")</f>
        <v>0</v>
      </c>
      <c r="BN207">
        <f ca="1" xml:space="preserve"> IF( AND( OFFSET($A$1, 207 - 1, 64 - 1) = "1", OFFSET($A$1, 207 - 1, 65 - 1) = "1" ), 1, IF( AND( OFFSET($A$1, 207 - 1, 64 - 1) = "1", OFFSET($A$1, 207 - 1, 65 - 1) = "0" ), 2, IF( AND( OFFSET($A$1, 207 - 1, 64 - 1) = "0", OFFSET($A$1, 207 - 1, 65 - 1) = "1" ), 3, 4 ) ) )</f>
        <v>4</v>
      </c>
    </row>
    <row r="208" spans="58:66" x14ac:dyDescent="0.2">
      <c r="BF208" s="3">
        <v>0</v>
      </c>
      <c r="BG208" s="3" t="str">
        <f t="shared" si="18"/>
        <v>0</v>
      </c>
      <c r="BH208" t="str">
        <f ca="1">IF((OFFSET($A$1, 208 - 1, 58 - 1)) &gt;= (OFFSET($A$1, 96 - 1, 7 - 1)), "1","0")</f>
        <v>0</v>
      </c>
      <c r="BI208">
        <f ca="1" xml:space="preserve"> IF( AND( OFFSET($A$1, 208 - 1, 59 - 1) = "1", OFFSET($A$1, 208 - 1, 60 - 1) = "1" ), 1, IF( AND( OFFSET($A$1, 208 - 1, 59 - 1) = "1", OFFSET($A$1, 208 - 1, 60 - 1) = "0" ), 2, IF( AND( OFFSET($A$1, 208 - 1, 59 - 1) = "0", OFFSET($A$1, 208 - 1, 60 - 1) = "1" ), 3, 4 ) ) )</f>
        <v>4</v>
      </c>
      <c r="BK208" s="3">
        <v>6.6350710900473939E-2</v>
      </c>
      <c r="BL208" s="3" t="str">
        <f t="shared" si="19"/>
        <v>0</v>
      </c>
      <c r="BM208" t="str">
        <f ca="1">IF((OFFSET($A$1, 208 - 1, 63 - 1)) &gt;= (OFFSET($A$1, 135 - 1, 7 - 1)), "1","0")</f>
        <v>0</v>
      </c>
      <c r="BN208">
        <f ca="1" xml:space="preserve"> IF( AND( OFFSET($A$1, 208 - 1, 64 - 1) = "1", OFFSET($A$1, 208 - 1, 65 - 1) = "1" ), 1, IF( AND( OFFSET($A$1, 208 - 1, 64 - 1) = "1", OFFSET($A$1, 208 - 1, 65 - 1) = "0" ), 2, IF( AND( OFFSET($A$1, 208 - 1, 64 - 1) = "0", OFFSET($A$1, 208 - 1, 65 - 1) = "1" ), 3, 4 ) ) )</f>
        <v>4</v>
      </c>
    </row>
    <row r="209" spans="58:66" x14ac:dyDescent="0.2">
      <c r="BF209" s="3">
        <v>0</v>
      </c>
      <c r="BG209" s="3" t="str">
        <f t="shared" si="18"/>
        <v>0</v>
      </c>
      <c r="BH209" t="str">
        <f ca="1">IF((OFFSET($A$1, 209 - 1, 58 - 1)) &gt;= (OFFSET($A$1, 96 - 1, 7 - 1)), "1","0")</f>
        <v>0</v>
      </c>
      <c r="BI209">
        <f ca="1" xml:space="preserve"> IF( AND( OFFSET($A$1, 209 - 1, 59 - 1) = "1", OFFSET($A$1, 209 - 1, 60 - 1) = "1" ), 1, IF( AND( OFFSET($A$1, 209 - 1, 59 - 1) = "1", OFFSET($A$1, 209 - 1, 60 - 1) = "0" ), 2, IF( AND( OFFSET($A$1, 209 - 1, 59 - 1) = "0", OFFSET($A$1, 209 - 1, 60 - 1) = "1" ), 3, 4 ) ) )</f>
        <v>4</v>
      </c>
      <c r="BK209" s="3">
        <v>6.6350710900473939E-2</v>
      </c>
      <c r="BL209" s="3" t="str">
        <f t="shared" si="19"/>
        <v>0</v>
      </c>
      <c r="BM209" t="str">
        <f ca="1">IF((OFFSET($A$1, 209 - 1, 63 - 1)) &gt;= (OFFSET($A$1, 135 - 1, 7 - 1)), "1","0")</f>
        <v>0</v>
      </c>
      <c r="BN209">
        <f ca="1" xml:space="preserve"> IF( AND( OFFSET($A$1, 209 - 1, 64 - 1) = "1", OFFSET($A$1, 209 - 1, 65 - 1) = "1" ), 1, IF( AND( OFFSET($A$1, 209 - 1, 64 - 1) = "1", OFFSET($A$1, 209 - 1, 65 - 1) = "0" ), 2, IF( AND( OFFSET($A$1, 209 - 1, 64 - 1) = "0", OFFSET($A$1, 209 - 1, 65 - 1) = "1" ), 3, 4 ) ) )</f>
        <v>4</v>
      </c>
    </row>
    <row r="210" spans="58:66" x14ac:dyDescent="0.2">
      <c r="BF210" s="3">
        <v>0</v>
      </c>
      <c r="BG210" s="3" t="str">
        <f t="shared" si="18"/>
        <v>0</v>
      </c>
      <c r="BH210" t="str">
        <f ca="1">IF((OFFSET($A$1, 210 - 1, 58 - 1)) &gt;= (OFFSET($A$1, 96 - 1, 7 - 1)), "1","0")</f>
        <v>0</v>
      </c>
      <c r="BI210">
        <f ca="1" xml:space="preserve"> IF( AND( OFFSET($A$1, 210 - 1, 59 - 1) = "1", OFFSET($A$1, 210 - 1, 60 - 1) = "1" ), 1, IF( AND( OFFSET($A$1, 210 - 1, 59 - 1) = "1", OFFSET($A$1, 210 - 1, 60 - 1) = "0" ), 2, IF( AND( OFFSET($A$1, 210 - 1, 59 - 1) = "0", OFFSET($A$1, 210 - 1, 60 - 1) = "1" ), 3, 4 ) ) )</f>
        <v>4</v>
      </c>
      <c r="BK210" s="3">
        <v>6.6350710900473939E-2</v>
      </c>
      <c r="BL210" s="3" t="str">
        <f t="shared" si="19"/>
        <v>0</v>
      </c>
      <c r="BM210" t="str">
        <f ca="1">IF((OFFSET($A$1, 210 - 1, 63 - 1)) &gt;= (OFFSET($A$1, 135 - 1, 7 - 1)), "1","0")</f>
        <v>0</v>
      </c>
      <c r="BN210">
        <f ca="1" xml:space="preserve"> IF( AND( OFFSET($A$1, 210 - 1, 64 - 1) = "1", OFFSET($A$1, 210 - 1, 65 - 1) = "1" ), 1, IF( AND( OFFSET($A$1, 210 - 1, 64 - 1) = "1", OFFSET($A$1, 210 - 1, 65 - 1) = "0" ), 2, IF( AND( OFFSET($A$1, 210 - 1, 64 - 1) = "0", OFFSET($A$1, 210 - 1, 65 - 1) = "1" ), 3, 4 ) ) )</f>
        <v>4</v>
      </c>
    </row>
    <row r="211" spans="58:66" x14ac:dyDescent="0.2">
      <c r="BF211" s="3">
        <v>0</v>
      </c>
      <c r="BG211" s="3" t="str">
        <f t="shared" si="18"/>
        <v>0</v>
      </c>
      <c r="BH211" t="str">
        <f ca="1">IF((OFFSET($A$1, 211 - 1, 58 - 1)) &gt;= (OFFSET($A$1, 96 - 1, 7 - 1)), "1","0")</f>
        <v>0</v>
      </c>
      <c r="BI211">
        <f ca="1" xml:space="preserve"> IF( AND( OFFSET($A$1, 211 - 1, 59 - 1) = "1", OFFSET($A$1, 211 - 1, 60 - 1) = "1" ), 1, IF( AND( OFFSET($A$1, 211 - 1, 59 - 1) = "1", OFFSET($A$1, 211 - 1, 60 - 1) = "0" ), 2, IF( AND( OFFSET($A$1, 211 - 1, 59 - 1) = "0", OFFSET($A$1, 211 - 1, 60 - 1) = "1" ), 3, 4 ) ) )</f>
        <v>4</v>
      </c>
      <c r="BK211" s="3">
        <v>0.90579710144927539</v>
      </c>
      <c r="BL211" s="3" t="str">
        <f>"1"</f>
        <v>1</v>
      </c>
      <c r="BM211" t="str">
        <f ca="1">IF((OFFSET($A$1, 211 - 1, 63 - 1)) &gt;= (OFFSET($A$1, 135 - 1, 7 - 1)), "1","0")</f>
        <v>1</v>
      </c>
      <c r="BN211">
        <f ca="1" xml:space="preserve"> IF( AND( OFFSET($A$1, 211 - 1, 64 - 1) = "1", OFFSET($A$1, 211 - 1, 65 - 1) = "1" ), 1, IF( AND( OFFSET($A$1, 211 - 1, 64 - 1) = "1", OFFSET($A$1, 211 - 1, 65 - 1) = "0" ), 2, IF( AND( OFFSET($A$1, 211 - 1, 64 - 1) = "0", OFFSET($A$1, 211 - 1, 65 - 1) = "1" ), 3, 4 ) ) )</f>
        <v>1</v>
      </c>
    </row>
    <row r="212" spans="58:66" x14ac:dyDescent="0.2">
      <c r="BF212" s="3">
        <v>0</v>
      </c>
      <c r="BG212" s="3" t="str">
        <f t="shared" si="18"/>
        <v>0</v>
      </c>
      <c r="BH212" t="str">
        <f ca="1">IF((OFFSET($A$1, 212 - 1, 58 - 1)) &gt;= (OFFSET($A$1, 96 - 1, 7 - 1)), "1","0")</f>
        <v>0</v>
      </c>
      <c r="BI212">
        <f ca="1" xml:space="preserve"> IF( AND( OFFSET($A$1, 212 - 1, 59 - 1) = "1", OFFSET($A$1, 212 - 1, 60 - 1) = "1" ), 1, IF( AND( OFFSET($A$1, 212 - 1, 59 - 1) = "1", OFFSET($A$1, 212 - 1, 60 - 1) = "0" ), 2, IF( AND( OFFSET($A$1, 212 - 1, 59 - 1) = "0", OFFSET($A$1, 212 - 1, 60 - 1) = "1" ), 3, 4 ) ) )</f>
        <v>4</v>
      </c>
      <c r="BK212" s="3">
        <v>6.6350710900473939E-2</v>
      </c>
      <c r="BL212" s="3" t="str">
        <f>"1"</f>
        <v>1</v>
      </c>
      <c r="BM212" t="str">
        <f ca="1">IF((OFFSET($A$1, 212 - 1, 63 - 1)) &gt;= (OFFSET($A$1, 135 - 1, 7 - 1)), "1","0")</f>
        <v>0</v>
      </c>
      <c r="BN212">
        <f ca="1" xml:space="preserve"> IF( AND( OFFSET($A$1, 212 - 1, 64 - 1) = "1", OFFSET($A$1, 212 - 1, 65 - 1) = "1" ), 1, IF( AND( OFFSET($A$1, 212 - 1, 64 - 1) = "1", OFFSET($A$1, 212 - 1, 65 - 1) = "0" ), 2, IF( AND( OFFSET($A$1, 212 - 1, 64 - 1) = "0", OFFSET($A$1, 212 - 1, 65 - 1) = "1" ), 3, 4 ) ) )</f>
        <v>2</v>
      </c>
    </row>
    <row r="213" spans="58:66" x14ac:dyDescent="0.2">
      <c r="BF213" s="3">
        <v>0</v>
      </c>
      <c r="BG213" s="3" t="str">
        <f t="shared" si="18"/>
        <v>0</v>
      </c>
      <c r="BH213" t="str">
        <f ca="1">IF((OFFSET($A$1, 213 - 1, 58 - 1)) &gt;= (OFFSET($A$1, 96 - 1, 7 - 1)), "1","0")</f>
        <v>0</v>
      </c>
      <c r="BI213">
        <f ca="1" xml:space="preserve"> IF( AND( OFFSET($A$1, 213 - 1, 59 - 1) = "1", OFFSET($A$1, 213 - 1, 60 - 1) = "1" ), 1, IF( AND( OFFSET($A$1, 213 - 1, 59 - 1) = "1", OFFSET($A$1, 213 - 1, 60 - 1) = "0" ), 2, IF( AND( OFFSET($A$1, 213 - 1, 59 - 1) = "0", OFFSET($A$1, 213 - 1, 60 - 1) = "1" ), 3, 4 ) ) )</f>
        <v>4</v>
      </c>
      <c r="BK213" s="3">
        <v>6.6350710900473939E-2</v>
      </c>
      <c r="BL213" s="3" t="str">
        <f t="shared" ref="BL213:BL218" si="20">"0"</f>
        <v>0</v>
      </c>
      <c r="BM213" t="str">
        <f ca="1">IF((OFFSET($A$1, 213 - 1, 63 - 1)) &gt;= (OFFSET($A$1, 135 - 1, 7 - 1)), "1","0")</f>
        <v>0</v>
      </c>
      <c r="BN213">
        <f ca="1" xml:space="preserve"> IF( AND( OFFSET($A$1, 213 - 1, 64 - 1) = "1", OFFSET($A$1, 213 - 1, 65 - 1) = "1" ), 1, IF( AND( OFFSET($A$1, 213 - 1, 64 - 1) = "1", OFFSET($A$1, 213 - 1, 65 - 1) = "0" ), 2, IF( AND( OFFSET($A$1, 213 - 1, 64 - 1) = "0", OFFSET($A$1, 213 - 1, 65 - 1) = "1" ), 3, 4 ) ) )</f>
        <v>4</v>
      </c>
    </row>
    <row r="214" spans="58:66" x14ac:dyDescent="0.2">
      <c r="BF214" s="3">
        <v>0</v>
      </c>
      <c r="BG214" s="3" t="str">
        <f t="shared" si="18"/>
        <v>0</v>
      </c>
      <c r="BH214" t="str">
        <f ca="1">IF((OFFSET($A$1, 214 - 1, 58 - 1)) &gt;= (OFFSET($A$1, 96 - 1, 7 - 1)), "1","0")</f>
        <v>0</v>
      </c>
      <c r="BI214">
        <f ca="1" xml:space="preserve"> IF( AND( OFFSET($A$1, 214 - 1, 59 - 1) = "1", OFFSET($A$1, 214 - 1, 60 - 1) = "1" ), 1, IF( AND( OFFSET($A$1, 214 - 1, 59 - 1) = "1", OFFSET($A$1, 214 - 1, 60 - 1) = "0" ), 2, IF( AND( OFFSET($A$1, 214 - 1, 59 - 1) = "0", OFFSET($A$1, 214 - 1, 60 - 1) = "1" ), 3, 4 ) ) )</f>
        <v>4</v>
      </c>
      <c r="BK214" s="3">
        <v>6.6350710900473939E-2</v>
      </c>
      <c r="BL214" s="3" t="str">
        <f t="shared" si="20"/>
        <v>0</v>
      </c>
      <c r="BM214" t="str">
        <f ca="1">IF((OFFSET($A$1, 214 - 1, 63 - 1)) &gt;= (OFFSET($A$1, 135 - 1, 7 - 1)), "1","0")</f>
        <v>0</v>
      </c>
      <c r="BN214">
        <f ca="1" xml:space="preserve"> IF( AND( OFFSET($A$1, 214 - 1, 64 - 1) = "1", OFFSET($A$1, 214 - 1, 65 - 1) = "1" ), 1, IF( AND( OFFSET($A$1, 214 - 1, 64 - 1) = "1", OFFSET($A$1, 214 - 1, 65 - 1) = "0" ), 2, IF( AND( OFFSET($A$1, 214 - 1, 64 - 1) = "0", OFFSET($A$1, 214 - 1, 65 - 1) = "1" ), 3, 4 ) ) )</f>
        <v>4</v>
      </c>
    </row>
    <row r="215" spans="58:66" x14ac:dyDescent="0.2">
      <c r="BF215" s="3">
        <v>0</v>
      </c>
      <c r="BG215" s="3" t="str">
        <f t="shared" si="18"/>
        <v>0</v>
      </c>
      <c r="BH215" t="str">
        <f ca="1">IF((OFFSET($A$1, 215 - 1, 58 - 1)) &gt;= (OFFSET($A$1, 96 - 1, 7 - 1)), "1","0")</f>
        <v>0</v>
      </c>
      <c r="BI215">
        <f ca="1" xml:space="preserve"> IF( AND( OFFSET($A$1, 215 - 1, 59 - 1) = "1", OFFSET($A$1, 215 - 1, 60 - 1) = "1" ), 1, IF( AND( OFFSET($A$1, 215 - 1, 59 - 1) = "1", OFFSET($A$1, 215 - 1, 60 - 1) = "0" ), 2, IF( AND( OFFSET($A$1, 215 - 1, 59 - 1) = "0", OFFSET($A$1, 215 - 1, 60 - 1) = "1" ), 3, 4 ) ) )</f>
        <v>4</v>
      </c>
      <c r="BK215" s="3">
        <v>6.6350710900473939E-2</v>
      </c>
      <c r="BL215" s="3" t="str">
        <f t="shared" si="20"/>
        <v>0</v>
      </c>
      <c r="BM215" t="str">
        <f ca="1">IF((OFFSET($A$1, 215 - 1, 63 - 1)) &gt;= (OFFSET($A$1, 135 - 1, 7 - 1)), "1","0")</f>
        <v>0</v>
      </c>
      <c r="BN215">
        <f ca="1" xml:space="preserve"> IF( AND( OFFSET($A$1, 215 - 1, 64 - 1) = "1", OFFSET($A$1, 215 - 1, 65 - 1) = "1" ), 1, IF( AND( OFFSET($A$1, 215 - 1, 64 - 1) = "1", OFFSET($A$1, 215 - 1, 65 - 1) = "0" ), 2, IF( AND( OFFSET($A$1, 215 - 1, 64 - 1) = "0", OFFSET($A$1, 215 - 1, 65 - 1) = "1" ), 3, 4 ) ) )</f>
        <v>4</v>
      </c>
    </row>
    <row r="216" spans="58:66" x14ac:dyDescent="0.2">
      <c r="BF216" s="3">
        <v>0.90579710144927539</v>
      </c>
      <c r="BG216" s="3" t="str">
        <f>"1"</f>
        <v>1</v>
      </c>
      <c r="BH216" t="str">
        <f ca="1">IF((OFFSET($A$1, 216 - 1, 58 - 1)) &gt;= (OFFSET($A$1, 96 - 1, 7 - 1)), "1","0")</f>
        <v>1</v>
      </c>
      <c r="BI216">
        <f ca="1" xml:space="preserve"> IF( AND( OFFSET($A$1, 216 - 1, 59 - 1) = "1", OFFSET($A$1, 216 - 1, 60 - 1) = "1" ), 1, IF( AND( OFFSET($A$1, 216 - 1, 59 - 1) = "1", OFFSET($A$1, 216 - 1, 60 - 1) = "0" ), 2, IF( AND( OFFSET($A$1, 216 - 1, 59 - 1) = "0", OFFSET($A$1, 216 - 1, 60 - 1) = "1" ), 3, 4 ) ) )</f>
        <v>1</v>
      </c>
      <c r="BK216" s="3">
        <v>0.36</v>
      </c>
      <c r="BL216" s="3" t="str">
        <f t="shared" si="20"/>
        <v>0</v>
      </c>
      <c r="BM216" t="str">
        <f ca="1">IF((OFFSET($A$1, 216 - 1, 63 - 1)) &gt;= (OFFSET($A$1, 135 - 1, 7 - 1)), "1","0")</f>
        <v>0</v>
      </c>
      <c r="BN216">
        <f ca="1" xml:space="preserve"> IF( AND( OFFSET($A$1, 216 - 1, 64 - 1) = "1", OFFSET($A$1, 216 - 1, 65 - 1) = "1" ), 1, IF( AND( OFFSET($A$1, 216 - 1, 64 - 1) = "1", OFFSET($A$1, 216 - 1, 65 - 1) = "0" ), 2, IF( AND( OFFSET($A$1, 216 - 1, 64 - 1) = "0", OFFSET($A$1, 216 - 1, 65 - 1) = "1" ), 3, 4 ) ) )</f>
        <v>4</v>
      </c>
    </row>
    <row r="217" spans="58:66" x14ac:dyDescent="0.2">
      <c r="BF217" s="3">
        <v>0</v>
      </c>
      <c r="BG217" s="3" t="str">
        <f>"0"</f>
        <v>0</v>
      </c>
      <c r="BH217" t="str">
        <f ca="1">IF((OFFSET($A$1, 217 - 1, 58 - 1)) &gt;= (OFFSET($A$1, 96 - 1, 7 - 1)), "1","0")</f>
        <v>0</v>
      </c>
      <c r="BI217">
        <f ca="1" xml:space="preserve"> IF( AND( OFFSET($A$1, 217 - 1, 59 - 1) = "1", OFFSET($A$1, 217 - 1, 60 - 1) = "1" ), 1, IF( AND( OFFSET($A$1, 217 - 1, 59 - 1) = "1", OFFSET($A$1, 217 - 1, 60 - 1) = "0" ), 2, IF( AND( OFFSET($A$1, 217 - 1, 59 - 1) = "0", OFFSET($A$1, 217 - 1, 60 - 1) = "1" ), 3, 4 ) ) )</f>
        <v>4</v>
      </c>
      <c r="BK217" s="3">
        <v>6.6350710900473939E-2</v>
      </c>
      <c r="BL217" s="3" t="str">
        <f t="shared" si="20"/>
        <v>0</v>
      </c>
      <c r="BM217" t="str">
        <f ca="1">IF((OFFSET($A$1, 217 - 1, 63 - 1)) &gt;= (OFFSET($A$1, 135 - 1, 7 - 1)), "1","0")</f>
        <v>0</v>
      </c>
      <c r="BN217">
        <f ca="1" xml:space="preserve"> IF( AND( OFFSET($A$1, 217 - 1, 64 - 1) = "1", OFFSET($A$1, 217 - 1, 65 - 1) = "1" ), 1, IF( AND( OFFSET($A$1, 217 - 1, 64 - 1) = "1", OFFSET($A$1, 217 - 1, 65 - 1) = "0" ), 2, IF( AND( OFFSET($A$1, 217 - 1, 64 - 1) = "0", OFFSET($A$1, 217 - 1, 65 - 1) = "1" ), 3, 4 ) ) )</f>
        <v>4</v>
      </c>
    </row>
    <row r="218" spans="58:66" x14ac:dyDescent="0.2">
      <c r="BF218" s="3">
        <v>0</v>
      </c>
      <c r="BG218" s="3" t="str">
        <f>"0"</f>
        <v>0</v>
      </c>
      <c r="BH218" t="str">
        <f ca="1">IF((OFFSET($A$1, 218 - 1, 58 - 1)) &gt;= (OFFSET($A$1, 96 - 1, 7 - 1)), "1","0")</f>
        <v>0</v>
      </c>
      <c r="BI218">
        <f ca="1" xml:space="preserve"> IF( AND( OFFSET($A$1, 218 - 1, 59 - 1) = "1", OFFSET($A$1, 218 - 1, 60 - 1) = "1" ), 1, IF( AND( OFFSET($A$1, 218 - 1, 59 - 1) = "1", OFFSET($A$1, 218 - 1, 60 - 1) = "0" ), 2, IF( AND( OFFSET($A$1, 218 - 1, 59 - 1) = "0", OFFSET($A$1, 218 - 1, 60 - 1) = "1" ), 3, 4 ) ) )</f>
        <v>4</v>
      </c>
      <c r="BK218" s="3">
        <v>2.5316455696202531E-2</v>
      </c>
      <c r="BL218" s="3" t="str">
        <f t="shared" si="20"/>
        <v>0</v>
      </c>
      <c r="BM218" t="str">
        <f ca="1">IF((OFFSET($A$1, 218 - 1, 63 - 1)) &gt;= (OFFSET($A$1, 135 - 1, 7 - 1)), "1","0")</f>
        <v>0</v>
      </c>
      <c r="BN218">
        <f ca="1" xml:space="preserve"> IF( AND( OFFSET($A$1, 218 - 1, 64 - 1) = "1", OFFSET($A$1, 218 - 1, 65 - 1) = "1" ), 1, IF( AND( OFFSET($A$1, 218 - 1, 64 - 1) = "1", OFFSET($A$1, 218 - 1, 65 - 1) = "0" ), 2, IF( AND( OFFSET($A$1, 218 - 1, 64 - 1) = "0", OFFSET($A$1, 218 - 1, 65 - 1) = "1" ), 3, 4 ) ) )</f>
        <v>4</v>
      </c>
    </row>
    <row r="219" spans="58:66" x14ac:dyDescent="0.2">
      <c r="BF219" s="3">
        <v>0</v>
      </c>
      <c r="BG219" s="3" t="str">
        <f>"0"</f>
        <v>0</v>
      </c>
      <c r="BH219" t="str">
        <f ca="1">IF((OFFSET($A$1, 219 - 1, 58 - 1)) &gt;= (OFFSET($A$1, 96 - 1, 7 - 1)), "1","0")</f>
        <v>0</v>
      </c>
      <c r="BI219">
        <f ca="1" xml:space="preserve"> IF( AND( OFFSET($A$1, 219 - 1, 59 - 1) = "1", OFFSET($A$1, 219 - 1, 60 - 1) = "1" ), 1, IF( AND( OFFSET($A$1, 219 - 1, 59 - 1) = "1", OFFSET($A$1, 219 - 1, 60 - 1) = "0" ), 2, IF( AND( OFFSET($A$1, 219 - 1, 59 - 1) = "0", OFFSET($A$1, 219 - 1, 60 - 1) = "1" ), 3, 4 ) ) )</f>
        <v>4</v>
      </c>
      <c r="BK219" s="3">
        <v>0.90579710144927539</v>
      </c>
      <c r="BL219" s="3" t="str">
        <f>"1"</f>
        <v>1</v>
      </c>
      <c r="BM219" t="str">
        <f ca="1">IF((OFFSET($A$1, 219 - 1, 63 - 1)) &gt;= (OFFSET($A$1, 135 - 1, 7 - 1)), "1","0")</f>
        <v>1</v>
      </c>
      <c r="BN219">
        <f ca="1" xml:space="preserve"> IF( AND( OFFSET($A$1, 219 - 1, 64 - 1) = "1", OFFSET($A$1, 219 - 1, 65 - 1) = "1" ), 1, IF( AND( OFFSET($A$1, 219 - 1, 64 - 1) = "1", OFFSET($A$1, 219 - 1, 65 - 1) = "0" ), 2, IF( AND( OFFSET($A$1, 219 - 1, 64 - 1) = "0", OFFSET($A$1, 219 - 1, 65 - 1) = "1" ), 3, 4 ) ) )</f>
        <v>1</v>
      </c>
    </row>
    <row r="220" spans="58:66" x14ac:dyDescent="0.2">
      <c r="BF220" s="3">
        <v>0</v>
      </c>
      <c r="BG220" s="3" t="str">
        <f>"0"</f>
        <v>0</v>
      </c>
      <c r="BH220" t="str">
        <f ca="1">IF((OFFSET($A$1, 220 - 1, 58 - 1)) &gt;= (OFFSET($A$1, 96 - 1, 7 - 1)), "1","0")</f>
        <v>0</v>
      </c>
      <c r="BI220">
        <f ca="1" xml:space="preserve"> IF( AND( OFFSET($A$1, 220 - 1, 59 - 1) = "1", OFFSET($A$1, 220 - 1, 60 - 1) = "1" ), 1, IF( AND( OFFSET($A$1, 220 - 1, 59 - 1) = "1", OFFSET($A$1, 220 - 1, 60 - 1) = "0" ), 2, IF( AND( OFFSET($A$1, 220 - 1, 59 - 1) = "0", OFFSET($A$1, 220 - 1, 60 - 1) = "1" ), 3, 4 ) ) )</f>
        <v>4</v>
      </c>
      <c r="BK220" s="3">
        <v>6.6350710900473939E-2</v>
      </c>
      <c r="BL220" s="3" t="str">
        <f>"0"</f>
        <v>0</v>
      </c>
      <c r="BM220" t="str">
        <f ca="1">IF((OFFSET($A$1, 220 - 1, 63 - 1)) &gt;= (OFFSET($A$1, 135 - 1, 7 - 1)), "1","0")</f>
        <v>0</v>
      </c>
      <c r="BN220">
        <f ca="1" xml:space="preserve"> IF( AND( OFFSET($A$1, 220 - 1, 64 - 1) = "1", OFFSET($A$1, 220 - 1, 65 - 1) = "1" ), 1, IF( AND( OFFSET($A$1, 220 - 1, 64 - 1) = "1", OFFSET($A$1, 220 - 1, 65 - 1) = "0" ), 2, IF( AND( OFFSET($A$1, 220 - 1, 64 - 1) = "0", OFFSET($A$1, 220 - 1, 65 - 1) = "1" ), 3, 4 ) ) )</f>
        <v>4</v>
      </c>
    </row>
    <row r="221" spans="58:66" x14ac:dyDescent="0.2">
      <c r="BF221" s="3">
        <v>0.90579710144927539</v>
      </c>
      <c r="BG221" s="3" t="str">
        <f>"1"</f>
        <v>1</v>
      </c>
      <c r="BH221" t="str">
        <f ca="1">IF((OFFSET($A$1, 221 - 1, 58 - 1)) &gt;= (OFFSET($A$1, 96 - 1, 7 - 1)), "1","0")</f>
        <v>1</v>
      </c>
      <c r="BI221">
        <f ca="1" xml:space="preserve"> IF( AND( OFFSET($A$1, 221 - 1, 59 - 1) = "1", OFFSET($A$1, 221 - 1, 60 - 1) = "1" ), 1, IF( AND( OFFSET($A$1, 221 - 1, 59 - 1) = "1", OFFSET($A$1, 221 - 1, 60 - 1) = "0" ), 2, IF( AND( OFFSET($A$1, 221 - 1, 59 - 1) = "0", OFFSET($A$1, 221 - 1, 60 - 1) = "1" ), 3, 4 ) ) )</f>
        <v>1</v>
      </c>
      <c r="BK221" s="3">
        <v>6.6350710900473939E-2</v>
      </c>
      <c r="BL221" s="3" t="str">
        <f>"0"</f>
        <v>0</v>
      </c>
      <c r="BM221" t="str">
        <f ca="1">IF((OFFSET($A$1, 221 - 1, 63 - 1)) &gt;= (OFFSET($A$1, 135 - 1, 7 - 1)), "1","0")</f>
        <v>0</v>
      </c>
      <c r="BN221">
        <f ca="1" xml:space="preserve"> IF( AND( OFFSET($A$1, 221 - 1, 64 - 1) = "1", OFFSET($A$1, 221 - 1, 65 - 1) = "1" ), 1, IF( AND( OFFSET($A$1, 221 - 1, 64 - 1) = "1", OFFSET($A$1, 221 - 1, 65 - 1) = "0" ), 2, IF( AND( OFFSET($A$1, 221 - 1, 64 - 1) = "0", OFFSET($A$1, 221 - 1, 65 - 1) = "1" ), 3, 4 ) ) )</f>
        <v>4</v>
      </c>
    </row>
    <row r="222" spans="58:66" x14ac:dyDescent="0.2">
      <c r="BF222" s="3">
        <v>0</v>
      </c>
      <c r="BG222" s="3" t="str">
        <f t="shared" ref="BG222:BG237" si="21">"0"</f>
        <v>0</v>
      </c>
      <c r="BH222" t="str">
        <f ca="1">IF((OFFSET($A$1, 222 - 1, 58 - 1)) &gt;= (OFFSET($A$1, 96 - 1, 7 - 1)), "1","0")</f>
        <v>0</v>
      </c>
      <c r="BI222">
        <f ca="1" xml:space="preserve"> IF( AND( OFFSET($A$1, 222 - 1, 59 - 1) = "1", OFFSET($A$1, 222 - 1, 60 - 1) = "1" ), 1, IF( AND( OFFSET($A$1, 222 - 1, 59 - 1) = "1", OFFSET($A$1, 222 - 1, 60 - 1) = "0" ), 2, IF( AND( OFFSET($A$1, 222 - 1, 59 - 1) = "0", OFFSET($A$1, 222 - 1, 60 - 1) = "1" ), 3, 4 ) ) )</f>
        <v>4</v>
      </c>
      <c r="BK222" s="3">
        <v>0.36</v>
      </c>
      <c r="BL222" s="3" t="str">
        <f>"0"</f>
        <v>0</v>
      </c>
      <c r="BM222" t="str">
        <f ca="1">IF((OFFSET($A$1, 222 - 1, 63 - 1)) &gt;= (OFFSET($A$1, 135 - 1, 7 - 1)), "1","0")</f>
        <v>0</v>
      </c>
      <c r="BN222">
        <f ca="1" xml:space="preserve"> IF( AND( OFFSET($A$1, 222 - 1, 64 - 1) = "1", OFFSET($A$1, 222 - 1, 65 - 1) = "1" ), 1, IF( AND( OFFSET($A$1, 222 - 1, 64 - 1) = "1", OFFSET($A$1, 222 - 1, 65 - 1) = "0" ), 2, IF( AND( OFFSET($A$1, 222 - 1, 64 - 1) = "0", OFFSET($A$1, 222 - 1, 65 - 1) = "1" ), 3, 4 ) ) )</f>
        <v>4</v>
      </c>
    </row>
    <row r="223" spans="58:66" x14ac:dyDescent="0.2">
      <c r="BF223" s="3">
        <v>0</v>
      </c>
      <c r="BG223" s="3" t="str">
        <f t="shared" si="21"/>
        <v>0</v>
      </c>
      <c r="BH223" t="str">
        <f ca="1">IF((OFFSET($A$1, 223 - 1, 58 - 1)) &gt;= (OFFSET($A$1, 96 - 1, 7 - 1)), "1","0")</f>
        <v>0</v>
      </c>
      <c r="BI223">
        <f ca="1" xml:space="preserve"> IF( AND( OFFSET($A$1, 223 - 1, 59 - 1) = "1", OFFSET($A$1, 223 - 1, 60 - 1) = "1" ), 1, IF( AND( OFFSET($A$1, 223 - 1, 59 - 1) = "1", OFFSET($A$1, 223 - 1, 60 - 1) = "0" ), 2, IF( AND( OFFSET($A$1, 223 - 1, 59 - 1) = "0", OFFSET($A$1, 223 - 1, 60 - 1) = "1" ), 3, 4 ) ) )</f>
        <v>4</v>
      </c>
      <c r="BK223" s="3">
        <v>0.90579710144927539</v>
      </c>
      <c r="BL223" s="3" t="str">
        <f>"1"</f>
        <v>1</v>
      </c>
      <c r="BM223" t="str">
        <f ca="1">IF((OFFSET($A$1, 223 - 1, 63 - 1)) &gt;= (OFFSET($A$1, 135 - 1, 7 - 1)), "1","0")</f>
        <v>1</v>
      </c>
      <c r="BN223">
        <f ca="1" xml:space="preserve"> IF( AND( OFFSET($A$1, 223 - 1, 64 - 1) = "1", OFFSET($A$1, 223 - 1, 65 - 1) = "1" ), 1, IF( AND( OFFSET($A$1, 223 - 1, 64 - 1) = "1", OFFSET($A$1, 223 - 1, 65 - 1) = "0" ), 2, IF( AND( OFFSET($A$1, 223 - 1, 64 - 1) = "0", OFFSET($A$1, 223 - 1, 65 - 1) = "1" ), 3, 4 ) ) )</f>
        <v>1</v>
      </c>
    </row>
    <row r="224" spans="58:66" x14ac:dyDescent="0.2">
      <c r="BF224" s="3">
        <v>0</v>
      </c>
      <c r="BG224" s="3" t="str">
        <f t="shared" si="21"/>
        <v>0</v>
      </c>
      <c r="BH224" t="str">
        <f ca="1">IF((OFFSET($A$1, 224 - 1, 58 - 1)) &gt;= (OFFSET($A$1, 96 - 1, 7 - 1)), "1","0")</f>
        <v>0</v>
      </c>
      <c r="BI224">
        <f ca="1" xml:space="preserve"> IF( AND( OFFSET($A$1, 224 - 1, 59 - 1) = "1", OFFSET($A$1, 224 - 1, 60 - 1) = "1" ), 1, IF( AND( OFFSET($A$1, 224 - 1, 59 - 1) = "1", OFFSET($A$1, 224 - 1, 60 - 1) = "0" ), 2, IF( AND( OFFSET($A$1, 224 - 1, 59 - 1) = "0", OFFSET($A$1, 224 - 1, 60 - 1) = "1" ), 3, 4 ) ) )</f>
        <v>4</v>
      </c>
      <c r="BK224" s="3">
        <v>6.6350710900473939E-2</v>
      </c>
      <c r="BL224" s="3" t="str">
        <f>"0"</f>
        <v>0</v>
      </c>
      <c r="BM224" t="str">
        <f ca="1">IF((OFFSET($A$1, 224 - 1, 63 - 1)) &gt;= (OFFSET($A$1, 135 - 1, 7 - 1)), "1","0")</f>
        <v>0</v>
      </c>
      <c r="BN224">
        <f ca="1" xml:space="preserve"> IF( AND( OFFSET($A$1, 224 - 1, 64 - 1) = "1", OFFSET($A$1, 224 - 1, 65 - 1) = "1" ), 1, IF( AND( OFFSET($A$1, 224 - 1, 64 - 1) = "1", OFFSET($A$1, 224 - 1, 65 - 1) = "0" ), 2, IF( AND( OFFSET($A$1, 224 - 1, 64 - 1) = "0", OFFSET($A$1, 224 - 1, 65 - 1) = "1" ), 3, 4 ) ) )</f>
        <v>4</v>
      </c>
    </row>
    <row r="225" spans="58:66" x14ac:dyDescent="0.2">
      <c r="BF225" s="3">
        <v>0</v>
      </c>
      <c r="BG225" s="3" t="str">
        <f t="shared" si="21"/>
        <v>0</v>
      </c>
      <c r="BH225" t="str">
        <f ca="1">IF((OFFSET($A$1, 225 - 1, 58 - 1)) &gt;= (OFFSET($A$1, 96 - 1, 7 - 1)), "1","0")</f>
        <v>0</v>
      </c>
      <c r="BI225">
        <f ca="1" xml:space="preserve"> IF( AND( OFFSET($A$1, 225 - 1, 59 - 1) = "1", OFFSET($A$1, 225 - 1, 60 - 1) = "1" ), 1, IF( AND( OFFSET($A$1, 225 - 1, 59 - 1) = "1", OFFSET($A$1, 225 - 1, 60 - 1) = "0" ), 2, IF( AND( OFFSET($A$1, 225 - 1, 59 - 1) = "0", OFFSET($A$1, 225 - 1, 60 - 1) = "1" ), 3, 4 ) ) )</f>
        <v>4</v>
      </c>
      <c r="BK225" s="3">
        <v>6.6350710900473939E-2</v>
      </c>
      <c r="BL225" s="3" t="str">
        <f>"0"</f>
        <v>0</v>
      </c>
      <c r="BM225" t="str">
        <f ca="1">IF((OFFSET($A$1, 225 - 1, 63 - 1)) &gt;= (OFFSET($A$1, 135 - 1, 7 - 1)), "1","0")</f>
        <v>0</v>
      </c>
      <c r="BN225">
        <f ca="1" xml:space="preserve"> IF( AND( OFFSET($A$1, 225 - 1, 64 - 1) = "1", OFFSET($A$1, 225 - 1, 65 - 1) = "1" ), 1, IF( AND( OFFSET($A$1, 225 - 1, 64 - 1) = "1", OFFSET($A$1, 225 - 1, 65 - 1) = "0" ), 2, IF( AND( OFFSET($A$1, 225 - 1, 64 - 1) = "0", OFFSET($A$1, 225 - 1, 65 - 1) = "1" ), 3, 4 ) ) )</f>
        <v>4</v>
      </c>
    </row>
    <row r="226" spans="58:66" x14ac:dyDescent="0.2">
      <c r="BF226" s="3">
        <v>0</v>
      </c>
      <c r="BG226" s="3" t="str">
        <f t="shared" si="21"/>
        <v>0</v>
      </c>
      <c r="BH226" t="str">
        <f ca="1">IF((OFFSET($A$1, 226 - 1, 58 - 1)) &gt;= (OFFSET($A$1, 96 - 1, 7 - 1)), "1","0")</f>
        <v>0</v>
      </c>
      <c r="BI226">
        <f ca="1" xml:space="preserve"> IF( AND( OFFSET($A$1, 226 - 1, 59 - 1) = "1", OFFSET($A$1, 226 - 1, 60 - 1) = "1" ), 1, IF( AND( OFFSET($A$1, 226 - 1, 59 - 1) = "1", OFFSET($A$1, 226 - 1, 60 - 1) = "0" ), 2, IF( AND( OFFSET($A$1, 226 - 1, 59 - 1) = "0", OFFSET($A$1, 226 - 1, 60 - 1) = "1" ), 3, 4 ) ) )</f>
        <v>4</v>
      </c>
      <c r="BK226" s="3">
        <v>6.6350710900473939E-2</v>
      </c>
      <c r="BL226" s="3" t="str">
        <f>"0"</f>
        <v>0</v>
      </c>
      <c r="BM226" t="str">
        <f ca="1">IF((OFFSET($A$1, 226 - 1, 63 - 1)) &gt;= (OFFSET($A$1, 135 - 1, 7 - 1)), "1","0")</f>
        <v>0</v>
      </c>
      <c r="BN226">
        <f ca="1" xml:space="preserve"> IF( AND( OFFSET($A$1, 226 - 1, 64 - 1) = "1", OFFSET($A$1, 226 - 1, 65 - 1) = "1" ), 1, IF( AND( OFFSET($A$1, 226 - 1, 64 - 1) = "1", OFFSET($A$1, 226 - 1, 65 - 1) = "0" ), 2, IF( AND( OFFSET($A$1, 226 - 1, 64 - 1) = "0", OFFSET($A$1, 226 - 1, 65 - 1) = "1" ), 3, 4 ) ) )</f>
        <v>4</v>
      </c>
    </row>
    <row r="227" spans="58:66" x14ac:dyDescent="0.2">
      <c r="BF227" s="3">
        <v>0</v>
      </c>
      <c r="BG227" s="3" t="str">
        <f t="shared" si="21"/>
        <v>0</v>
      </c>
      <c r="BH227" t="str">
        <f ca="1">IF((OFFSET($A$1, 227 - 1, 58 - 1)) &gt;= (OFFSET($A$1, 96 - 1, 7 - 1)), "1","0")</f>
        <v>0</v>
      </c>
      <c r="BI227">
        <f ca="1" xml:space="preserve"> IF( AND( OFFSET($A$1, 227 - 1, 59 - 1) = "1", OFFSET($A$1, 227 - 1, 60 - 1) = "1" ), 1, IF( AND( OFFSET($A$1, 227 - 1, 59 - 1) = "1", OFFSET($A$1, 227 - 1, 60 - 1) = "0" ), 2, IF( AND( OFFSET($A$1, 227 - 1, 59 - 1) = "0", OFFSET($A$1, 227 - 1, 60 - 1) = "1" ), 3, 4 ) ) )</f>
        <v>4</v>
      </c>
      <c r="BK227" s="3">
        <v>6.6350710900473939E-2</v>
      </c>
      <c r="BL227" s="3" t="str">
        <f>"0"</f>
        <v>0</v>
      </c>
      <c r="BM227" t="str">
        <f ca="1">IF((OFFSET($A$1, 227 - 1, 63 - 1)) &gt;= (OFFSET($A$1, 135 - 1, 7 - 1)), "1","0")</f>
        <v>0</v>
      </c>
      <c r="BN227">
        <f ca="1" xml:space="preserve"> IF( AND( OFFSET($A$1, 227 - 1, 64 - 1) = "1", OFFSET($A$1, 227 - 1, 65 - 1) = "1" ), 1, IF( AND( OFFSET($A$1, 227 - 1, 64 - 1) = "1", OFFSET($A$1, 227 - 1, 65 - 1) = "0" ), 2, IF( AND( OFFSET($A$1, 227 - 1, 64 - 1) = "0", OFFSET($A$1, 227 - 1, 65 - 1) = "1" ), 3, 4 ) ) )</f>
        <v>4</v>
      </c>
    </row>
    <row r="228" spans="58:66" x14ac:dyDescent="0.2">
      <c r="BF228" s="3">
        <v>0.47692307692307689</v>
      </c>
      <c r="BG228" s="3" t="str">
        <f t="shared" si="21"/>
        <v>0</v>
      </c>
      <c r="BH228" t="str">
        <f ca="1">IF((OFFSET($A$1, 228 - 1, 58 - 1)) &gt;= (OFFSET($A$1, 96 - 1, 7 - 1)), "1","0")</f>
        <v>0</v>
      </c>
      <c r="BI228">
        <f ca="1" xml:space="preserve"> IF( AND( OFFSET($A$1, 228 - 1, 59 - 1) = "1", OFFSET($A$1, 228 - 1, 60 - 1) = "1" ), 1, IF( AND( OFFSET($A$1, 228 - 1, 59 - 1) = "1", OFFSET($A$1, 228 - 1, 60 - 1) = "0" ), 2, IF( AND( OFFSET($A$1, 228 - 1, 59 - 1) = "0", OFFSET($A$1, 228 - 1, 60 - 1) = "1" ), 3, 4 ) ) )</f>
        <v>4</v>
      </c>
      <c r="BK228" s="3">
        <v>6.6350710900473939E-2</v>
      </c>
      <c r="BL228" s="3" t="str">
        <f>"0"</f>
        <v>0</v>
      </c>
      <c r="BM228" t="str">
        <f ca="1">IF((OFFSET($A$1, 228 - 1, 63 - 1)) &gt;= (OFFSET($A$1, 135 - 1, 7 - 1)), "1","0")</f>
        <v>0</v>
      </c>
      <c r="BN228">
        <f ca="1" xml:space="preserve"> IF( AND( OFFSET($A$1, 228 - 1, 64 - 1) = "1", OFFSET($A$1, 228 - 1, 65 - 1) = "1" ), 1, IF( AND( OFFSET($A$1, 228 - 1, 64 - 1) = "1", OFFSET($A$1, 228 - 1, 65 - 1) = "0" ), 2, IF( AND( OFFSET($A$1, 228 - 1, 64 - 1) = "0", OFFSET($A$1, 228 - 1, 65 - 1) = "1" ), 3, 4 ) ) )</f>
        <v>4</v>
      </c>
    </row>
    <row r="229" spans="58:66" x14ac:dyDescent="0.2">
      <c r="BF229" s="3">
        <v>3.7037037037037042E-2</v>
      </c>
      <c r="BG229" s="3" t="str">
        <f t="shared" si="21"/>
        <v>0</v>
      </c>
      <c r="BH229" t="str">
        <f ca="1">IF((OFFSET($A$1, 229 - 1, 58 - 1)) &gt;= (OFFSET($A$1, 96 - 1, 7 - 1)), "1","0")</f>
        <v>0</v>
      </c>
      <c r="BI229">
        <f ca="1" xml:space="preserve"> IF( AND( OFFSET($A$1, 229 - 1, 59 - 1) = "1", OFFSET($A$1, 229 - 1, 60 - 1) = "1" ), 1, IF( AND( OFFSET($A$1, 229 - 1, 59 - 1) = "1", OFFSET($A$1, 229 - 1, 60 - 1) = "0" ), 2, IF( AND( OFFSET($A$1, 229 - 1, 59 - 1) = "0", OFFSET($A$1, 229 - 1, 60 - 1) = "1" ), 3, 4 ) ) )</f>
        <v>4</v>
      </c>
      <c r="BK229" s="3">
        <v>0.90579710144927539</v>
      </c>
      <c r="BL229" s="3" t="str">
        <f>"1"</f>
        <v>1</v>
      </c>
      <c r="BM229" t="str">
        <f ca="1">IF((OFFSET($A$1, 229 - 1, 63 - 1)) &gt;= (OFFSET($A$1, 135 - 1, 7 - 1)), "1","0")</f>
        <v>1</v>
      </c>
      <c r="BN229">
        <f ca="1" xml:space="preserve"> IF( AND( OFFSET($A$1, 229 - 1, 64 - 1) = "1", OFFSET($A$1, 229 - 1, 65 - 1) = "1" ), 1, IF( AND( OFFSET($A$1, 229 - 1, 64 - 1) = "1", OFFSET($A$1, 229 - 1, 65 - 1) = "0" ), 2, IF( AND( OFFSET($A$1, 229 - 1, 64 - 1) = "0", OFFSET($A$1, 229 - 1, 65 - 1) = "1" ), 3, 4 ) ) )</f>
        <v>1</v>
      </c>
    </row>
    <row r="230" spans="58:66" x14ac:dyDescent="0.2">
      <c r="BF230" s="3">
        <v>0</v>
      </c>
      <c r="BG230" s="3" t="str">
        <f t="shared" si="21"/>
        <v>0</v>
      </c>
      <c r="BH230" t="str">
        <f ca="1">IF((OFFSET($A$1, 230 - 1, 58 - 1)) &gt;= (OFFSET($A$1, 96 - 1, 7 - 1)), "1","0")</f>
        <v>0</v>
      </c>
      <c r="BI230">
        <f ca="1" xml:space="preserve"> IF( AND( OFFSET($A$1, 230 - 1, 59 - 1) = "1", OFFSET($A$1, 230 - 1, 60 - 1) = "1" ), 1, IF( AND( OFFSET($A$1, 230 - 1, 59 - 1) = "1", OFFSET($A$1, 230 - 1, 60 - 1) = "0" ), 2, IF( AND( OFFSET($A$1, 230 - 1, 59 - 1) = "0", OFFSET($A$1, 230 - 1, 60 - 1) = "1" ), 3, 4 ) ) )</f>
        <v>4</v>
      </c>
      <c r="BK230" s="3">
        <v>6.6350710900473939E-2</v>
      </c>
      <c r="BL230" s="3" t="str">
        <f t="shared" ref="BL230:BL236" si="22">"0"</f>
        <v>0</v>
      </c>
      <c r="BM230" t="str">
        <f ca="1">IF((OFFSET($A$1, 230 - 1, 63 - 1)) &gt;= (OFFSET($A$1, 135 - 1, 7 - 1)), "1","0")</f>
        <v>0</v>
      </c>
      <c r="BN230">
        <f ca="1" xml:space="preserve"> IF( AND( OFFSET($A$1, 230 - 1, 64 - 1) = "1", OFFSET($A$1, 230 - 1, 65 - 1) = "1" ), 1, IF( AND( OFFSET($A$1, 230 - 1, 64 - 1) = "1", OFFSET($A$1, 230 - 1, 65 - 1) = "0" ), 2, IF( AND( OFFSET($A$1, 230 - 1, 64 - 1) = "0", OFFSET($A$1, 230 - 1, 65 - 1) = "1" ), 3, 4 ) ) )</f>
        <v>4</v>
      </c>
    </row>
    <row r="231" spans="58:66" x14ac:dyDescent="0.2">
      <c r="BF231" s="3">
        <v>0</v>
      </c>
      <c r="BG231" s="3" t="str">
        <f t="shared" si="21"/>
        <v>0</v>
      </c>
      <c r="BH231" t="str">
        <f ca="1">IF((OFFSET($A$1, 231 - 1, 58 - 1)) &gt;= (OFFSET($A$1, 96 - 1, 7 - 1)), "1","0")</f>
        <v>0</v>
      </c>
      <c r="BI231">
        <f ca="1" xml:space="preserve"> IF( AND( OFFSET($A$1, 231 - 1, 59 - 1) = "1", OFFSET($A$1, 231 - 1, 60 - 1) = "1" ), 1, IF( AND( OFFSET($A$1, 231 - 1, 59 - 1) = "1", OFFSET($A$1, 231 - 1, 60 - 1) = "0" ), 2, IF( AND( OFFSET($A$1, 231 - 1, 59 - 1) = "0", OFFSET($A$1, 231 - 1, 60 - 1) = "1" ), 3, 4 ) ) )</f>
        <v>4</v>
      </c>
      <c r="BK231" s="3">
        <v>6.6350710900473939E-2</v>
      </c>
      <c r="BL231" s="3" t="str">
        <f t="shared" si="22"/>
        <v>0</v>
      </c>
      <c r="BM231" t="str">
        <f ca="1">IF((OFFSET($A$1, 231 - 1, 63 - 1)) &gt;= (OFFSET($A$1, 135 - 1, 7 - 1)), "1","0")</f>
        <v>0</v>
      </c>
      <c r="BN231">
        <f ca="1" xml:space="preserve"> IF( AND( OFFSET($A$1, 231 - 1, 64 - 1) = "1", OFFSET($A$1, 231 - 1, 65 - 1) = "1" ), 1, IF( AND( OFFSET($A$1, 231 - 1, 64 - 1) = "1", OFFSET($A$1, 231 - 1, 65 - 1) = "0" ), 2, IF( AND( OFFSET($A$1, 231 - 1, 64 - 1) = "0", OFFSET($A$1, 231 - 1, 65 - 1) = "1" ), 3, 4 ) ) )</f>
        <v>4</v>
      </c>
    </row>
    <row r="232" spans="58:66" x14ac:dyDescent="0.2">
      <c r="BF232" s="3">
        <v>3.7037037037037042E-2</v>
      </c>
      <c r="BG232" s="3" t="str">
        <f t="shared" si="21"/>
        <v>0</v>
      </c>
      <c r="BH232" t="str">
        <f ca="1">IF((OFFSET($A$1, 232 - 1, 58 - 1)) &gt;= (OFFSET($A$1, 96 - 1, 7 - 1)), "1","0")</f>
        <v>0</v>
      </c>
      <c r="BI232">
        <f ca="1" xml:space="preserve"> IF( AND( OFFSET($A$1, 232 - 1, 59 - 1) = "1", OFFSET($A$1, 232 - 1, 60 - 1) = "1" ), 1, IF( AND( OFFSET($A$1, 232 - 1, 59 - 1) = "1", OFFSET($A$1, 232 - 1, 60 - 1) = "0" ), 2, IF( AND( OFFSET($A$1, 232 - 1, 59 - 1) = "0", OFFSET($A$1, 232 - 1, 60 - 1) = "1" ), 3, 4 ) ) )</f>
        <v>4</v>
      </c>
      <c r="BK232" s="3">
        <v>6.6350710900473939E-2</v>
      </c>
      <c r="BL232" s="3" t="str">
        <f t="shared" si="22"/>
        <v>0</v>
      </c>
      <c r="BM232" t="str">
        <f ca="1">IF((OFFSET($A$1, 232 - 1, 63 - 1)) &gt;= (OFFSET($A$1, 135 - 1, 7 - 1)), "1","0")</f>
        <v>0</v>
      </c>
      <c r="BN232">
        <f ca="1" xml:space="preserve"> IF( AND( OFFSET($A$1, 232 - 1, 64 - 1) = "1", OFFSET($A$1, 232 - 1, 65 - 1) = "1" ), 1, IF( AND( OFFSET($A$1, 232 - 1, 64 - 1) = "1", OFFSET($A$1, 232 - 1, 65 - 1) = "0" ), 2, IF( AND( OFFSET($A$1, 232 - 1, 64 - 1) = "0", OFFSET($A$1, 232 - 1, 65 - 1) = "1" ), 3, 4 ) ) )</f>
        <v>4</v>
      </c>
    </row>
    <row r="233" spans="58:66" x14ac:dyDescent="0.2">
      <c r="BF233" s="3">
        <v>0</v>
      </c>
      <c r="BG233" s="3" t="str">
        <f t="shared" si="21"/>
        <v>0</v>
      </c>
      <c r="BH233" t="str">
        <f ca="1">IF((OFFSET($A$1, 233 - 1, 58 - 1)) &gt;= (OFFSET($A$1, 96 - 1, 7 - 1)), "1","0")</f>
        <v>0</v>
      </c>
      <c r="BI233">
        <f ca="1" xml:space="preserve"> IF( AND( OFFSET($A$1, 233 - 1, 59 - 1) = "1", OFFSET($A$1, 233 - 1, 60 - 1) = "1" ), 1, IF( AND( OFFSET($A$1, 233 - 1, 59 - 1) = "1", OFFSET($A$1, 233 - 1, 60 - 1) = "0" ), 2, IF( AND( OFFSET($A$1, 233 - 1, 59 - 1) = "0", OFFSET($A$1, 233 - 1, 60 - 1) = "1" ), 3, 4 ) ) )</f>
        <v>4</v>
      </c>
      <c r="BK233" s="3">
        <v>6.6350710900473939E-2</v>
      </c>
      <c r="BL233" s="3" t="str">
        <f t="shared" si="22"/>
        <v>0</v>
      </c>
      <c r="BM233" t="str">
        <f ca="1">IF((OFFSET($A$1, 233 - 1, 63 - 1)) &gt;= (OFFSET($A$1, 135 - 1, 7 - 1)), "1","0")</f>
        <v>0</v>
      </c>
      <c r="BN233">
        <f ca="1" xml:space="preserve"> IF( AND( OFFSET($A$1, 233 - 1, 64 - 1) = "1", OFFSET($A$1, 233 - 1, 65 - 1) = "1" ), 1, IF( AND( OFFSET($A$1, 233 - 1, 64 - 1) = "1", OFFSET($A$1, 233 - 1, 65 - 1) = "0" ), 2, IF( AND( OFFSET($A$1, 233 - 1, 64 - 1) = "0", OFFSET($A$1, 233 - 1, 65 - 1) = "1" ), 3, 4 ) ) )</f>
        <v>4</v>
      </c>
    </row>
    <row r="234" spans="58:66" x14ac:dyDescent="0.2">
      <c r="BF234" s="3">
        <v>0</v>
      </c>
      <c r="BG234" s="3" t="str">
        <f t="shared" si="21"/>
        <v>0</v>
      </c>
      <c r="BH234" t="str">
        <f ca="1">IF((OFFSET($A$1, 234 - 1, 58 - 1)) &gt;= (OFFSET($A$1, 96 - 1, 7 - 1)), "1","0")</f>
        <v>0</v>
      </c>
      <c r="BI234">
        <f ca="1" xml:space="preserve"> IF( AND( OFFSET($A$1, 234 - 1, 59 - 1) = "1", OFFSET($A$1, 234 - 1, 60 - 1) = "1" ), 1, IF( AND( OFFSET($A$1, 234 - 1, 59 - 1) = "1", OFFSET($A$1, 234 - 1, 60 - 1) = "0" ), 2, IF( AND( OFFSET($A$1, 234 - 1, 59 - 1) = "0", OFFSET($A$1, 234 - 1, 60 - 1) = "1" ), 3, 4 ) ) )</f>
        <v>4</v>
      </c>
      <c r="BK234" s="3">
        <v>6.6350710900473939E-2</v>
      </c>
      <c r="BL234" s="3" t="str">
        <f t="shared" si="22"/>
        <v>0</v>
      </c>
      <c r="BM234" t="str">
        <f ca="1">IF((OFFSET($A$1, 234 - 1, 63 - 1)) &gt;= (OFFSET($A$1, 135 - 1, 7 - 1)), "1","0")</f>
        <v>0</v>
      </c>
      <c r="BN234">
        <f ca="1" xml:space="preserve"> IF( AND( OFFSET($A$1, 234 - 1, 64 - 1) = "1", OFFSET($A$1, 234 - 1, 65 - 1) = "1" ), 1, IF( AND( OFFSET($A$1, 234 - 1, 64 - 1) = "1", OFFSET($A$1, 234 - 1, 65 - 1) = "0" ), 2, IF( AND( OFFSET($A$1, 234 - 1, 64 - 1) = "0", OFFSET($A$1, 234 - 1, 65 - 1) = "1" ), 3, 4 ) ) )</f>
        <v>4</v>
      </c>
    </row>
    <row r="235" spans="58:66" x14ac:dyDescent="0.2">
      <c r="BF235" s="3">
        <v>0.38775510204081637</v>
      </c>
      <c r="BG235" s="3" t="str">
        <f t="shared" si="21"/>
        <v>0</v>
      </c>
      <c r="BH235" t="str">
        <f ca="1">IF((OFFSET($A$1, 235 - 1, 58 - 1)) &gt;= (OFFSET($A$1, 96 - 1, 7 - 1)), "1","0")</f>
        <v>0</v>
      </c>
      <c r="BI235">
        <f ca="1" xml:space="preserve"> IF( AND( OFFSET($A$1, 235 - 1, 59 - 1) = "1", OFFSET($A$1, 235 - 1, 60 - 1) = "1" ), 1, IF( AND( OFFSET($A$1, 235 - 1, 59 - 1) = "1", OFFSET($A$1, 235 - 1, 60 - 1) = "0" ), 2, IF( AND( OFFSET($A$1, 235 - 1, 59 - 1) = "0", OFFSET($A$1, 235 - 1, 60 - 1) = "1" ), 3, 4 ) ) )</f>
        <v>4</v>
      </c>
      <c r="BK235" s="3">
        <v>0.36</v>
      </c>
      <c r="BL235" s="3" t="str">
        <f t="shared" si="22"/>
        <v>0</v>
      </c>
      <c r="BM235" t="str">
        <f ca="1">IF((OFFSET($A$1, 235 - 1, 63 - 1)) &gt;= (OFFSET($A$1, 135 - 1, 7 - 1)), "1","0")</f>
        <v>0</v>
      </c>
      <c r="BN235">
        <f ca="1" xml:space="preserve"> IF( AND( OFFSET($A$1, 235 - 1, 64 - 1) = "1", OFFSET($A$1, 235 - 1, 65 - 1) = "1" ), 1, IF( AND( OFFSET($A$1, 235 - 1, 64 - 1) = "1", OFFSET($A$1, 235 - 1, 65 - 1) = "0" ), 2, IF( AND( OFFSET($A$1, 235 - 1, 64 - 1) = "0", OFFSET($A$1, 235 - 1, 65 - 1) = "1" ), 3, 4 ) ) )</f>
        <v>4</v>
      </c>
    </row>
    <row r="236" spans="58:66" x14ac:dyDescent="0.2">
      <c r="BF236" s="3">
        <v>0</v>
      </c>
      <c r="BG236" s="3" t="str">
        <f t="shared" si="21"/>
        <v>0</v>
      </c>
      <c r="BH236" t="str">
        <f ca="1">IF((OFFSET($A$1, 236 - 1, 58 - 1)) &gt;= (OFFSET($A$1, 96 - 1, 7 - 1)), "1","0")</f>
        <v>0</v>
      </c>
      <c r="BI236">
        <f ca="1" xml:space="preserve"> IF( AND( OFFSET($A$1, 236 - 1, 59 - 1) = "1", OFFSET($A$1, 236 - 1, 60 - 1) = "1" ), 1, IF( AND( OFFSET($A$1, 236 - 1, 59 - 1) = "1", OFFSET($A$1, 236 - 1, 60 - 1) = "0" ), 2, IF( AND( OFFSET($A$1, 236 - 1, 59 - 1) = "0", OFFSET($A$1, 236 - 1, 60 - 1) = "1" ), 3, 4 ) ) )</f>
        <v>4</v>
      </c>
      <c r="BK236" s="3">
        <v>6.6350710900473939E-2</v>
      </c>
      <c r="BL236" s="3" t="str">
        <f t="shared" si="22"/>
        <v>0</v>
      </c>
      <c r="BM236" t="str">
        <f ca="1">IF((OFFSET($A$1, 236 - 1, 63 - 1)) &gt;= (OFFSET($A$1, 135 - 1, 7 - 1)), "1","0")</f>
        <v>0</v>
      </c>
      <c r="BN236">
        <f ca="1" xml:space="preserve"> IF( AND( OFFSET($A$1, 236 - 1, 64 - 1) = "1", OFFSET($A$1, 236 - 1, 65 - 1) = "1" ), 1, IF( AND( OFFSET($A$1, 236 - 1, 64 - 1) = "1", OFFSET($A$1, 236 - 1, 65 - 1) = "0" ), 2, IF( AND( OFFSET($A$1, 236 - 1, 64 - 1) = "0", OFFSET($A$1, 236 - 1, 65 - 1) = "1" ), 3, 4 ) ) )</f>
        <v>4</v>
      </c>
    </row>
    <row r="237" spans="58:66" x14ac:dyDescent="0.2">
      <c r="BF237" s="3">
        <v>0</v>
      </c>
      <c r="BG237" s="3" t="str">
        <f t="shared" si="21"/>
        <v>0</v>
      </c>
      <c r="BH237" t="str">
        <f ca="1">IF((OFFSET($A$1, 237 - 1, 58 - 1)) &gt;= (OFFSET($A$1, 96 - 1, 7 - 1)), "1","0")</f>
        <v>0</v>
      </c>
      <c r="BI237">
        <f ca="1" xml:space="preserve"> IF( AND( OFFSET($A$1, 237 - 1, 59 - 1) = "1", OFFSET($A$1, 237 - 1, 60 - 1) = "1" ), 1, IF( AND( OFFSET($A$1, 237 - 1, 59 - 1) = "1", OFFSET($A$1, 237 - 1, 60 - 1) = "0" ), 2, IF( AND( OFFSET($A$1, 237 - 1, 59 - 1) = "0", OFFSET($A$1, 237 - 1, 60 - 1) = "1" ), 3, 4 ) ) )</f>
        <v>4</v>
      </c>
      <c r="BK237" s="3">
        <v>0.90579710144927539</v>
      </c>
      <c r="BL237" s="3" t="str">
        <f>"1"</f>
        <v>1</v>
      </c>
      <c r="BM237" t="str">
        <f ca="1">IF((OFFSET($A$1, 237 - 1, 63 - 1)) &gt;= (OFFSET($A$1, 135 - 1, 7 - 1)), "1","0")</f>
        <v>1</v>
      </c>
      <c r="BN237">
        <f ca="1" xml:space="preserve"> IF( AND( OFFSET($A$1, 237 - 1, 64 - 1) = "1", OFFSET($A$1, 237 - 1, 65 - 1) = "1" ), 1, IF( AND( OFFSET($A$1, 237 - 1, 64 - 1) = "1", OFFSET($A$1, 237 - 1, 65 - 1) = "0" ), 2, IF( AND( OFFSET($A$1, 237 - 1, 64 - 1) = "0", OFFSET($A$1, 237 - 1, 65 - 1) = "1" ), 3, 4 ) ) )</f>
        <v>1</v>
      </c>
    </row>
    <row r="238" spans="58:66" x14ac:dyDescent="0.2">
      <c r="BF238" s="3">
        <v>0.38775510204081637</v>
      </c>
      <c r="BG238" s="3" t="str">
        <f>"1"</f>
        <v>1</v>
      </c>
      <c r="BH238" t="str">
        <f ca="1">IF((OFFSET($A$1, 238 - 1, 58 - 1)) &gt;= (OFFSET($A$1, 96 - 1, 7 - 1)), "1","0")</f>
        <v>0</v>
      </c>
      <c r="BI238">
        <f ca="1" xml:space="preserve"> IF( AND( OFFSET($A$1, 238 - 1, 59 - 1) = "1", OFFSET($A$1, 238 - 1, 60 - 1) = "1" ), 1, IF( AND( OFFSET($A$1, 238 - 1, 59 - 1) = "1", OFFSET($A$1, 238 - 1, 60 - 1) = "0" ), 2, IF( AND( OFFSET($A$1, 238 - 1, 59 - 1) = "0", OFFSET($A$1, 238 - 1, 60 - 1) = "1" ), 3, 4 ) ) )</f>
        <v>2</v>
      </c>
      <c r="BK238" s="3">
        <v>6.6350710900473939E-2</v>
      </c>
      <c r="BL238" s="3" t="str">
        <f t="shared" ref="BL238:BL244" si="23">"0"</f>
        <v>0</v>
      </c>
      <c r="BM238" t="str">
        <f ca="1">IF((OFFSET($A$1, 238 - 1, 63 - 1)) &gt;= (OFFSET($A$1, 135 - 1, 7 - 1)), "1","0")</f>
        <v>0</v>
      </c>
      <c r="BN238">
        <f ca="1" xml:space="preserve"> IF( AND( OFFSET($A$1, 238 - 1, 64 - 1) = "1", OFFSET($A$1, 238 - 1, 65 - 1) = "1" ), 1, IF( AND( OFFSET($A$1, 238 - 1, 64 - 1) = "1", OFFSET($A$1, 238 - 1, 65 - 1) = "0" ), 2, IF( AND( OFFSET($A$1, 238 - 1, 64 - 1) = "0", OFFSET($A$1, 238 - 1, 65 - 1) = "1" ), 3, 4 ) ) )</f>
        <v>4</v>
      </c>
    </row>
    <row r="239" spans="58:66" x14ac:dyDescent="0.2">
      <c r="BF239" s="3">
        <v>0.90579710144927539</v>
      </c>
      <c r="BG239" s="3" t="str">
        <f t="shared" ref="BG239:BG254" si="24">"0"</f>
        <v>0</v>
      </c>
      <c r="BH239" t="str">
        <f ca="1">IF((OFFSET($A$1, 239 - 1, 58 - 1)) &gt;= (OFFSET($A$1, 96 - 1, 7 - 1)), "1","0")</f>
        <v>1</v>
      </c>
      <c r="BI239">
        <f ca="1" xml:space="preserve"> IF( AND( OFFSET($A$1, 239 - 1, 59 - 1) = "1", OFFSET($A$1, 239 - 1, 60 - 1) = "1" ), 1, IF( AND( OFFSET($A$1, 239 - 1, 59 - 1) = "1", OFFSET($A$1, 239 - 1, 60 - 1) = "0" ), 2, IF( AND( OFFSET($A$1, 239 - 1, 59 - 1) = "0", OFFSET($A$1, 239 - 1, 60 - 1) = "1" ), 3, 4 ) ) )</f>
        <v>3</v>
      </c>
      <c r="BK239" s="3">
        <v>2.5316455696202531E-2</v>
      </c>
      <c r="BL239" s="3" t="str">
        <f t="shared" si="23"/>
        <v>0</v>
      </c>
      <c r="BM239" t="str">
        <f ca="1">IF((OFFSET($A$1, 239 - 1, 63 - 1)) &gt;= (OFFSET($A$1, 135 - 1, 7 - 1)), "1","0")</f>
        <v>0</v>
      </c>
      <c r="BN239">
        <f ca="1" xml:space="preserve"> IF( AND( OFFSET($A$1, 239 - 1, 64 - 1) = "1", OFFSET($A$1, 239 - 1, 65 - 1) = "1" ), 1, IF( AND( OFFSET($A$1, 239 - 1, 64 - 1) = "1", OFFSET($A$1, 239 - 1, 65 - 1) = "0" ), 2, IF( AND( OFFSET($A$1, 239 - 1, 64 - 1) = "0", OFFSET($A$1, 239 - 1, 65 - 1) = "1" ), 3, 4 ) ) )</f>
        <v>4</v>
      </c>
    </row>
    <row r="240" spans="58:66" x14ac:dyDescent="0.2">
      <c r="BF240" s="3">
        <v>0.08</v>
      </c>
      <c r="BG240" s="3" t="str">
        <f t="shared" si="24"/>
        <v>0</v>
      </c>
      <c r="BH240" t="str">
        <f ca="1">IF((OFFSET($A$1, 240 - 1, 58 - 1)) &gt;= (OFFSET($A$1, 96 - 1, 7 - 1)), "1","0")</f>
        <v>0</v>
      </c>
      <c r="BI240">
        <f ca="1" xml:space="preserve"> IF( AND( OFFSET($A$1, 240 - 1, 59 - 1) = "1", OFFSET($A$1, 240 - 1, 60 - 1) = "1" ), 1, IF( AND( OFFSET($A$1, 240 - 1, 59 - 1) = "1", OFFSET($A$1, 240 - 1, 60 - 1) = "0" ), 2, IF( AND( OFFSET($A$1, 240 - 1, 59 - 1) = "0", OFFSET($A$1, 240 - 1, 60 - 1) = "1" ), 3, 4 ) ) )</f>
        <v>4</v>
      </c>
      <c r="BK240" s="3">
        <v>6.6350710900473939E-2</v>
      </c>
      <c r="BL240" s="3" t="str">
        <f t="shared" si="23"/>
        <v>0</v>
      </c>
      <c r="BM240" t="str">
        <f ca="1">IF((OFFSET($A$1, 240 - 1, 63 - 1)) &gt;= (OFFSET($A$1, 135 - 1, 7 - 1)), "1","0")</f>
        <v>0</v>
      </c>
      <c r="BN240">
        <f ca="1" xml:space="preserve"> IF( AND( OFFSET($A$1, 240 - 1, 64 - 1) = "1", OFFSET($A$1, 240 - 1, 65 - 1) = "1" ), 1, IF( AND( OFFSET($A$1, 240 - 1, 64 - 1) = "1", OFFSET($A$1, 240 - 1, 65 - 1) = "0" ), 2, IF( AND( OFFSET($A$1, 240 - 1, 64 - 1) = "0", OFFSET($A$1, 240 - 1, 65 - 1) = "1" ), 3, 4 ) ) )</f>
        <v>4</v>
      </c>
    </row>
    <row r="241" spans="58:66" x14ac:dyDescent="0.2">
      <c r="BF241" s="3">
        <v>3.7037037037037042E-2</v>
      </c>
      <c r="BG241" s="3" t="str">
        <f t="shared" si="24"/>
        <v>0</v>
      </c>
      <c r="BH241" t="str">
        <f ca="1">IF((OFFSET($A$1, 241 - 1, 58 - 1)) &gt;= (OFFSET($A$1, 96 - 1, 7 - 1)), "1","0")</f>
        <v>0</v>
      </c>
      <c r="BI241">
        <f ca="1" xml:space="preserve"> IF( AND( OFFSET($A$1, 241 - 1, 59 - 1) = "1", OFFSET($A$1, 241 - 1, 60 - 1) = "1" ), 1, IF( AND( OFFSET($A$1, 241 - 1, 59 - 1) = "1", OFFSET($A$1, 241 - 1, 60 - 1) = "0" ), 2, IF( AND( OFFSET($A$1, 241 - 1, 59 - 1) = "0", OFFSET($A$1, 241 - 1, 60 - 1) = "1" ), 3, 4 ) ) )</f>
        <v>4</v>
      </c>
      <c r="BK241" s="3">
        <v>6.6350710900473939E-2</v>
      </c>
      <c r="BL241" s="3" t="str">
        <f t="shared" si="23"/>
        <v>0</v>
      </c>
      <c r="BM241" t="str">
        <f ca="1">IF((OFFSET($A$1, 241 - 1, 63 - 1)) &gt;= (OFFSET($A$1, 135 - 1, 7 - 1)), "1","0")</f>
        <v>0</v>
      </c>
      <c r="BN241">
        <f ca="1" xml:space="preserve"> IF( AND( OFFSET($A$1, 241 - 1, 64 - 1) = "1", OFFSET($A$1, 241 - 1, 65 - 1) = "1" ), 1, IF( AND( OFFSET($A$1, 241 - 1, 64 - 1) = "1", OFFSET($A$1, 241 - 1, 65 - 1) = "0" ), 2, IF( AND( OFFSET($A$1, 241 - 1, 64 - 1) = "0", OFFSET($A$1, 241 - 1, 65 - 1) = "1" ), 3, 4 ) ) )</f>
        <v>4</v>
      </c>
    </row>
    <row r="242" spans="58:66" x14ac:dyDescent="0.2">
      <c r="BF242" s="3">
        <v>0</v>
      </c>
      <c r="BG242" s="3" t="str">
        <f t="shared" si="24"/>
        <v>0</v>
      </c>
      <c r="BH242" t="str">
        <f ca="1">IF((OFFSET($A$1, 242 - 1, 58 - 1)) &gt;= (OFFSET($A$1, 96 - 1, 7 - 1)), "1","0")</f>
        <v>0</v>
      </c>
      <c r="BI242">
        <f ca="1" xml:space="preserve"> IF( AND( OFFSET($A$1, 242 - 1, 59 - 1) = "1", OFFSET($A$1, 242 - 1, 60 - 1) = "1" ), 1, IF( AND( OFFSET($A$1, 242 - 1, 59 - 1) = "1", OFFSET($A$1, 242 - 1, 60 - 1) = "0" ), 2, IF( AND( OFFSET($A$1, 242 - 1, 59 - 1) = "0", OFFSET($A$1, 242 - 1, 60 - 1) = "1" ), 3, 4 ) ) )</f>
        <v>4</v>
      </c>
      <c r="BK242" s="3">
        <v>6.6350710900473939E-2</v>
      </c>
      <c r="BL242" s="3" t="str">
        <f t="shared" si="23"/>
        <v>0</v>
      </c>
      <c r="BM242" t="str">
        <f ca="1">IF((OFFSET($A$1, 242 - 1, 63 - 1)) &gt;= (OFFSET($A$1, 135 - 1, 7 - 1)), "1","0")</f>
        <v>0</v>
      </c>
      <c r="BN242">
        <f ca="1" xml:space="preserve"> IF( AND( OFFSET($A$1, 242 - 1, 64 - 1) = "1", OFFSET($A$1, 242 - 1, 65 - 1) = "1" ), 1, IF( AND( OFFSET($A$1, 242 - 1, 64 - 1) = "1", OFFSET($A$1, 242 - 1, 65 - 1) = "0" ), 2, IF( AND( OFFSET($A$1, 242 - 1, 64 - 1) = "0", OFFSET($A$1, 242 - 1, 65 - 1) = "1" ), 3, 4 ) ) )</f>
        <v>4</v>
      </c>
    </row>
    <row r="243" spans="58:66" x14ac:dyDescent="0.2">
      <c r="BF243" s="3">
        <v>0</v>
      </c>
      <c r="BG243" s="3" t="str">
        <f t="shared" si="24"/>
        <v>0</v>
      </c>
      <c r="BH243" t="str">
        <f ca="1">IF((OFFSET($A$1, 243 - 1, 58 - 1)) &gt;= (OFFSET($A$1, 96 - 1, 7 - 1)), "1","0")</f>
        <v>0</v>
      </c>
      <c r="BI243">
        <f ca="1" xml:space="preserve"> IF( AND( OFFSET($A$1, 243 - 1, 59 - 1) = "1", OFFSET($A$1, 243 - 1, 60 - 1) = "1" ), 1, IF( AND( OFFSET($A$1, 243 - 1, 59 - 1) = "1", OFFSET($A$1, 243 - 1, 60 - 1) = "0" ), 2, IF( AND( OFFSET($A$1, 243 - 1, 59 - 1) = "0", OFFSET($A$1, 243 - 1, 60 - 1) = "1" ), 3, 4 ) ) )</f>
        <v>4</v>
      </c>
      <c r="BK243" s="3">
        <v>0.38775510204081637</v>
      </c>
      <c r="BL243" s="3" t="str">
        <f t="shared" si="23"/>
        <v>0</v>
      </c>
      <c r="BM243" t="str">
        <f ca="1">IF((OFFSET($A$1, 243 - 1, 63 - 1)) &gt;= (OFFSET($A$1, 135 - 1, 7 - 1)), "1","0")</f>
        <v>0</v>
      </c>
      <c r="BN243">
        <f ca="1" xml:space="preserve"> IF( AND( OFFSET($A$1, 243 - 1, 64 - 1) = "1", OFFSET($A$1, 243 - 1, 65 - 1) = "1" ), 1, IF( AND( OFFSET($A$1, 243 - 1, 64 - 1) = "1", OFFSET($A$1, 243 - 1, 65 - 1) = "0" ), 2, IF( AND( OFFSET($A$1, 243 - 1, 64 - 1) = "0", OFFSET($A$1, 243 - 1, 65 - 1) = "1" ), 3, 4 ) ) )</f>
        <v>4</v>
      </c>
    </row>
    <row r="244" spans="58:66" x14ac:dyDescent="0.2">
      <c r="BF244" s="3">
        <v>0</v>
      </c>
      <c r="BG244" s="3" t="str">
        <f t="shared" si="24"/>
        <v>0</v>
      </c>
      <c r="BH244" t="str">
        <f ca="1">IF((OFFSET($A$1, 244 - 1, 58 - 1)) &gt;= (OFFSET($A$1, 96 - 1, 7 - 1)), "1","0")</f>
        <v>0</v>
      </c>
      <c r="BI244">
        <f ca="1" xml:space="preserve"> IF( AND( OFFSET($A$1, 244 - 1, 59 - 1) = "1", OFFSET($A$1, 244 - 1, 60 - 1) = "1" ), 1, IF( AND( OFFSET($A$1, 244 - 1, 59 - 1) = "1", OFFSET($A$1, 244 - 1, 60 - 1) = "0" ), 2, IF( AND( OFFSET($A$1, 244 - 1, 59 - 1) = "0", OFFSET($A$1, 244 - 1, 60 - 1) = "1" ), 3, 4 ) ) )</f>
        <v>4</v>
      </c>
      <c r="BK244" s="3">
        <v>6.6350710900473939E-2</v>
      </c>
      <c r="BL244" s="3" t="str">
        <f t="shared" si="23"/>
        <v>0</v>
      </c>
      <c r="BM244" t="str">
        <f ca="1">IF((OFFSET($A$1, 244 - 1, 63 - 1)) &gt;= (OFFSET($A$1, 135 - 1, 7 - 1)), "1","0")</f>
        <v>0</v>
      </c>
      <c r="BN244">
        <f ca="1" xml:space="preserve"> IF( AND( OFFSET($A$1, 244 - 1, 64 - 1) = "1", OFFSET($A$1, 244 - 1, 65 - 1) = "1" ), 1, IF( AND( OFFSET($A$1, 244 - 1, 64 - 1) = "1", OFFSET($A$1, 244 - 1, 65 - 1) = "0" ), 2, IF( AND( OFFSET($A$1, 244 - 1, 64 - 1) = "0", OFFSET($A$1, 244 - 1, 65 - 1) = "1" ), 3, 4 ) ) )</f>
        <v>4</v>
      </c>
    </row>
    <row r="245" spans="58:66" x14ac:dyDescent="0.2">
      <c r="BF245" s="3">
        <v>0</v>
      </c>
      <c r="BG245" s="3" t="str">
        <f t="shared" si="24"/>
        <v>0</v>
      </c>
      <c r="BH245" t="str">
        <f ca="1">IF((OFFSET($A$1, 245 - 1, 58 - 1)) &gt;= (OFFSET($A$1, 96 - 1, 7 - 1)), "1","0")</f>
        <v>0</v>
      </c>
      <c r="BI245">
        <f ca="1" xml:space="preserve"> IF( AND( OFFSET($A$1, 245 - 1, 59 - 1) = "1", OFFSET($A$1, 245 - 1, 60 - 1) = "1" ), 1, IF( AND( OFFSET($A$1, 245 - 1, 59 - 1) = "1", OFFSET($A$1, 245 - 1, 60 - 1) = "0" ), 2, IF( AND( OFFSET($A$1, 245 - 1, 59 - 1) = "0", OFFSET($A$1, 245 - 1, 60 - 1) = "1" ), 3, 4 ) ) )</f>
        <v>4</v>
      </c>
      <c r="BK245" s="3">
        <v>2.5316455696202531E-2</v>
      </c>
      <c r="BL245" s="3" t="str">
        <f>"1"</f>
        <v>1</v>
      </c>
      <c r="BM245" t="str">
        <f ca="1">IF((OFFSET($A$1, 245 - 1, 63 - 1)) &gt;= (OFFSET($A$1, 135 - 1, 7 - 1)), "1","0")</f>
        <v>0</v>
      </c>
      <c r="BN245">
        <f ca="1" xml:space="preserve"> IF( AND( OFFSET($A$1, 245 - 1, 64 - 1) = "1", OFFSET($A$1, 245 - 1, 65 - 1) = "1" ), 1, IF( AND( OFFSET($A$1, 245 - 1, 64 - 1) = "1", OFFSET($A$1, 245 - 1, 65 - 1) = "0" ), 2, IF( AND( OFFSET($A$1, 245 - 1, 64 - 1) = "0", OFFSET($A$1, 245 - 1, 65 - 1) = "1" ), 3, 4 ) ) )</f>
        <v>2</v>
      </c>
    </row>
    <row r="246" spans="58:66" x14ac:dyDescent="0.2">
      <c r="BF246" s="3">
        <v>0.47692307692307689</v>
      </c>
      <c r="BG246" s="3" t="str">
        <f t="shared" si="24"/>
        <v>0</v>
      </c>
      <c r="BH246" t="str">
        <f ca="1">IF((OFFSET($A$1, 246 - 1, 58 - 1)) &gt;= (OFFSET($A$1, 96 - 1, 7 - 1)), "1","0")</f>
        <v>0</v>
      </c>
      <c r="BI246">
        <f ca="1" xml:space="preserve"> IF( AND( OFFSET($A$1, 246 - 1, 59 - 1) = "1", OFFSET($A$1, 246 - 1, 60 - 1) = "1" ), 1, IF( AND( OFFSET($A$1, 246 - 1, 59 - 1) = "1", OFFSET($A$1, 246 - 1, 60 - 1) = "0" ), 2, IF( AND( OFFSET($A$1, 246 - 1, 59 - 1) = "0", OFFSET($A$1, 246 - 1, 60 - 1) = "1" ), 3, 4 ) ) )</f>
        <v>4</v>
      </c>
      <c r="BK246" s="3">
        <v>0.90579710144927539</v>
      </c>
      <c r="BL246" s="3" t="str">
        <f>"0"</f>
        <v>0</v>
      </c>
      <c r="BM246" t="str">
        <f ca="1">IF((OFFSET($A$1, 246 - 1, 63 - 1)) &gt;= (OFFSET($A$1, 135 - 1, 7 - 1)), "1","0")</f>
        <v>1</v>
      </c>
      <c r="BN246">
        <f ca="1" xml:space="preserve"> IF( AND( OFFSET($A$1, 246 - 1, 64 - 1) = "1", OFFSET($A$1, 246 - 1, 65 - 1) = "1" ), 1, IF( AND( OFFSET($A$1, 246 - 1, 64 - 1) = "1", OFFSET($A$1, 246 - 1, 65 - 1) = "0" ), 2, IF( AND( OFFSET($A$1, 246 - 1, 64 - 1) = "0", OFFSET($A$1, 246 - 1, 65 - 1) = "1" ), 3, 4 ) ) )</f>
        <v>3</v>
      </c>
    </row>
    <row r="247" spans="58:66" x14ac:dyDescent="0.2">
      <c r="BF247" s="3">
        <v>0</v>
      </c>
      <c r="BG247" s="3" t="str">
        <f t="shared" si="24"/>
        <v>0</v>
      </c>
      <c r="BH247" t="str">
        <f ca="1">IF((OFFSET($A$1, 247 - 1, 58 - 1)) &gt;= (OFFSET($A$1, 96 - 1, 7 - 1)), "1","0")</f>
        <v>0</v>
      </c>
      <c r="BI247">
        <f ca="1" xml:space="preserve"> IF( AND( OFFSET($A$1, 247 - 1, 59 - 1) = "1", OFFSET($A$1, 247 - 1, 60 - 1) = "1" ), 1, IF( AND( OFFSET($A$1, 247 - 1, 59 - 1) = "1", OFFSET($A$1, 247 - 1, 60 - 1) = "0" ), 2, IF( AND( OFFSET($A$1, 247 - 1, 59 - 1) = "0", OFFSET($A$1, 247 - 1, 60 - 1) = "1" ), 3, 4 ) ) )</f>
        <v>4</v>
      </c>
      <c r="BK247" s="3">
        <v>6.6350710900473939E-2</v>
      </c>
      <c r="BL247" s="3" t="str">
        <f>"1"</f>
        <v>1</v>
      </c>
      <c r="BM247" t="str">
        <f ca="1">IF((OFFSET($A$1, 247 - 1, 63 - 1)) &gt;= (OFFSET($A$1, 135 - 1, 7 - 1)), "1","0")</f>
        <v>0</v>
      </c>
      <c r="BN247">
        <f ca="1" xml:space="preserve"> IF( AND( OFFSET($A$1, 247 - 1, 64 - 1) = "1", OFFSET($A$1, 247 - 1, 65 - 1) = "1" ), 1, IF( AND( OFFSET($A$1, 247 - 1, 64 - 1) = "1", OFFSET($A$1, 247 - 1, 65 - 1) = "0" ), 2, IF( AND( OFFSET($A$1, 247 - 1, 64 - 1) = "0", OFFSET($A$1, 247 - 1, 65 - 1) = "1" ), 3, 4 ) ) )</f>
        <v>2</v>
      </c>
    </row>
    <row r="248" spans="58:66" x14ac:dyDescent="0.2">
      <c r="BF248" s="3">
        <v>0</v>
      </c>
      <c r="BG248" s="3" t="str">
        <f t="shared" si="24"/>
        <v>0</v>
      </c>
      <c r="BH248" t="str">
        <f ca="1">IF((OFFSET($A$1, 248 - 1, 58 - 1)) &gt;= (OFFSET($A$1, 96 - 1, 7 - 1)), "1","0")</f>
        <v>0</v>
      </c>
      <c r="BI248">
        <f ca="1" xml:space="preserve"> IF( AND( OFFSET($A$1, 248 - 1, 59 - 1) = "1", OFFSET($A$1, 248 - 1, 60 - 1) = "1" ), 1, IF( AND( OFFSET($A$1, 248 - 1, 59 - 1) = "1", OFFSET($A$1, 248 - 1, 60 - 1) = "0" ), 2, IF( AND( OFFSET($A$1, 248 - 1, 59 - 1) = "0", OFFSET($A$1, 248 - 1, 60 - 1) = "1" ), 3, 4 ) ) )</f>
        <v>4</v>
      </c>
      <c r="BK248" s="3">
        <v>6.6350710900473939E-2</v>
      </c>
      <c r="BL248" s="3" t="str">
        <f>"0"</f>
        <v>0</v>
      </c>
      <c r="BM248" t="str">
        <f ca="1">IF((OFFSET($A$1, 248 - 1, 63 - 1)) &gt;= (OFFSET($A$1, 135 - 1, 7 - 1)), "1","0")</f>
        <v>0</v>
      </c>
      <c r="BN248">
        <f ca="1" xml:space="preserve"> IF( AND( OFFSET($A$1, 248 - 1, 64 - 1) = "1", OFFSET($A$1, 248 - 1, 65 - 1) = "1" ), 1, IF( AND( OFFSET($A$1, 248 - 1, 64 - 1) = "1", OFFSET($A$1, 248 - 1, 65 - 1) = "0" ), 2, IF( AND( OFFSET($A$1, 248 - 1, 64 - 1) = "0", OFFSET($A$1, 248 - 1, 65 - 1) = "1" ), 3, 4 ) ) )</f>
        <v>4</v>
      </c>
    </row>
    <row r="249" spans="58:66" x14ac:dyDescent="0.2">
      <c r="BF249" s="3">
        <v>0</v>
      </c>
      <c r="BG249" s="3" t="str">
        <f t="shared" si="24"/>
        <v>0</v>
      </c>
      <c r="BH249" t="str">
        <f ca="1">IF((OFFSET($A$1, 249 - 1, 58 - 1)) &gt;= (OFFSET($A$1, 96 - 1, 7 - 1)), "1","0")</f>
        <v>0</v>
      </c>
      <c r="BI249">
        <f ca="1" xml:space="preserve"> IF( AND( OFFSET($A$1, 249 - 1, 59 - 1) = "1", OFFSET($A$1, 249 - 1, 60 - 1) = "1" ), 1, IF( AND( OFFSET($A$1, 249 - 1, 59 - 1) = "1", OFFSET($A$1, 249 - 1, 60 - 1) = "0" ), 2, IF( AND( OFFSET($A$1, 249 - 1, 59 - 1) = "0", OFFSET($A$1, 249 - 1, 60 - 1) = "1" ), 3, 4 ) ) )</f>
        <v>4</v>
      </c>
      <c r="BK249" s="3">
        <v>6.6350710900473939E-2</v>
      </c>
      <c r="BL249" s="3" t="str">
        <f>"0"</f>
        <v>0</v>
      </c>
      <c r="BM249" t="str">
        <f ca="1">IF((OFFSET($A$1, 249 - 1, 63 - 1)) &gt;= (OFFSET($A$1, 135 - 1, 7 - 1)), "1","0")</f>
        <v>0</v>
      </c>
      <c r="BN249">
        <f ca="1" xml:space="preserve"> IF( AND( OFFSET($A$1, 249 - 1, 64 - 1) = "1", OFFSET($A$1, 249 - 1, 65 - 1) = "1" ), 1, IF( AND( OFFSET($A$1, 249 - 1, 64 - 1) = "1", OFFSET($A$1, 249 - 1, 65 - 1) = "0" ), 2, IF( AND( OFFSET($A$1, 249 - 1, 64 - 1) = "0", OFFSET($A$1, 249 - 1, 65 - 1) = "1" ), 3, 4 ) ) )</f>
        <v>4</v>
      </c>
    </row>
    <row r="250" spans="58:66" x14ac:dyDescent="0.2">
      <c r="BF250" s="3">
        <v>0</v>
      </c>
      <c r="BG250" s="3" t="str">
        <f t="shared" si="24"/>
        <v>0</v>
      </c>
      <c r="BH250" t="str">
        <f ca="1">IF((OFFSET($A$1, 250 - 1, 58 - 1)) &gt;= (OFFSET($A$1, 96 - 1, 7 - 1)), "1","0")</f>
        <v>0</v>
      </c>
      <c r="BI250">
        <f ca="1" xml:space="preserve"> IF( AND( OFFSET($A$1, 250 - 1, 59 - 1) = "1", OFFSET($A$1, 250 - 1, 60 - 1) = "1" ), 1, IF( AND( OFFSET($A$1, 250 - 1, 59 - 1) = "1", OFFSET($A$1, 250 - 1, 60 - 1) = "0" ), 2, IF( AND( OFFSET($A$1, 250 - 1, 59 - 1) = "0", OFFSET($A$1, 250 - 1, 60 - 1) = "1" ), 3, 4 ) ) )</f>
        <v>4</v>
      </c>
      <c r="BK250" s="3">
        <v>6.6350710900473939E-2</v>
      </c>
      <c r="BL250" s="3" t="str">
        <f>"0"</f>
        <v>0</v>
      </c>
      <c r="BM250" t="str">
        <f ca="1">IF((OFFSET($A$1, 250 - 1, 63 - 1)) &gt;= (OFFSET($A$1, 135 - 1, 7 - 1)), "1","0")</f>
        <v>0</v>
      </c>
      <c r="BN250">
        <f ca="1" xml:space="preserve"> IF( AND( OFFSET($A$1, 250 - 1, 64 - 1) = "1", OFFSET($A$1, 250 - 1, 65 - 1) = "1" ), 1, IF( AND( OFFSET($A$1, 250 - 1, 64 - 1) = "1", OFFSET($A$1, 250 - 1, 65 - 1) = "0" ), 2, IF( AND( OFFSET($A$1, 250 - 1, 64 - 1) = "0", OFFSET($A$1, 250 - 1, 65 - 1) = "1" ), 3, 4 ) ) )</f>
        <v>4</v>
      </c>
    </row>
    <row r="251" spans="58:66" x14ac:dyDescent="0.2">
      <c r="BF251" s="3">
        <v>0</v>
      </c>
      <c r="BG251" s="3" t="str">
        <f t="shared" si="24"/>
        <v>0</v>
      </c>
      <c r="BH251" t="str">
        <f ca="1">IF((OFFSET($A$1, 251 - 1, 58 - 1)) &gt;= (OFFSET($A$1, 96 - 1, 7 - 1)), "1","0")</f>
        <v>0</v>
      </c>
      <c r="BI251">
        <f ca="1" xml:space="preserve"> IF( AND( OFFSET($A$1, 251 - 1, 59 - 1) = "1", OFFSET($A$1, 251 - 1, 60 - 1) = "1" ), 1, IF( AND( OFFSET($A$1, 251 - 1, 59 - 1) = "1", OFFSET($A$1, 251 - 1, 60 - 1) = "0" ), 2, IF( AND( OFFSET($A$1, 251 - 1, 59 - 1) = "0", OFFSET($A$1, 251 - 1, 60 - 1) = "1" ), 3, 4 ) ) )</f>
        <v>4</v>
      </c>
      <c r="BK251" s="3">
        <v>2.5316455696202531E-2</v>
      </c>
      <c r="BL251" s="3" t="str">
        <f>"0"</f>
        <v>0</v>
      </c>
      <c r="BM251" t="str">
        <f ca="1">IF((OFFSET($A$1, 251 - 1, 63 - 1)) &gt;= (OFFSET($A$1, 135 - 1, 7 - 1)), "1","0")</f>
        <v>0</v>
      </c>
      <c r="BN251">
        <f ca="1" xml:space="preserve"> IF( AND( OFFSET($A$1, 251 - 1, 64 - 1) = "1", OFFSET($A$1, 251 - 1, 65 - 1) = "1" ), 1, IF( AND( OFFSET($A$1, 251 - 1, 64 - 1) = "1", OFFSET($A$1, 251 - 1, 65 - 1) = "0" ), 2, IF( AND( OFFSET($A$1, 251 - 1, 64 - 1) = "0", OFFSET($A$1, 251 - 1, 65 - 1) = "1" ), 3, 4 ) ) )</f>
        <v>4</v>
      </c>
    </row>
    <row r="252" spans="58:66" x14ac:dyDescent="0.2">
      <c r="BF252" s="3">
        <v>0</v>
      </c>
      <c r="BG252" s="3" t="str">
        <f t="shared" si="24"/>
        <v>0</v>
      </c>
      <c r="BH252" t="str">
        <f ca="1">IF((OFFSET($A$1, 252 - 1, 58 - 1)) &gt;= (OFFSET($A$1, 96 - 1, 7 - 1)), "1","0")</f>
        <v>0</v>
      </c>
      <c r="BI252">
        <f ca="1" xml:space="preserve"> IF( AND( OFFSET($A$1, 252 - 1, 59 - 1) = "1", OFFSET($A$1, 252 - 1, 60 - 1) = "1" ), 1, IF( AND( OFFSET($A$1, 252 - 1, 59 - 1) = "1", OFFSET($A$1, 252 - 1, 60 - 1) = "0" ), 2, IF( AND( OFFSET($A$1, 252 - 1, 59 - 1) = "0", OFFSET($A$1, 252 - 1, 60 - 1) = "1" ), 3, 4 ) ) )</f>
        <v>4</v>
      </c>
      <c r="BK252" s="3">
        <v>6.6350710900473939E-2</v>
      </c>
      <c r="BL252" s="3" t="str">
        <f>"0"</f>
        <v>0</v>
      </c>
      <c r="BM252" t="str">
        <f ca="1">IF((OFFSET($A$1, 252 - 1, 63 - 1)) &gt;= (OFFSET($A$1, 135 - 1, 7 - 1)), "1","0")</f>
        <v>0</v>
      </c>
      <c r="BN252">
        <f ca="1" xml:space="preserve"> IF( AND( OFFSET($A$1, 252 - 1, 64 - 1) = "1", OFFSET($A$1, 252 - 1, 65 - 1) = "1" ), 1, IF( AND( OFFSET($A$1, 252 - 1, 64 - 1) = "1", OFFSET($A$1, 252 - 1, 65 - 1) = "0" ), 2, IF( AND( OFFSET($A$1, 252 - 1, 64 - 1) = "0", OFFSET($A$1, 252 - 1, 65 - 1) = "1" ), 3, 4 ) ) )</f>
        <v>4</v>
      </c>
    </row>
    <row r="253" spans="58:66" x14ac:dyDescent="0.2">
      <c r="BF253" s="3">
        <v>0</v>
      </c>
      <c r="BG253" s="3" t="str">
        <f t="shared" si="24"/>
        <v>0</v>
      </c>
      <c r="BH253" t="str">
        <f ca="1">IF((OFFSET($A$1, 253 - 1, 58 - 1)) &gt;= (OFFSET($A$1, 96 - 1, 7 - 1)), "1","0")</f>
        <v>0</v>
      </c>
      <c r="BI253">
        <f ca="1" xml:space="preserve"> IF( AND( OFFSET($A$1, 253 - 1, 59 - 1) = "1", OFFSET($A$1, 253 - 1, 60 - 1) = "1" ), 1, IF( AND( OFFSET($A$1, 253 - 1, 59 - 1) = "1", OFFSET($A$1, 253 - 1, 60 - 1) = "0" ), 2, IF( AND( OFFSET($A$1, 253 - 1, 59 - 1) = "0", OFFSET($A$1, 253 - 1, 60 - 1) = "1" ), 3, 4 ) ) )</f>
        <v>4</v>
      </c>
      <c r="BK253" s="3">
        <v>0.90579710144927539</v>
      </c>
      <c r="BL253" s="3" t="str">
        <f>"1"</f>
        <v>1</v>
      </c>
      <c r="BM253" t="str">
        <f ca="1">IF((OFFSET($A$1, 253 - 1, 63 - 1)) &gt;= (OFFSET($A$1, 135 - 1, 7 - 1)), "1","0")</f>
        <v>1</v>
      </c>
      <c r="BN253">
        <f ca="1" xml:space="preserve"> IF( AND( OFFSET($A$1, 253 - 1, 64 - 1) = "1", OFFSET($A$1, 253 - 1, 65 - 1) = "1" ), 1, IF( AND( OFFSET($A$1, 253 - 1, 64 - 1) = "1", OFFSET($A$1, 253 - 1, 65 - 1) = "0" ), 2, IF( AND( OFFSET($A$1, 253 - 1, 64 - 1) = "0", OFFSET($A$1, 253 - 1, 65 - 1) = "1" ), 3, 4 ) ) )</f>
        <v>1</v>
      </c>
    </row>
    <row r="254" spans="58:66" x14ac:dyDescent="0.2">
      <c r="BF254" s="3">
        <v>3.7037037037037042E-2</v>
      </c>
      <c r="BG254" s="3" t="str">
        <f t="shared" si="24"/>
        <v>0</v>
      </c>
      <c r="BH254" t="str">
        <f ca="1">IF((OFFSET($A$1, 254 - 1, 58 - 1)) &gt;= (OFFSET($A$1, 96 - 1, 7 - 1)), "1","0")</f>
        <v>0</v>
      </c>
      <c r="BI254">
        <f ca="1" xml:space="preserve"> IF( AND( OFFSET($A$1, 254 - 1, 59 - 1) = "1", OFFSET($A$1, 254 - 1, 60 - 1) = "1" ), 1, IF( AND( OFFSET($A$1, 254 - 1, 59 - 1) = "1", OFFSET($A$1, 254 - 1, 60 - 1) = "0" ), 2, IF( AND( OFFSET($A$1, 254 - 1, 59 - 1) = "0", OFFSET($A$1, 254 - 1, 60 - 1) = "1" ), 3, 4 ) ) )</f>
        <v>4</v>
      </c>
      <c r="BK254" s="3">
        <v>6.6350710900473939E-2</v>
      </c>
      <c r="BL254" s="3" t="str">
        <f t="shared" ref="BL254:BL263" si="25">"0"</f>
        <v>0</v>
      </c>
      <c r="BM254" t="str">
        <f ca="1">IF((OFFSET($A$1, 254 - 1, 63 - 1)) &gt;= (OFFSET($A$1, 135 - 1, 7 - 1)), "1","0")</f>
        <v>0</v>
      </c>
      <c r="BN254">
        <f ca="1" xml:space="preserve"> IF( AND( OFFSET($A$1, 254 - 1, 64 - 1) = "1", OFFSET($A$1, 254 - 1, 65 - 1) = "1" ), 1, IF( AND( OFFSET($A$1, 254 - 1, 64 - 1) = "1", OFFSET($A$1, 254 - 1, 65 - 1) = "0" ), 2, IF( AND( OFFSET($A$1, 254 - 1, 64 - 1) = "0", OFFSET($A$1, 254 - 1, 65 - 1) = "1" ), 3, 4 ) ) )</f>
        <v>4</v>
      </c>
    </row>
    <row r="255" spans="58:66" x14ac:dyDescent="0.2">
      <c r="BF255" s="3">
        <v>0.38775510204081637</v>
      </c>
      <c r="BG255" s="3" t="str">
        <f>"1"</f>
        <v>1</v>
      </c>
      <c r="BH255" t="str">
        <f ca="1">IF((OFFSET($A$1, 255 - 1, 58 - 1)) &gt;= (OFFSET($A$1, 96 - 1, 7 - 1)), "1","0")</f>
        <v>0</v>
      </c>
      <c r="BI255">
        <f ca="1" xml:space="preserve"> IF( AND( OFFSET($A$1, 255 - 1, 59 - 1) = "1", OFFSET($A$1, 255 - 1, 60 - 1) = "1" ), 1, IF( AND( OFFSET($A$1, 255 - 1, 59 - 1) = "1", OFFSET($A$1, 255 - 1, 60 - 1) = "0" ), 2, IF( AND( OFFSET($A$1, 255 - 1, 59 - 1) = "0", OFFSET($A$1, 255 - 1, 60 - 1) = "1" ), 3, 4 ) ) )</f>
        <v>2</v>
      </c>
      <c r="BK255" s="3">
        <v>6.6350710900473939E-2</v>
      </c>
      <c r="BL255" s="3" t="str">
        <f t="shared" si="25"/>
        <v>0</v>
      </c>
      <c r="BM255" t="str">
        <f ca="1">IF((OFFSET($A$1, 255 - 1, 63 - 1)) &gt;= (OFFSET($A$1, 135 - 1, 7 - 1)), "1","0")</f>
        <v>0</v>
      </c>
      <c r="BN255">
        <f ca="1" xml:space="preserve"> IF( AND( OFFSET($A$1, 255 - 1, 64 - 1) = "1", OFFSET($A$1, 255 - 1, 65 - 1) = "1" ), 1, IF( AND( OFFSET($A$1, 255 - 1, 64 - 1) = "1", OFFSET($A$1, 255 - 1, 65 - 1) = "0" ), 2, IF( AND( OFFSET($A$1, 255 - 1, 64 - 1) = "0", OFFSET($A$1, 255 - 1, 65 - 1) = "1" ), 3, 4 ) ) )</f>
        <v>4</v>
      </c>
    </row>
    <row r="256" spans="58:66" x14ac:dyDescent="0.2">
      <c r="BF256" s="3">
        <v>0</v>
      </c>
      <c r="BG256" s="3" t="str">
        <f t="shared" ref="BG256:BG261" si="26">"0"</f>
        <v>0</v>
      </c>
      <c r="BH256" t="str">
        <f ca="1">IF((OFFSET($A$1, 256 - 1, 58 - 1)) &gt;= (OFFSET($A$1, 96 - 1, 7 - 1)), "1","0")</f>
        <v>0</v>
      </c>
      <c r="BI256">
        <f ca="1" xml:space="preserve"> IF( AND( OFFSET($A$1, 256 - 1, 59 - 1) = "1", OFFSET($A$1, 256 - 1, 60 - 1) = "1" ), 1, IF( AND( OFFSET($A$1, 256 - 1, 59 - 1) = "1", OFFSET($A$1, 256 - 1, 60 - 1) = "0" ), 2, IF( AND( OFFSET($A$1, 256 - 1, 59 - 1) = "0", OFFSET($A$1, 256 - 1, 60 - 1) = "1" ), 3, 4 ) ) )</f>
        <v>4</v>
      </c>
      <c r="BK256" s="3">
        <v>6.6350710900473939E-2</v>
      </c>
      <c r="BL256" s="3" t="str">
        <f t="shared" si="25"/>
        <v>0</v>
      </c>
      <c r="BM256" t="str">
        <f ca="1">IF((OFFSET($A$1, 256 - 1, 63 - 1)) &gt;= (OFFSET($A$1, 135 - 1, 7 - 1)), "1","0")</f>
        <v>0</v>
      </c>
      <c r="BN256">
        <f ca="1" xml:space="preserve"> IF( AND( OFFSET($A$1, 256 - 1, 64 - 1) = "1", OFFSET($A$1, 256 - 1, 65 - 1) = "1" ), 1, IF( AND( OFFSET($A$1, 256 - 1, 64 - 1) = "1", OFFSET($A$1, 256 - 1, 65 - 1) = "0" ), 2, IF( AND( OFFSET($A$1, 256 - 1, 64 - 1) = "0", OFFSET($A$1, 256 - 1, 65 - 1) = "1" ), 3, 4 ) ) )</f>
        <v>4</v>
      </c>
    </row>
    <row r="257" spans="58:66" x14ac:dyDescent="0.2">
      <c r="BF257" s="3">
        <v>0.36</v>
      </c>
      <c r="BG257" s="3" t="str">
        <f t="shared" si="26"/>
        <v>0</v>
      </c>
      <c r="BH257" t="str">
        <f ca="1">IF((OFFSET($A$1, 257 - 1, 58 - 1)) &gt;= (OFFSET($A$1, 96 - 1, 7 - 1)), "1","0")</f>
        <v>0</v>
      </c>
      <c r="BI257">
        <f ca="1" xml:space="preserve"> IF( AND( OFFSET($A$1, 257 - 1, 59 - 1) = "1", OFFSET($A$1, 257 - 1, 60 - 1) = "1" ), 1, IF( AND( OFFSET($A$1, 257 - 1, 59 - 1) = "1", OFFSET($A$1, 257 - 1, 60 - 1) = "0" ), 2, IF( AND( OFFSET($A$1, 257 - 1, 59 - 1) = "0", OFFSET($A$1, 257 - 1, 60 - 1) = "1" ), 3, 4 ) ) )</f>
        <v>4</v>
      </c>
      <c r="BK257" s="3">
        <v>6.6350710900473939E-2</v>
      </c>
      <c r="BL257" s="3" t="str">
        <f t="shared" si="25"/>
        <v>0</v>
      </c>
      <c r="BM257" t="str">
        <f ca="1">IF((OFFSET($A$1, 257 - 1, 63 - 1)) &gt;= (OFFSET($A$1, 135 - 1, 7 - 1)), "1","0")</f>
        <v>0</v>
      </c>
      <c r="BN257">
        <f ca="1" xml:space="preserve"> IF( AND( OFFSET($A$1, 257 - 1, 64 - 1) = "1", OFFSET($A$1, 257 - 1, 65 - 1) = "1" ), 1, IF( AND( OFFSET($A$1, 257 - 1, 64 - 1) = "1", OFFSET($A$1, 257 - 1, 65 - 1) = "0" ), 2, IF( AND( OFFSET($A$1, 257 - 1, 64 - 1) = "0", OFFSET($A$1, 257 - 1, 65 - 1) = "1" ), 3, 4 ) ) )</f>
        <v>4</v>
      </c>
    </row>
    <row r="258" spans="58:66" x14ac:dyDescent="0.2">
      <c r="BF258" s="3">
        <v>3.7037037037037042E-2</v>
      </c>
      <c r="BG258" s="3" t="str">
        <f t="shared" si="26"/>
        <v>0</v>
      </c>
      <c r="BH258" t="str">
        <f ca="1">IF((OFFSET($A$1, 258 - 1, 58 - 1)) &gt;= (OFFSET($A$1, 96 - 1, 7 - 1)), "1","0")</f>
        <v>0</v>
      </c>
      <c r="BI258">
        <f ca="1" xml:space="preserve"> IF( AND( OFFSET($A$1, 258 - 1, 59 - 1) = "1", OFFSET($A$1, 258 - 1, 60 - 1) = "1" ), 1, IF( AND( OFFSET($A$1, 258 - 1, 59 - 1) = "1", OFFSET($A$1, 258 - 1, 60 - 1) = "0" ), 2, IF( AND( OFFSET($A$1, 258 - 1, 59 - 1) = "0", OFFSET($A$1, 258 - 1, 60 - 1) = "1" ), 3, 4 ) ) )</f>
        <v>4</v>
      </c>
      <c r="BK258" s="3">
        <v>6.6350710900473939E-2</v>
      </c>
      <c r="BL258" s="3" t="str">
        <f t="shared" si="25"/>
        <v>0</v>
      </c>
      <c r="BM258" t="str">
        <f ca="1">IF((OFFSET($A$1, 258 - 1, 63 - 1)) &gt;= (OFFSET($A$1, 135 - 1, 7 - 1)), "1","0")</f>
        <v>0</v>
      </c>
      <c r="BN258">
        <f ca="1" xml:space="preserve"> IF( AND( OFFSET($A$1, 258 - 1, 64 - 1) = "1", OFFSET($A$1, 258 - 1, 65 - 1) = "1" ), 1, IF( AND( OFFSET($A$1, 258 - 1, 64 - 1) = "1", OFFSET($A$1, 258 - 1, 65 - 1) = "0" ), 2, IF( AND( OFFSET($A$1, 258 - 1, 64 - 1) = "0", OFFSET($A$1, 258 - 1, 65 - 1) = "1" ), 3, 4 ) ) )</f>
        <v>4</v>
      </c>
    </row>
    <row r="259" spans="58:66" x14ac:dyDescent="0.2">
      <c r="BF259" s="3">
        <v>0</v>
      </c>
      <c r="BG259" s="3" t="str">
        <f t="shared" si="26"/>
        <v>0</v>
      </c>
      <c r="BH259" t="str">
        <f ca="1">IF((OFFSET($A$1, 259 - 1, 58 - 1)) &gt;= (OFFSET($A$1, 96 - 1, 7 - 1)), "1","0")</f>
        <v>0</v>
      </c>
      <c r="BI259">
        <f ca="1" xml:space="preserve"> IF( AND( OFFSET($A$1, 259 - 1, 59 - 1) = "1", OFFSET($A$1, 259 - 1, 60 - 1) = "1" ), 1, IF( AND( OFFSET($A$1, 259 - 1, 59 - 1) = "1", OFFSET($A$1, 259 - 1, 60 - 1) = "0" ), 2, IF( AND( OFFSET($A$1, 259 - 1, 59 - 1) = "0", OFFSET($A$1, 259 - 1, 60 - 1) = "1" ), 3, 4 ) ) )</f>
        <v>4</v>
      </c>
      <c r="BK259" s="3">
        <v>6.6350710900473939E-2</v>
      </c>
      <c r="BL259" s="3" t="str">
        <f t="shared" si="25"/>
        <v>0</v>
      </c>
      <c r="BM259" t="str">
        <f ca="1">IF((OFFSET($A$1, 259 - 1, 63 - 1)) &gt;= (OFFSET($A$1, 135 - 1, 7 - 1)), "1","0")</f>
        <v>0</v>
      </c>
      <c r="BN259">
        <f ca="1" xml:space="preserve"> IF( AND( OFFSET($A$1, 259 - 1, 64 - 1) = "1", OFFSET($A$1, 259 - 1, 65 - 1) = "1" ), 1, IF( AND( OFFSET($A$1, 259 - 1, 64 - 1) = "1", OFFSET($A$1, 259 - 1, 65 - 1) = "0" ), 2, IF( AND( OFFSET($A$1, 259 - 1, 64 - 1) = "0", OFFSET($A$1, 259 - 1, 65 - 1) = "1" ), 3, 4 ) ) )</f>
        <v>4</v>
      </c>
    </row>
    <row r="260" spans="58:66" x14ac:dyDescent="0.2">
      <c r="BF260" s="3">
        <v>0.38775510204081637</v>
      </c>
      <c r="BG260" s="3" t="str">
        <f t="shared" si="26"/>
        <v>0</v>
      </c>
      <c r="BH260" t="str">
        <f ca="1">IF((OFFSET($A$1, 260 - 1, 58 - 1)) &gt;= (OFFSET($A$1, 96 - 1, 7 - 1)), "1","0")</f>
        <v>0</v>
      </c>
      <c r="BI260">
        <f ca="1" xml:space="preserve"> IF( AND( OFFSET($A$1, 260 - 1, 59 - 1) = "1", OFFSET($A$1, 260 - 1, 60 - 1) = "1" ), 1, IF( AND( OFFSET($A$1, 260 - 1, 59 - 1) = "1", OFFSET($A$1, 260 - 1, 60 - 1) = "0" ), 2, IF( AND( OFFSET($A$1, 260 - 1, 59 - 1) = "0", OFFSET($A$1, 260 - 1, 60 - 1) = "1" ), 3, 4 ) ) )</f>
        <v>4</v>
      </c>
      <c r="BK260" s="3">
        <v>6.6350710900473939E-2</v>
      </c>
      <c r="BL260" s="3" t="str">
        <f t="shared" si="25"/>
        <v>0</v>
      </c>
      <c r="BM260" t="str">
        <f ca="1">IF((OFFSET($A$1, 260 - 1, 63 - 1)) &gt;= (OFFSET($A$1, 135 - 1, 7 - 1)), "1","0")</f>
        <v>0</v>
      </c>
      <c r="BN260">
        <f ca="1" xml:space="preserve"> IF( AND( OFFSET($A$1, 260 - 1, 64 - 1) = "1", OFFSET($A$1, 260 - 1, 65 - 1) = "1" ), 1, IF( AND( OFFSET($A$1, 260 - 1, 64 - 1) = "1", OFFSET($A$1, 260 - 1, 65 - 1) = "0" ), 2, IF( AND( OFFSET($A$1, 260 - 1, 64 - 1) = "0", OFFSET($A$1, 260 - 1, 65 - 1) = "1" ), 3, 4 ) ) )</f>
        <v>4</v>
      </c>
    </row>
    <row r="261" spans="58:66" x14ac:dyDescent="0.2">
      <c r="BF261" s="3">
        <v>3.7037037037037042E-2</v>
      </c>
      <c r="BG261" s="3" t="str">
        <f t="shared" si="26"/>
        <v>0</v>
      </c>
      <c r="BH261" t="str">
        <f ca="1">IF((OFFSET($A$1, 261 - 1, 58 - 1)) &gt;= (OFFSET($A$1, 96 - 1, 7 - 1)), "1","0")</f>
        <v>0</v>
      </c>
      <c r="BI261">
        <f ca="1" xml:space="preserve"> IF( AND( OFFSET($A$1, 261 - 1, 59 - 1) = "1", OFFSET($A$1, 261 - 1, 60 - 1) = "1" ), 1, IF( AND( OFFSET($A$1, 261 - 1, 59 - 1) = "1", OFFSET($A$1, 261 - 1, 60 - 1) = "0" ), 2, IF( AND( OFFSET($A$1, 261 - 1, 59 - 1) = "0", OFFSET($A$1, 261 - 1, 60 - 1) = "1" ), 3, 4 ) ) )</f>
        <v>4</v>
      </c>
      <c r="BK261" s="3">
        <v>0.38775510204081637</v>
      </c>
      <c r="BL261" s="3" t="str">
        <f t="shared" si="25"/>
        <v>0</v>
      </c>
      <c r="BM261" t="str">
        <f ca="1">IF((OFFSET($A$1, 261 - 1, 63 - 1)) &gt;= (OFFSET($A$1, 135 - 1, 7 - 1)), "1","0")</f>
        <v>0</v>
      </c>
      <c r="BN261">
        <f ca="1" xml:space="preserve"> IF( AND( OFFSET($A$1, 261 - 1, 64 - 1) = "1", OFFSET($A$1, 261 - 1, 65 - 1) = "1" ), 1, IF( AND( OFFSET($A$1, 261 - 1, 64 - 1) = "1", OFFSET($A$1, 261 - 1, 65 - 1) = "0" ), 2, IF( AND( OFFSET($A$1, 261 - 1, 64 - 1) = "0", OFFSET($A$1, 261 - 1, 65 - 1) = "1" ), 3, 4 ) ) )</f>
        <v>4</v>
      </c>
    </row>
    <row r="262" spans="58:66" x14ac:dyDescent="0.2">
      <c r="BF262" s="3">
        <v>0.90579710144927539</v>
      </c>
      <c r="BG262" s="3" t="str">
        <f>"1"</f>
        <v>1</v>
      </c>
      <c r="BH262" t="str">
        <f ca="1">IF((OFFSET($A$1, 262 - 1, 58 - 1)) &gt;= (OFFSET($A$1, 96 - 1, 7 - 1)), "1","0")</f>
        <v>1</v>
      </c>
      <c r="BI262">
        <f ca="1" xml:space="preserve"> IF( AND( OFFSET($A$1, 262 - 1, 59 - 1) = "1", OFFSET($A$1, 262 - 1, 60 - 1) = "1" ), 1, IF( AND( OFFSET($A$1, 262 - 1, 59 - 1) = "1", OFFSET($A$1, 262 - 1, 60 - 1) = "0" ), 2, IF( AND( OFFSET($A$1, 262 - 1, 59 - 1) = "0", OFFSET($A$1, 262 - 1, 60 - 1) = "1" ), 3, 4 ) ) )</f>
        <v>1</v>
      </c>
      <c r="BK262" s="3">
        <v>6.6350710900473939E-2</v>
      </c>
      <c r="BL262" s="3" t="str">
        <f t="shared" si="25"/>
        <v>0</v>
      </c>
      <c r="BM262" t="str">
        <f ca="1">IF((OFFSET($A$1, 262 - 1, 63 - 1)) &gt;= (OFFSET($A$1, 135 - 1, 7 - 1)), "1","0")</f>
        <v>0</v>
      </c>
      <c r="BN262">
        <f ca="1" xml:space="preserve"> IF( AND( OFFSET($A$1, 262 - 1, 64 - 1) = "1", OFFSET($A$1, 262 - 1, 65 - 1) = "1" ), 1, IF( AND( OFFSET($A$1, 262 - 1, 64 - 1) = "1", OFFSET($A$1, 262 - 1, 65 - 1) = "0" ), 2, IF( AND( OFFSET($A$1, 262 - 1, 64 - 1) = "0", OFFSET($A$1, 262 - 1, 65 - 1) = "1" ), 3, 4 ) ) )</f>
        <v>4</v>
      </c>
    </row>
    <row r="263" spans="58:66" x14ac:dyDescent="0.2">
      <c r="BF263" s="3">
        <v>0.38775510204081637</v>
      </c>
      <c r="BG263" s="3" t="str">
        <f>"0"</f>
        <v>0</v>
      </c>
      <c r="BH263" t="str">
        <f ca="1">IF((OFFSET($A$1, 263 - 1, 58 - 1)) &gt;= (OFFSET($A$1, 96 - 1, 7 - 1)), "1","0")</f>
        <v>0</v>
      </c>
      <c r="BI263">
        <f ca="1" xml:space="preserve"> IF( AND( OFFSET($A$1, 263 - 1, 59 - 1) = "1", OFFSET($A$1, 263 - 1, 60 - 1) = "1" ), 1, IF( AND( OFFSET($A$1, 263 - 1, 59 - 1) = "1", OFFSET($A$1, 263 - 1, 60 - 1) = "0" ), 2, IF( AND( OFFSET($A$1, 263 - 1, 59 - 1) = "0", OFFSET($A$1, 263 - 1, 60 - 1) = "1" ), 3, 4 ) ) )</f>
        <v>4</v>
      </c>
      <c r="BK263" s="3">
        <v>6.6350710900473939E-2</v>
      </c>
      <c r="BL263" s="3" t="str">
        <f t="shared" si="25"/>
        <v>0</v>
      </c>
      <c r="BM263" t="str">
        <f ca="1">IF((OFFSET($A$1, 263 - 1, 63 - 1)) &gt;= (OFFSET($A$1, 135 - 1, 7 - 1)), "1","0")</f>
        <v>0</v>
      </c>
      <c r="BN263">
        <f ca="1" xml:space="preserve"> IF( AND( OFFSET($A$1, 263 - 1, 64 - 1) = "1", OFFSET($A$1, 263 - 1, 65 - 1) = "1" ), 1, IF( AND( OFFSET($A$1, 263 - 1, 64 - 1) = "1", OFFSET($A$1, 263 - 1, 65 - 1) = "0" ), 2, IF( AND( OFFSET($A$1, 263 - 1, 64 - 1) = "0", OFFSET($A$1, 263 - 1, 65 - 1) = "1" ), 3, 4 ) ) )</f>
        <v>4</v>
      </c>
    </row>
    <row r="264" spans="58:66" x14ac:dyDescent="0.2">
      <c r="BF264" s="3">
        <v>0</v>
      </c>
      <c r="BG264" s="3" t="str">
        <f>"0"</f>
        <v>0</v>
      </c>
      <c r="BH264" t="str">
        <f ca="1">IF((OFFSET($A$1, 264 - 1, 58 - 1)) &gt;= (OFFSET($A$1, 96 - 1, 7 - 1)), "1","0")</f>
        <v>0</v>
      </c>
      <c r="BI264">
        <f ca="1" xml:space="preserve"> IF( AND( OFFSET($A$1, 264 - 1, 59 - 1) = "1", OFFSET($A$1, 264 - 1, 60 - 1) = "1" ), 1, IF( AND( OFFSET($A$1, 264 - 1, 59 - 1) = "1", OFFSET($A$1, 264 - 1, 60 - 1) = "0" ), 2, IF( AND( OFFSET($A$1, 264 - 1, 59 - 1) = "0", OFFSET($A$1, 264 - 1, 60 - 1) = "1" ), 3, 4 ) ) )</f>
        <v>4</v>
      </c>
      <c r="BK264" s="3">
        <v>0.38775510204081637</v>
      </c>
      <c r="BL264" s="3" t="str">
        <f>"1"</f>
        <v>1</v>
      </c>
      <c r="BM264" t="str">
        <f ca="1">IF((OFFSET($A$1, 264 - 1, 63 - 1)) &gt;= (OFFSET($A$1, 135 - 1, 7 - 1)), "1","0")</f>
        <v>0</v>
      </c>
      <c r="BN264">
        <f ca="1" xml:space="preserve"> IF( AND( OFFSET($A$1, 264 - 1, 64 - 1) = "1", OFFSET($A$1, 264 - 1, 65 - 1) = "1" ), 1, IF( AND( OFFSET($A$1, 264 - 1, 64 - 1) = "1", OFFSET($A$1, 264 - 1, 65 - 1) = "0" ), 2, IF( AND( OFFSET($A$1, 264 - 1, 64 - 1) = "0", OFFSET($A$1, 264 - 1, 65 - 1) = "1" ), 3, 4 ) ) )</f>
        <v>2</v>
      </c>
    </row>
    <row r="265" spans="58:66" x14ac:dyDescent="0.2">
      <c r="BF265" s="3">
        <v>3.7037037037037042E-2</v>
      </c>
      <c r="BG265" s="3" t="str">
        <f>"0"</f>
        <v>0</v>
      </c>
      <c r="BH265" t="str">
        <f ca="1">IF((OFFSET($A$1, 265 - 1, 58 - 1)) &gt;= (OFFSET($A$1, 96 - 1, 7 - 1)), "1","0")</f>
        <v>0</v>
      </c>
      <c r="BI265">
        <f ca="1" xml:space="preserve"> IF( AND( OFFSET($A$1, 265 - 1, 59 - 1) = "1", OFFSET($A$1, 265 - 1, 60 - 1) = "1" ), 1, IF( AND( OFFSET($A$1, 265 - 1, 59 - 1) = "1", OFFSET($A$1, 265 - 1, 60 - 1) = "0" ), 2, IF( AND( OFFSET($A$1, 265 - 1, 59 - 1) = "0", OFFSET($A$1, 265 - 1, 60 - 1) = "1" ), 3, 4 ) ) )</f>
        <v>4</v>
      </c>
      <c r="BK265" s="3">
        <v>6.6350710900473939E-2</v>
      </c>
      <c r="BL265" s="3" t="str">
        <f>"0"</f>
        <v>0</v>
      </c>
      <c r="BM265" t="str">
        <f ca="1">IF((OFFSET($A$1, 265 - 1, 63 - 1)) &gt;= (OFFSET($A$1, 135 - 1, 7 - 1)), "1","0")</f>
        <v>0</v>
      </c>
      <c r="BN265">
        <f ca="1" xml:space="preserve"> IF( AND( OFFSET($A$1, 265 - 1, 64 - 1) = "1", OFFSET($A$1, 265 - 1, 65 - 1) = "1" ), 1, IF( AND( OFFSET($A$1, 265 - 1, 64 - 1) = "1", OFFSET($A$1, 265 - 1, 65 - 1) = "0" ), 2, IF( AND( OFFSET($A$1, 265 - 1, 64 - 1) = "0", OFFSET($A$1, 265 - 1, 65 - 1) = "1" ), 3, 4 ) ) )</f>
        <v>4</v>
      </c>
    </row>
    <row r="266" spans="58:66" x14ac:dyDescent="0.2">
      <c r="BF266" s="3">
        <v>0</v>
      </c>
      <c r="BG266" s="3" t="str">
        <f>"0"</f>
        <v>0</v>
      </c>
      <c r="BH266" t="str">
        <f ca="1">IF((OFFSET($A$1, 266 - 1, 58 - 1)) &gt;= (OFFSET($A$1, 96 - 1, 7 - 1)), "1","0")</f>
        <v>0</v>
      </c>
      <c r="BI266">
        <f ca="1" xml:space="preserve"> IF( AND( OFFSET($A$1, 266 - 1, 59 - 1) = "1", OFFSET($A$1, 266 - 1, 60 - 1) = "1" ), 1, IF( AND( OFFSET($A$1, 266 - 1, 59 - 1) = "1", OFFSET($A$1, 266 - 1, 60 - 1) = "0" ), 2, IF( AND( OFFSET($A$1, 266 - 1, 59 - 1) = "0", OFFSET($A$1, 266 - 1, 60 - 1) = "1" ), 3, 4 ) ) )</f>
        <v>4</v>
      </c>
      <c r="BK266" s="3">
        <v>6.6350710900473939E-2</v>
      </c>
      <c r="BL266" s="3" t="str">
        <f>"0"</f>
        <v>0</v>
      </c>
      <c r="BM266" t="str">
        <f ca="1">IF((OFFSET($A$1, 266 - 1, 63 - 1)) &gt;= (OFFSET($A$1, 135 - 1, 7 - 1)), "1","0")</f>
        <v>0</v>
      </c>
      <c r="BN266">
        <f ca="1" xml:space="preserve"> IF( AND( OFFSET($A$1, 266 - 1, 64 - 1) = "1", OFFSET($A$1, 266 - 1, 65 - 1) = "1" ), 1, IF( AND( OFFSET($A$1, 266 - 1, 64 - 1) = "1", OFFSET($A$1, 266 - 1, 65 - 1) = "0" ), 2, IF( AND( OFFSET($A$1, 266 - 1, 64 - 1) = "0", OFFSET($A$1, 266 - 1, 65 - 1) = "1" ), 3, 4 ) ) )</f>
        <v>4</v>
      </c>
    </row>
    <row r="267" spans="58:66" x14ac:dyDescent="0.2">
      <c r="BF267" s="3">
        <v>0</v>
      </c>
      <c r="BG267" s="3" t="str">
        <f>"0"</f>
        <v>0</v>
      </c>
      <c r="BH267" t="str">
        <f ca="1">IF((OFFSET($A$1, 267 - 1, 58 - 1)) &gt;= (OFFSET($A$1, 96 - 1, 7 - 1)), "1","0")</f>
        <v>0</v>
      </c>
      <c r="BI267">
        <f ca="1" xml:space="preserve"> IF( AND( OFFSET($A$1, 267 - 1, 59 - 1) = "1", OFFSET($A$1, 267 - 1, 60 - 1) = "1" ), 1, IF( AND( OFFSET($A$1, 267 - 1, 59 - 1) = "1", OFFSET($A$1, 267 - 1, 60 - 1) = "0" ), 2, IF( AND( OFFSET($A$1, 267 - 1, 59 - 1) = "0", OFFSET($A$1, 267 - 1, 60 - 1) = "1" ), 3, 4 ) ) )</f>
        <v>4</v>
      </c>
      <c r="BK267" s="3">
        <v>0.90579710144927539</v>
      </c>
      <c r="BL267" s="3" t="str">
        <f>"1"</f>
        <v>1</v>
      </c>
      <c r="BM267" t="str">
        <f ca="1">IF((OFFSET($A$1, 267 - 1, 63 - 1)) &gt;= (OFFSET($A$1, 135 - 1, 7 - 1)), "1","0")</f>
        <v>1</v>
      </c>
      <c r="BN267">
        <f ca="1" xml:space="preserve"> IF( AND( OFFSET($A$1, 267 - 1, 64 - 1) = "1", OFFSET($A$1, 267 - 1, 65 - 1) = "1" ), 1, IF( AND( OFFSET($A$1, 267 - 1, 64 - 1) = "1", OFFSET($A$1, 267 - 1, 65 - 1) = "0" ), 2, IF( AND( OFFSET($A$1, 267 - 1, 64 - 1) = "0", OFFSET($A$1, 267 - 1, 65 - 1) = "1" ), 3, 4 ) ) )</f>
        <v>1</v>
      </c>
    </row>
    <row r="268" spans="58:66" x14ac:dyDescent="0.2">
      <c r="BF268" s="3">
        <v>0.90579710144927539</v>
      </c>
      <c r="BG268" s="3" t="str">
        <f>"1"</f>
        <v>1</v>
      </c>
      <c r="BH268" t="str">
        <f ca="1">IF((OFFSET($A$1, 268 - 1, 58 - 1)) &gt;= (OFFSET($A$1, 96 - 1, 7 - 1)), "1","0")</f>
        <v>1</v>
      </c>
      <c r="BI268">
        <f ca="1" xml:space="preserve"> IF( AND( OFFSET($A$1, 268 - 1, 59 - 1) = "1", OFFSET($A$1, 268 - 1, 60 - 1) = "1" ), 1, IF( AND( OFFSET($A$1, 268 - 1, 59 - 1) = "1", OFFSET($A$1, 268 - 1, 60 - 1) = "0" ), 2, IF( AND( OFFSET($A$1, 268 - 1, 59 - 1) = "0", OFFSET($A$1, 268 - 1, 60 - 1) = "1" ), 3, 4 ) ) )</f>
        <v>1</v>
      </c>
      <c r="BK268" s="3">
        <v>0.36</v>
      </c>
      <c r="BL268" s="3" t="str">
        <f>"1"</f>
        <v>1</v>
      </c>
      <c r="BM268" t="str">
        <f ca="1">IF((OFFSET($A$1, 268 - 1, 63 - 1)) &gt;= (OFFSET($A$1, 135 - 1, 7 - 1)), "1","0")</f>
        <v>0</v>
      </c>
      <c r="BN268">
        <f ca="1" xml:space="preserve"> IF( AND( OFFSET($A$1, 268 - 1, 64 - 1) = "1", OFFSET($A$1, 268 - 1, 65 - 1) = "1" ), 1, IF( AND( OFFSET($A$1, 268 - 1, 64 - 1) = "1", OFFSET($A$1, 268 - 1, 65 - 1) = "0" ), 2, IF( AND( OFFSET($A$1, 268 - 1, 64 - 1) = "0", OFFSET($A$1, 268 - 1, 65 - 1) = "1" ), 3, 4 ) ) )</f>
        <v>2</v>
      </c>
    </row>
    <row r="269" spans="58:66" x14ac:dyDescent="0.2">
      <c r="BF269" s="3">
        <v>0</v>
      </c>
      <c r="BG269" s="3" t="str">
        <f t="shared" ref="BG269:BG277" si="27">"0"</f>
        <v>0</v>
      </c>
      <c r="BH269" t="str">
        <f ca="1">IF((OFFSET($A$1, 269 - 1, 58 - 1)) &gt;= (OFFSET($A$1, 96 - 1, 7 - 1)), "1","0")</f>
        <v>0</v>
      </c>
      <c r="BI269">
        <f ca="1" xml:space="preserve"> IF( AND( OFFSET($A$1, 269 - 1, 59 - 1) = "1", OFFSET($A$1, 269 - 1, 60 - 1) = "1" ), 1, IF( AND( OFFSET($A$1, 269 - 1, 59 - 1) = "1", OFFSET($A$1, 269 - 1, 60 - 1) = "0" ), 2, IF( AND( OFFSET($A$1, 269 - 1, 59 - 1) = "0", OFFSET($A$1, 269 - 1, 60 - 1) = "1" ), 3, 4 ) ) )</f>
        <v>4</v>
      </c>
      <c r="BK269" s="3">
        <v>6.6350710900473939E-2</v>
      </c>
      <c r="BL269" s="3" t="str">
        <f>"0"</f>
        <v>0</v>
      </c>
      <c r="BM269" t="str">
        <f ca="1">IF((OFFSET($A$1, 269 - 1, 63 - 1)) &gt;= (OFFSET($A$1, 135 - 1, 7 - 1)), "1","0")</f>
        <v>0</v>
      </c>
      <c r="BN269">
        <f ca="1" xml:space="preserve"> IF( AND( OFFSET($A$1, 269 - 1, 64 - 1) = "1", OFFSET($A$1, 269 - 1, 65 - 1) = "1" ), 1, IF( AND( OFFSET($A$1, 269 - 1, 64 - 1) = "1", OFFSET($A$1, 269 - 1, 65 - 1) = "0" ), 2, IF( AND( OFFSET($A$1, 269 - 1, 64 - 1) = "0", OFFSET($A$1, 269 - 1, 65 - 1) = "1" ), 3, 4 ) ) )</f>
        <v>4</v>
      </c>
    </row>
    <row r="270" spans="58:66" x14ac:dyDescent="0.2">
      <c r="BF270" s="3">
        <v>0.38775510204081637</v>
      </c>
      <c r="BG270" s="3" t="str">
        <f t="shared" si="27"/>
        <v>0</v>
      </c>
      <c r="BH270" t="str">
        <f ca="1">IF((OFFSET($A$1, 270 - 1, 58 - 1)) &gt;= (OFFSET($A$1, 96 - 1, 7 - 1)), "1","0")</f>
        <v>0</v>
      </c>
      <c r="BI270">
        <f ca="1" xml:space="preserve"> IF( AND( OFFSET($A$1, 270 - 1, 59 - 1) = "1", OFFSET($A$1, 270 - 1, 60 - 1) = "1" ), 1, IF( AND( OFFSET($A$1, 270 - 1, 59 - 1) = "1", OFFSET($A$1, 270 - 1, 60 - 1) = "0" ), 2, IF( AND( OFFSET($A$1, 270 - 1, 59 - 1) = "0", OFFSET($A$1, 270 - 1, 60 - 1) = "1" ), 3, 4 ) ) )</f>
        <v>4</v>
      </c>
      <c r="BK270" s="3">
        <v>0.36</v>
      </c>
      <c r="BL270" s="3" t="str">
        <f>"1"</f>
        <v>1</v>
      </c>
      <c r="BM270" t="str">
        <f ca="1">IF((OFFSET($A$1, 270 - 1, 63 - 1)) &gt;= (OFFSET($A$1, 135 - 1, 7 - 1)), "1","0")</f>
        <v>0</v>
      </c>
      <c r="BN270">
        <f ca="1" xml:space="preserve"> IF( AND( OFFSET($A$1, 270 - 1, 64 - 1) = "1", OFFSET($A$1, 270 - 1, 65 - 1) = "1" ), 1, IF( AND( OFFSET($A$1, 270 - 1, 64 - 1) = "1", OFFSET($A$1, 270 - 1, 65 - 1) = "0" ), 2, IF( AND( OFFSET($A$1, 270 - 1, 64 - 1) = "0", OFFSET($A$1, 270 - 1, 65 - 1) = "1" ), 3, 4 ) ) )</f>
        <v>2</v>
      </c>
    </row>
    <row r="271" spans="58:66" x14ac:dyDescent="0.2">
      <c r="BF271" s="3">
        <v>0.34722222222222221</v>
      </c>
      <c r="BG271" s="3" t="str">
        <f t="shared" si="27"/>
        <v>0</v>
      </c>
      <c r="BH271" t="str">
        <f ca="1">IF((OFFSET($A$1, 271 - 1, 58 - 1)) &gt;= (OFFSET($A$1, 96 - 1, 7 - 1)), "1","0")</f>
        <v>0</v>
      </c>
      <c r="BI271">
        <f ca="1" xml:space="preserve"> IF( AND( OFFSET($A$1, 271 - 1, 59 - 1) = "1", OFFSET($A$1, 271 - 1, 60 - 1) = "1" ), 1, IF( AND( OFFSET($A$1, 271 - 1, 59 - 1) = "1", OFFSET($A$1, 271 - 1, 60 - 1) = "0" ), 2, IF( AND( OFFSET($A$1, 271 - 1, 59 - 1) = "0", OFFSET($A$1, 271 - 1, 60 - 1) = "1" ), 3, 4 ) ) )</f>
        <v>4</v>
      </c>
      <c r="BK271" s="3">
        <v>6.6350710900473939E-2</v>
      </c>
      <c r="BL271" s="3" t="str">
        <f>"0"</f>
        <v>0</v>
      </c>
      <c r="BM271" t="str">
        <f ca="1">IF((OFFSET($A$1, 271 - 1, 63 - 1)) &gt;= (OFFSET($A$1, 135 - 1, 7 - 1)), "1","0")</f>
        <v>0</v>
      </c>
      <c r="BN271">
        <f ca="1" xml:space="preserve"> IF( AND( OFFSET($A$1, 271 - 1, 64 - 1) = "1", OFFSET($A$1, 271 - 1, 65 - 1) = "1" ), 1, IF( AND( OFFSET($A$1, 271 - 1, 64 - 1) = "1", OFFSET($A$1, 271 - 1, 65 - 1) = "0" ), 2, IF( AND( OFFSET($A$1, 271 - 1, 64 - 1) = "0", OFFSET($A$1, 271 - 1, 65 - 1) = "1" ), 3, 4 ) ) )</f>
        <v>4</v>
      </c>
    </row>
    <row r="272" spans="58:66" x14ac:dyDescent="0.2">
      <c r="BF272" s="3">
        <v>0</v>
      </c>
      <c r="BG272" s="3" t="str">
        <f t="shared" si="27"/>
        <v>0</v>
      </c>
      <c r="BH272" t="str">
        <f ca="1">IF((OFFSET($A$1, 272 - 1, 58 - 1)) &gt;= (OFFSET($A$1, 96 - 1, 7 - 1)), "1","0")</f>
        <v>0</v>
      </c>
      <c r="BI272">
        <f ca="1" xml:space="preserve"> IF( AND( OFFSET($A$1, 272 - 1, 59 - 1) = "1", OFFSET($A$1, 272 - 1, 60 - 1) = "1" ), 1, IF( AND( OFFSET($A$1, 272 - 1, 59 - 1) = "1", OFFSET($A$1, 272 - 1, 60 - 1) = "0" ), 2, IF( AND( OFFSET($A$1, 272 - 1, 59 - 1) = "0", OFFSET($A$1, 272 - 1, 60 - 1) = "1" ), 3, 4 ) ) )</f>
        <v>4</v>
      </c>
      <c r="BK272" s="3">
        <v>6.6350710900473939E-2</v>
      </c>
      <c r="BL272" s="3" t="str">
        <f>"0"</f>
        <v>0</v>
      </c>
      <c r="BM272" t="str">
        <f ca="1">IF((OFFSET($A$1, 272 - 1, 63 - 1)) &gt;= (OFFSET($A$1, 135 - 1, 7 - 1)), "1","0")</f>
        <v>0</v>
      </c>
      <c r="BN272">
        <f ca="1" xml:space="preserve"> IF( AND( OFFSET($A$1, 272 - 1, 64 - 1) = "1", OFFSET($A$1, 272 - 1, 65 - 1) = "1" ), 1, IF( AND( OFFSET($A$1, 272 - 1, 64 - 1) = "1", OFFSET($A$1, 272 - 1, 65 - 1) = "0" ), 2, IF( AND( OFFSET($A$1, 272 - 1, 64 - 1) = "0", OFFSET($A$1, 272 - 1, 65 - 1) = "1" ), 3, 4 ) ) )</f>
        <v>4</v>
      </c>
    </row>
    <row r="273" spans="58:66" x14ac:dyDescent="0.2">
      <c r="BF273" s="3">
        <v>0.34722222222222221</v>
      </c>
      <c r="BG273" s="3" t="str">
        <f t="shared" si="27"/>
        <v>0</v>
      </c>
      <c r="BH273" t="str">
        <f ca="1">IF((OFFSET($A$1, 273 - 1, 58 - 1)) &gt;= (OFFSET($A$1, 96 - 1, 7 - 1)), "1","0")</f>
        <v>0</v>
      </c>
      <c r="BI273">
        <f ca="1" xml:space="preserve"> IF( AND( OFFSET($A$1, 273 - 1, 59 - 1) = "1", OFFSET($A$1, 273 - 1, 60 - 1) = "1" ), 1, IF( AND( OFFSET($A$1, 273 - 1, 59 - 1) = "1", OFFSET($A$1, 273 - 1, 60 - 1) = "0" ), 2, IF( AND( OFFSET($A$1, 273 - 1, 59 - 1) = "0", OFFSET($A$1, 273 - 1, 60 - 1) = "1" ), 3, 4 ) ) )</f>
        <v>4</v>
      </c>
      <c r="BK273" s="3">
        <v>6.6350710900473939E-2</v>
      </c>
      <c r="BL273" s="3" t="str">
        <f>"0"</f>
        <v>0</v>
      </c>
      <c r="BM273" t="str">
        <f ca="1">IF((OFFSET($A$1, 273 - 1, 63 - 1)) &gt;= (OFFSET($A$1, 135 - 1, 7 - 1)), "1","0")</f>
        <v>0</v>
      </c>
      <c r="BN273">
        <f ca="1" xml:space="preserve"> IF( AND( OFFSET($A$1, 273 - 1, 64 - 1) = "1", OFFSET($A$1, 273 - 1, 65 - 1) = "1" ), 1, IF( AND( OFFSET($A$1, 273 - 1, 64 - 1) = "1", OFFSET($A$1, 273 - 1, 65 - 1) = "0" ), 2, IF( AND( OFFSET($A$1, 273 - 1, 64 - 1) = "0", OFFSET($A$1, 273 - 1, 65 - 1) = "1" ), 3, 4 ) ) )</f>
        <v>4</v>
      </c>
    </row>
    <row r="274" spans="58:66" x14ac:dyDescent="0.2">
      <c r="BF274" s="3">
        <v>0</v>
      </c>
      <c r="BG274" s="3" t="str">
        <f t="shared" si="27"/>
        <v>0</v>
      </c>
      <c r="BH274" t="str">
        <f ca="1">IF((OFFSET($A$1, 274 - 1, 58 - 1)) &gt;= (OFFSET($A$1, 96 - 1, 7 - 1)), "1","0")</f>
        <v>0</v>
      </c>
      <c r="BI274">
        <f ca="1" xml:space="preserve"> IF( AND( OFFSET($A$1, 274 - 1, 59 - 1) = "1", OFFSET($A$1, 274 - 1, 60 - 1) = "1" ), 1, IF( AND( OFFSET($A$1, 274 - 1, 59 - 1) = "1", OFFSET($A$1, 274 - 1, 60 - 1) = "0" ), 2, IF( AND( OFFSET($A$1, 274 - 1, 59 - 1) = "0", OFFSET($A$1, 274 - 1, 60 - 1) = "1" ), 3, 4 ) ) )</f>
        <v>4</v>
      </c>
      <c r="BK274" s="3">
        <v>6.6350710900473939E-2</v>
      </c>
      <c r="BL274" s="3" t="str">
        <f>"0"</f>
        <v>0</v>
      </c>
      <c r="BM274" t="str">
        <f ca="1">IF((OFFSET($A$1, 274 - 1, 63 - 1)) &gt;= (OFFSET($A$1, 135 - 1, 7 - 1)), "1","0")</f>
        <v>0</v>
      </c>
      <c r="BN274">
        <f ca="1" xml:space="preserve"> IF( AND( OFFSET($A$1, 274 - 1, 64 - 1) = "1", OFFSET($A$1, 274 - 1, 65 - 1) = "1" ), 1, IF( AND( OFFSET($A$1, 274 - 1, 64 - 1) = "1", OFFSET($A$1, 274 - 1, 65 - 1) = "0" ), 2, IF( AND( OFFSET($A$1, 274 - 1, 64 - 1) = "0", OFFSET($A$1, 274 - 1, 65 - 1) = "1" ), 3, 4 ) ) )</f>
        <v>4</v>
      </c>
    </row>
    <row r="275" spans="58:66" x14ac:dyDescent="0.2">
      <c r="BF275" s="3">
        <v>0.47692307692307689</v>
      </c>
      <c r="BG275" s="3" t="str">
        <f t="shared" si="27"/>
        <v>0</v>
      </c>
      <c r="BH275" t="str">
        <f ca="1">IF((OFFSET($A$1, 275 - 1, 58 - 1)) &gt;= (OFFSET($A$1, 96 - 1, 7 - 1)), "1","0")</f>
        <v>0</v>
      </c>
      <c r="BI275">
        <f ca="1" xml:space="preserve"> IF( AND( OFFSET($A$1, 275 - 1, 59 - 1) = "1", OFFSET($A$1, 275 - 1, 60 - 1) = "1" ), 1, IF( AND( OFFSET($A$1, 275 - 1, 59 - 1) = "1", OFFSET($A$1, 275 - 1, 60 - 1) = "0" ), 2, IF( AND( OFFSET($A$1, 275 - 1, 59 - 1) = "0", OFFSET($A$1, 275 - 1, 60 - 1) = "1" ), 3, 4 ) ) )</f>
        <v>4</v>
      </c>
      <c r="BK275" s="3">
        <v>6.6350710900473939E-2</v>
      </c>
      <c r="BL275" s="3" t="str">
        <f>"1"</f>
        <v>1</v>
      </c>
      <c r="BM275" t="str">
        <f ca="1">IF((OFFSET($A$1, 275 - 1, 63 - 1)) &gt;= (OFFSET($A$1, 135 - 1, 7 - 1)), "1","0")</f>
        <v>0</v>
      </c>
      <c r="BN275">
        <f ca="1" xml:space="preserve"> IF( AND( OFFSET($A$1, 275 - 1, 64 - 1) = "1", OFFSET($A$1, 275 - 1, 65 - 1) = "1" ), 1, IF( AND( OFFSET($A$1, 275 - 1, 64 - 1) = "1", OFFSET($A$1, 275 - 1, 65 - 1) = "0" ), 2, IF( AND( OFFSET($A$1, 275 - 1, 64 - 1) = "0", OFFSET($A$1, 275 - 1, 65 - 1) = "1" ), 3, 4 ) ) )</f>
        <v>2</v>
      </c>
    </row>
    <row r="276" spans="58:66" x14ac:dyDescent="0.2">
      <c r="BF276" s="3">
        <v>0</v>
      </c>
      <c r="BG276" s="3" t="str">
        <f t="shared" si="27"/>
        <v>0</v>
      </c>
      <c r="BH276" t="str">
        <f ca="1">IF((OFFSET($A$1, 276 - 1, 58 - 1)) &gt;= (OFFSET($A$1, 96 - 1, 7 - 1)), "1","0")</f>
        <v>0</v>
      </c>
      <c r="BI276">
        <f ca="1" xml:space="preserve"> IF( AND( OFFSET($A$1, 276 - 1, 59 - 1) = "1", OFFSET($A$1, 276 - 1, 60 - 1) = "1" ), 1, IF( AND( OFFSET($A$1, 276 - 1, 59 - 1) = "1", OFFSET($A$1, 276 - 1, 60 - 1) = "0" ), 2, IF( AND( OFFSET($A$1, 276 - 1, 59 - 1) = "0", OFFSET($A$1, 276 - 1, 60 - 1) = "1" ), 3, 4 ) ) )</f>
        <v>4</v>
      </c>
      <c r="BK276" s="3">
        <v>6.6350710900473939E-2</v>
      </c>
      <c r="BL276" s="3" t="str">
        <f>"1"</f>
        <v>1</v>
      </c>
      <c r="BM276" t="str">
        <f ca="1">IF((OFFSET($A$1, 276 - 1, 63 - 1)) &gt;= (OFFSET($A$1, 135 - 1, 7 - 1)), "1","0")</f>
        <v>0</v>
      </c>
      <c r="BN276">
        <f ca="1" xml:space="preserve"> IF( AND( OFFSET($A$1, 276 - 1, 64 - 1) = "1", OFFSET($A$1, 276 - 1, 65 - 1) = "1" ), 1, IF( AND( OFFSET($A$1, 276 - 1, 64 - 1) = "1", OFFSET($A$1, 276 - 1, 65 - 1) = "0" ), 2, IF( AND( OFFSET($A$1, 276 - 1, 64 - 1) = "0", OFFSET($A$1, 276 - 1, 65 - 1) = "1" ), 3, 4 ) ) )</f>
        <v>2</v>
      </c>
    </row>
    <row r="277" spans="58:66" x14ac:dyDescent="0.2">
      <c r="BF277" s="3">
        <v>3.7037037037037042E-2</v>
      </c>
      <c r="BG277" s="3" t="str">
        <f t="shared" si="27"/>
        <v>0</v>
      </c>
      <c r="BH277" t="str">
        <f ca="1">IF((OFFSET($A$1, 277 - 1, 58 - 1)) &gt;= (OFFSET($A$1, 96 - 1, 7 - 1)), "1","0")</f>
        <v>0</v>
      </c>
      <c r="BI277">
        <f ca="1" xml:space="preserve"> IF( AND( OFFSET($A$1, 277 - 1, 59 - 1) = "1", OFFSET($A$1, 277 - 1, 60 - 1) = "1" ), 1, IF( AND( OFFSET($A$1, 277 - 1, 59 - 1) = "1", OFFSET($A$1, 277 - 1, 60 - 1) = "0" ), 2, IF( AND( OFFSET($A$1, 277 - 1, 59 - 1) = "0", OFFSET($A$1, 277 - 1, 60 - 1) = "1" ), 3, 4 ) ) )</f>
        <v>4</v>
      </c>
      <c r="BK277" s="3">
        <v>6.6350710900473939E-2</v>
      </c>
      <c r="BL277" s="3" t="str">
        <f>"0"</f>
        <v>0</v>
      </c>
      <c r="BM277" t="str">
        <f ca="1">IF((OFFSET($A$1, 277 - 1, 63 - 1)) &gt;= (OFFSET($A$1, 135 - 1, 7 - 1)), "1","0")</f>
        <v>0</v>
      </c>
      <c r="BN277">
        <f ca="1" xml:space="preserve"> IF( AND( OFFSET($A$1, 277 - 1, 64 - 1) = "1", OFFSET($A$1, 277 - 1, 65 - 1) = "1" ), 1, IF( AND( OFFSET($A$1, 277 - 1, 64 - 1) = "1", OFFSET($A$1, 277 - 1, 65 - 1) = "0" ), 2, IF( AND( OFFSET($A$1, 277 - 1, 64 - 1) = "0", OFFSET($A$1, 277 - 1, 65 - 1) = "1" ), 3, 4 ) ) )</f>
        <v>4</v>
      </c>
    </row>
    <row r="278" spans="58:66" x14ac:dyDescent="0.2">
      <c r="BF278" s="3">
        <v>0.36</v>
      </c>
      <c r="BG278" s="3" t="str">
        <f>"1"</f>
        <v>1</v>
      </c>
      <c r="BH278" t="str">
        <f ca="1">IF((OFFSET($A$1, 278 - 1, 58 - 1)) &gt;= (OFFSET($A$1, 96 - 1, 7 - 1)), "1","0")</f>
        <v>0</v>
      </c>
      <c r="BI278">
        <f ca="1" xml:space="preserve"> IF( AND( OFFSET($A$1, 278 - 1, 59 - 1) = "1", OFFSET($A$1, 278 - 1, 60 - 1) = "1" ), 1, IF( AND( OFFSET($A$1, 278 - 1, 59 - 1) = "1", OFFSET($A$1, 278 - 1, 60 - 1) = "0" ), 2, IF( AND( OFFSET($A$1, 278 - 1, 59 - 1) = "0", OFFSET($A$1, 278 - 1, 60 - 1) = "1" ), 3, 4 ) ) )</f>
        <v>2</v>
      </c>
      <c r="BK278" s="3">
        <v>6.6350710900473939E-2</v>
      </c>
      <c r="BL278" s="3" t="str">
        <f>"0"</f>
        <v>0</v>
      </c>
      <c r="BM278" t="str">
        <f ca="1">IF((OFFSET($A$1, 278 - 1, 63 - 1)) &gt;= (OFFSET($A$1, 135 - 1, 7 - 1)), "1","0")</f>
        <v>0</v>
      </c>
      <c r="BN278">
        <f ca="1" xml:space="preserve"> IF( AND( OFFSET($A$1, 278 - 1, 64 - 1) = "1", OFFSET($A$1, 278 - 1, 65 - 1) = "1" ), 1, IF( AND( OFFSET($A$1, 278 - 1, 64 - 1) = "1", OFFSET($A$1, 278 - 1, 65 - 1) = "0" ), 2, IF( AND( OFFSET($A$1, 278 - 1, 64 - 1) = "0", OFFSET($A$1, 278 - 1, 65 - 1) = "1" ), 3, 4 ) ) )</f>
        <v>4</v>
      </c>
    </row>
    <row r="279" spans="58:66" x14ac:dyDescent="0.2">
      <c r="BF279" s="3">
        <v>3.7037037037037042E-2</v>
      </c>
      <c r="BG279" s="3" t="str">
        <f>"0"</f>
        <v>0</v>
      </c>
      <c r="BH279" t="str">
        <f ca="1">IF((OFFSET($A$1, 279 - 1, 58 - 1)) &gt;= (OFFSET($A$1, 96 - 1, 7 - 1)), "1","0")</f>
        <v>0</v>
      </c>
      <c r="BI279">
        <f ca="1" xml:space="preserve"> IF( AND( OFFSET($A$1, 279 - 1, 59 - 1) = "1", OFFSET($A$1, 279 - 1, 60 - 1) = "1" ), 1, IF( AND( OFFSET($A$1, 279 - 1, 59 - 1) = "1", OFFSET($A$1, 279 - 1, 60 - 1) = "0" ), 2, IF( AND( OFFSET($A$1, 279 - 1, 59 - 1) = "0", OFFSET($A$1, 279 - 1, 60 - 1) = "1" ), 3, 4 ) ) )</f>
        <v>4</v>
      </c>
      <c r="BK279" s="3">
        <v>6.6350710900473939E-2</v>
      </c>
      <c r="BL279" s="3" t="str">
        <f>"0"</f>
        <v>0</v>
      </c>
      <c r="BM279" t="str">
        <f ca="1">IF((OFFSET($A$1, 279 - 1, 63 - 1)) &gt;= (OFFSET($A$1, 135 - 1, 7 - 1)), "1","0")</f>
        <v>0</v>
      </c>
      <c r="BN279">
        <f ca="1" xml:space="preserve"> IF( AND( OFFSET($A$1, 279 - 1, 64 - 1) = "1", OFFSET($A$1, 279 - 1, 65 - 1) = "1" ), 1, IF( AND( OFFSET($A$1, 279 - 1, 64 - 1) = "1", OFFSET($A$1, 279 - 1, 65 - 1) = "0" ), 2, IF( AND( OFFSET($A$1, 279 - 1, 64 - 1) = "0", OFFSET($A$1, 279 - 1, 65 - 1) = "1" ), 3, 4 ) ) )</f>
        <v>4</v>
      </c>
    </row>
    <row r="280" spans="58:66" x14ac:dyDescent="0.2">
      <c r="BF280" s="3">
        <v>3.7037037037037042E-2</v>
      </c>
      <c r="BG280" s="3" t="str">
        <f>"0"</f>
        <v>0</v>
      </c>
      <c r="BH280" t="str">
        <f ca="1">IF((OFFSET($A$1, 280 - 1, 58 - 1)) &gt;= (OFFSET($A$1, 96 - 1, 7 - 1)), "1","0")</f>
        <v>0</v>
      </c>
      <c r="BI280">
        <f ca="1" xml:space="preserve"> IF( AND( OFFSET($A$1, 280 - 1, 59 - 1) = "1", OFFSET($A$1, 280 - 1, 60 - 1) = "1" ), 1, IF( AND( OFFSET($A$1, 280 - 1, 59 - 1) = "1", OFFSET($A$1, 280 - 1, 60 - 1) = "0" ), 2, IF( AND( OFFSET($A$1, 280 - 1, 59 - 1) = "0", OFFSET($A$1, 280 - 1, 60 - 1) = "1" ), 3, 4 ) ) )</f>
        <v>4</v>
      </c>
      <c r="BK280" s="3">
        <v>6.6350710900473939E-2</v>
      </c>
      <c r="BL280" s="3" t="str">
        <f>"0"</f>
        <v>0</v>
      </c>
      <c r="BM280" t="str">
        <f ca="1">IF((OFFSET($A$1, 280 - 1, 63 - 1)) &gt;= (OFFSET($A$1, 135 - 1, 7 - 1)), "1","0")</f>
        <v>0</v>
      </c>
      <c r="BN280">
        <f ca="1" xml:space="preserve"> IF( AND( OFFSET($A$1, 280 - 1, 64 - 1) = "1", OFFSET($A$1, 280 - 1, 65 - 1) = "1" ), 1, IF( AND( OFFSET($A$1, 280 - 1, 64 - 1) = "1", OFFSET($A$1, 280 - 1, 65 - 1) = "0" ), 2, IF( AND( OFFSET($A$1, 280 - 1, 64 - 1) = "0", OFFSET($A$1, 280 - 1, 65 - 1) = "1" ), 3, 4 ) ) )</f>
        <v>4</v>
      </c>
    </row>
    <row r="281" spans="58:66" x14ac:dyDescent="0.2">
      <c r="BF281" s="3">
        <v>0.08</v>
      </c>
      <c r="BG281" s="3" t="str">
        <f>"1"</f>
        <v>1</v>
      </c>
      <c r="BH281" t="str">
        <f ca="1">IF((OFFSET($A$1, 281 - 1, 58 - 1)) &gt;= (OFFSET($A$1, 96 - 1, 7 - 1)), "1","0")</f>
        <v>0</v>
      </c>
      <c r="BI281">
        <f ca="1" xml:space="preserve"> IF( AND( OFFSET($A$1, 281 - 1, 59 - 1) = "1", OFFSET($A$1, 281 - 1, 60 - 1) = "1" ), 1, IF( AND( OFFSET($A$1, 281 - 1, 59 - 1) = "1", OFFSET($A$1, 281 - 1, 60 - 1) = "0" ), 2, IF( AND( OFFSET($A$1, 281 - 1, 59 - 1) = "0", OFFSET($A$1, 281 - 1, 60 - 1) = "1" ), 3, 4 ) ) )</f>
        <v>2</v>
      </c>
      <c r="BK281" s="3">
        <v>6.6350710900473939E-2</v>
      </c>
      <c r="BL281" s="3" t="str">
        <f>"1"</f>
        <v>1</v>
      </c>
      <c r="BM281" t="str">
        <f ca="1">IF((OFFSET($A$1, 281 - 1, 63 - 1)) &gt;= (OFFSET($A$1, 135 - 1, 7 - 1)), "1","0")</f>
        <v>0</v>
      </c>
      <c r="BN281">
        <f ca="1" xml:space="preserve"> IF( AND( OFFSET($A$1, 281 - 1, 64 - 1) = "1", OFFSET($A$1, 281 - 1, 65 - 1) = "1" ), 1, IF( AND( OFFSET($A$1, 281 - 1, 64 - 1) = "1", OFFSET($A$1, 281 - 1, 65 - 1) = "0" ), 2, IF( AND( OFFSET($A$1, 281 - 1, 64 - 1) = "0", OFFSET($A$1, 281 - 1, 65 - 1) = "1" ), 3, 4 ) ) )</f>
        <v>2</v>
      </c>
    </row>
    <row r="282" spans="58:66" x14ac:dyDescent="0.2">
      <c r="BF282" s="3">
        <v>0.08</v>
      </c>
      <c r="BG282" s="3" t="str">
        <f t="shared" ref="BG282:BG292" si="28">"0"</f>
        <v>0</v>
      </c>
      <c r="BH282" t="str">
        <f ca="1">IF((OFFSET($A$1, 282 - 1, 58 - 1)) &gt;= (OFFSET($A$1, 96 - 1, 7 - 1)), "1","0")</f>
        <v>0</v>
      </c>
      <c r="BI282">
        <f ca="1" xml:space="preserve"> IF( AND( OFFSET($A$1, 282 - 1, 59 - 1) = "1", OFFSET($A$1, 282 - 1, 60 - 1) = "1" ), 1, IF( AND( OFFSET($A$1, 282 - 1, 59 - 1) = "1", OFFSET($A$1, 282 - 1, 60 - 1) = "0" ), 2, IF( AND( OFFSET($A$1, 282 - 1, 59 - 1) = "0", OFFSET($A$1, 282 - 1, 60 - 1) = "1" ), 3, 4 ) ) )</f>
        <v>4</v>
      </c>
      <c r="BK282" s="3">
        <v>0.90579710144927539</v>
      </c>
      <c r="BL282" s="3" t="str">
        <f>"1"</f>
        <v>1</v>
      </c>
      <c r="BM282" t="str">
        <f ca="1">IF((OFFSET($A$1, 282 - 1, 63 - 1)) &gt;= (OFFSET($A$1, 135 - 1, 7 - 1)), "1","0")</f>
        <v>1</v>
      </c>
      <c r="BN282">
        <f ca="1" xml:space="preserve"> IF( AND( OFFSET($A$1, 282 - 1, 64 - 1) = "1", OFFSET($A$1, 282 - 1, 65 - 1) = "1" ), 1, IF( AND( OFFSET($A$1, 282 - 1, 64 - 1) = "1", OFFSET($A$1, 282 - 1, 65 - 1) = "0" ), 2, IF( AND( OFFSET($A$1, 282 - 1, 64 - 1) = "0", OFFSET($A$1, 282 - 1, 65 - 1) = "1" ), 3, 4 ) ) )</f>
        <v>1</v>
      </c>
    </row>
    <row r="283" spans="58:66" x14ac:dyDescent="0.2">
      <c r="BF283" s="3">
        <v>0</v>
      </c>
      <c r="BG283" s="3" t="str">
        <f t="shared" si="28"/>
        <v>0</v>
      </c>
      <c r="BH283" t="str">
        <f ca="1">IF((OFFSET($A$1, 283 - 1, 58 - 1)) &gt;= (OFFSET($A$1, 96 - 1, 7 - 1)), "1","0")</f>
        <v>0</v>
      </c>
      <c r="BI283">
        <f ca="1" xml:space="preserve"> IF( AND( OFFSET($A$1, 283 - 1, 59 - 1) = "1", OFFSET($A$1, 283 - 1, 60 - 1) = "1" ), 1, IF( AND( OFFSET($A$1, 283 - 1, 59 - 1) = "1", OFFSET($A$1, 283 - 1, 60 - 1) = "0" ), 2, IF( AND( OFFSET($A$1, 283 - 1, 59 - 1) = "0", OFFSET($A$1, 283 - 1, 60 - 1) = "1" ), 3, 4 ) ) )</f>
        <v>4</v>
      </c>
      <c r="BK283" s="3">
        <v>2.5316455696202531E-2</v>
      </c>
      <c r="BL283" s="3" t="str">
        <f>"0"</f>
        <v>0</v>
      </c>
      <c r="BM283" t="str">
        <f ca="1">IF((OFFSET($A$1, 283 - 1, 63 - 1)) &gt;= (OFFSET($A$1, 135 - 1, 7 - 1)), "1","0")</f>
        <v>0</v>
      </c>
      <c r="BN283">
        <f ca="1" xml:space="preserve"> IF( AND( OFFSET($A$1, 283 - 1, 64 - 1) = "1", OFFSET($A$1, 283 - 1, 65 - 1) = "1" ), 1, IF( AND( OFFSET($A$1, 283 - 1, 64 - 1) = "1", OFFSET($A$1, 283 - 1, 65 - 1) = "0" ), 2, IF( AND( OFFSET($A$1, 283 - 1, 64 - 1) = "0", OFFSET($A$1, 283 - 1, 65 - 1) = "1" ), 3, 4 ) ) )</f>
        <v>4</v>
      </c>
    </row>
    <row r="284" spans="58:66" x14ac:dyDescent="0.2">
      <c r="BF284" s="3">
        <v>0.47692307692307689</v>
      </c>
      <c r="BG284" s="3" t="str">
        <f t="shared" si="28"/>
        <v>0</v>
      </c>
      <c r="BH284" t="str">
        <f ca="1">IF((OFFSET($A$1, 284 - 1, 58 - 1)) &gt;= (OFFSET($A$1, 96 - 1, 7 - 1)), "1","0")</f>
        <v>0</v>
      </c>
      <c r="BI284">
        <f ca="1" xml:space="preserve"> IF( AND( OFFSET($A$1, 284 - 1, 59 - 1) = "1", OFFSET($A$1, 284 - 1, 60 - 1) = "1" ), 1, IF( AND( OFFSET($A$1, 284 - 1, 59 - 1) = "1", OFFSET($A$1, 284 - 1, 60 - 1) = "0" ), 2, IF( AND( OFFSET($A$1, 284 - 1, 59 - 1) = "0", OFFSET($A$1, 284 - 1, 60 - 1) = "1" ), 3, 4 ) ) )</f>
        <v>4</v>
      </c>
      <c r="BK284" s="3">
        <v>6.6350710900473939E-2</v>
      </c>
      <c r="BL284" s="3" t="str">
        <f>"1"</f>
        <v>1</v>
      </c>
      <c r="BM284" t="str">
        <f ca="1">IF((OFFSET($A$1, 284 - 1, 63 - 1)) &gt;= (OFFSET($A$1, 135 - 1, 7 - 1)), "1","0")</f>
        <v>0</v>
      </c>
      <c r="BN284">
        <f ca="1" xml:space="preserve"> IF( AND( OFFSET($A$1, 284 - 1, 64 - 1) = "1", OFFSET($A$1, 284 - 1, 65 - 1) = "1" ), 1, IF( AND( OFFSET($A$1, 284 - 1, 64 - 1) = "1", OFFSET($A$1, 284 - 1, 65 - 1) = "0" ), 2, IF( AND( OFFSET($A$1, 284 - 1, 64 - 1) = "0", OFFSET($A$1, 284 - 1, 65 - 1) = "1" ), 3, 4 ) ) )</f>
        <v>2</v>
      </c>
    </row>
    <row r="285" spans="58:66" x14ac:dyDescent="0.2">
      <c r="BF285" s="3">
        <v>0</v>
      </c>
      <c r="BG285" s="3" t="str">
        <f t="shared" si="28"/>
        <v>0</v>
      </c>
      <c r="BH285" t="str">
        <f ca="1">IF((OFFSET($A$1, 285 - 1, 58 - 1)) &gt;= (OFFSET($A$1, 96 - 1, 7 - 1)), "1","0")</f>
        <v>0</v>
      </c>
      <c r="BI285">
        <f ca="1" xml:space="preserve"> IF( AND( OFFSET($A$1, 285 - 1, 59 - 1) = "1", OFFSET($A$1, 285 - 1, 60 - 1) = "1" ), 1, IF( AND( OFFSET($A$1, 285 - 1, 59 - 1) = "1", OFFSET($A$1, 285 - 1, 60 - 1) = "0" ), 2, IF( AND( OFFSET($A$1, 285 - 1, 59 - 1) = "0", OFFSET($A$1, 285 - 1, 60 - 1) = "1" ), 3, 4 ) ) )</f>
        <v>4</v>
      </c>
      <c r="BK285" s="3">
        <v>6.6350710900473939E-2</v>
      </c>
      <c r="BL285" s="3" t="str">
        <f>"0"</f>
        <v>0</v>
      </c>
      <c r="BM285" t="str">
        <f ca="1">IF((OFFSET($A$1, 285 - 1, 63 - 1)) &gt;= (OFFSET($A$1, 135 - 1, 7 - 1)), "1","0")</f>
        <v>0</v>
      </c>
      <c r="BN285">
        <f ca="1" xml:space="preserve"> IF( AND( OFFSET($A$1, 285 - 1, 64 - 1) = "1", OFFSET($A$1, 285 - 1, 65 - 1) = "1" ), 1, IF( AND( OFFSET($A$1, 285 - 1, 64 - 1) = "1", OFFSET($A$1, 285 - 1, 65 - 1) = "0" ), 2, IF( AND( OFFSET($A$1, 285 - 1, 64 - 1) = "0", OFFSET($A$1, 285 - 1, 65 - 1) = "1" ), 3, 4 ) ) )</f>
        <v>4</v>
      </c>
    </row>
    <row r="286" spans="58:66" x14ac:dyDescent="0.2">
      <c r="BF286" s="3">
        <v>0</v>
      </c>
      <c r="BG286" s="3" t="str">
        <f t="shared" si="28"/>
        <v>0</v>
      </c>
      <c r="BH286" t="str">
        <f ca="1">IF((OFFSET($A$1, 286 - 1, 58 - 1)) &gt;= (OFFSET($A$1, 96 - 1, 7 - 1)), "1","0")</f>
        <v>0</v>
      </c>
      <c r="BI286">
        <f ca="1" xml:space="preserve"> IF( AND( OFFSET($A$1, 286 - 1, 59 - 1) = "1", OFFSET($A$1, 286 - 1, 60 - 1) = "1" ), 1, IF( AND( OFFSET($A$1, 286 - 1, 59 - 1) = "1", OFFSET($A$1, 286 - 1, 60 - 1) = "0" ), 2, IF( AND( OFFSET($A$1, 286 - 1, 59 - 1) = "0", OFFSET($A$1, 286 - 1, 60 - 1) = "1" ), 3, 4 ) ) )</f>
        <v>4</v>
      </c>
      <c r="BK286" s="3">
        <v>6.6350710900473939E-2</v>
      </c>
      <c r="BL286" s="3" t="str">
        <f>"0"</f>
        <v>0</v>
      </c>
      <c r="BM286" t="str">
        <f ca="1">IF((OFFSET($A$1, 286 - 1, 63 - 1)) &gt;= (OFFSET($A$1, 135 - 1, 7 - 1)), "1","0")</f>
        <v>0</v>
      </c>
      <c r="BN286">
        <f ca="1" xml:space="preserve"> IF( AND( OFFSET($A$1, 286 - 1, 64 - 1) = "1", OFFSET($A$1, 286 - 1, 65 - 1) = "1" ), 1, IF( AND( OFFSET($A$1, 286 - 1, 64 - 1) = "1", OFFSET($A$1, 286 - 1, 65 - 1) = "0" ), 2, IF( AND( OFFSET($A$1, 286 - 1, 64 - 1) = "0", OFFSET($A$1, 286 - 1, 65 - 1) = "1" ), 3, 4 ) ) )</f>
        <v>4</v>
      </c>
    </row>
    <row r="287" spans="58:66" x14ac:dyDescent="0.2">
      <c r="BF287" s="3">
        <v>0</v>
      </c>
      <c r="BG287" s="3" t="str">
        <f t="shared" si="28"/>
        <v>0</v>
      </c>
      <c r="BH287" t="str">
        <f ca="1">IF((OFFSET($A$1, 287 - 1, 58 - 1)) &gt;= (OFFSET($A$1, 96 - 1, 7 - 1)), "1","0")</f>
        <v>0</v>
      </c>
      <c r="BI287">
        <f ca="1" xml:space="preserve"> IF( AND( OFFSET($A$1, 287 - 1, 59 - 1) = "1", OFFSET($A$1, 287 - 1, 60 - 1) = "1" ), 1, IF( AND( OFFSET($A$1, 287 - 1, 59 - 1) = "1", OFFSET($A$1, 287 - 1, 60 - 1) = "0" ), 2, IF( AND( OFFSET($A$1, 287 - 1, 59 - 1) = "0", OFFSET($A$1, 287 - 1, 60 - 1) = "1" ), 3, 4 ) ) )</f>
        <v>4</v>
      </c>
      <c r="BK287" s="3">
        <v>6.6350710900473939E-2</v>
      </c>
      <c r="BL287" s="3" t="str">
        <f>"0"</f>
        <v>0</v>
      </c>
      <c r="BM287" t="str">
        <f ca="1">IF((OFFSET($A$1, 287 - 1, 63 - 1)) &gt;= (OFFSET($A$1, 135 - 1, 7 - 1)), "1","0")</f>
        <v>0</v>
      </c>
      <c r="BN287">
        <f ca="1" xml:space="preserve"> IF( AND( OFFSET($A$1, 287 - 1, 64 - 1) = "1", OFFSET($A$1, 287 - 1, 65 - 1) = "1" ), 1, IF( AND( OFFSET($A$1, 287 - 1, 64 - 1) = "1", OFFSET($A$1, 287 - 1, 65 - 1) = "0" ), 2, IF( AND( OFFSET($A$1, 287 - 1, 64 - 1) = "0", OFFSET($A$1, 287 - 1, 65 - 1) = "1" ), 3, 4 ) ) )</f>
        <v>4</v>
      </c>
    </row>
    <row r="288" spans="58:66" x14ac:dyDescent="0.2">
      <c r="BF288" s="3">
        <v>0.08</v>
      </c>
      <c r="BG288" s="3" t="str">
        <f t="shared" si="28"/>
        <v>0</v>
      </c>
      <c r="BH288" t="str">
        <f ca="1">IF((OFFSET($A$1, 288 - 1, 58 - 1)) &gt;= (OFFSET($A$1, 96 - 1, 7 - 1)), "1","0")</f>
        <v>0</v>
      </c>
      <c r="BI288">
        <f ca="1" xml:space="preserve"> IF( AND( OFFSET($A$1, 288 - 1, 59 - 1) = "1", OFFSET($A$1, 288 - 1, 60 - 1) = "1" ), 1, IF( AND( OFFSET($A$1, 288 - 1, 59 - 1) = "1", OFFSET($A$1, 288 - 1, 60 - 1) = "0" ), 2, IF( AND( OFFSET($A$1, 288 - 1, 59 - 1) = "0", OFFSET($A$1, 288 - 1, 60 - 1) = "1" ), 3, 4 ) ) )</f>
        <v>4</v>
      </c>
      <c r="BK288" s="3">
        <v>2.5316455696202531E-2</v>
      </c>
      <c r="BL288" s="3" t="str">
        <f>"0"</f>
        <v>0</v>
      </c>
      <c r="BM288" t="str">
        <f ca="1">IF((OFFSET($A$1, 288 - 1, 63 - 1)) &gt;= (OFFSET($A$1, 135 - 1, 7 - 1)), "1","0")</f>
        <v>0</v>
      </c>
      <c r="BN288">
        <f ca="1" xml:space="preserve"> IF( AND( OFFSET($A$1, 288 - 1, 64 - 1) = "1", OFFSET($A$1, 288 - 1, 65 - 1) = "1" ), 1, IF( AND( OFFSET($A$1, 288 - 1, 64 - 1) = "1", OFFSET($A$1, 288 - 1, 65 - 1) = "0" ), 2, IF( AND( OFFSET($A$1, 288 - 1, 64 - 1) = "0", OFFSET($A$1, 288 - 1, 65 - 1) = "1" ), 3, 4 ) ) )</f>
        <v>4</v>
      </c>
    </row>
    <row r="289" spans="58:66" x14ac:dyDescent="0.2">
      <c r="BF289" s="3">
        <v>0</v>
      </c>
      <c r="BG289" s="3" t="str">
        <f t="shared" si="28"/>
        <v>0</v>
      </c>
      <c r="BH289" t="str">
        <f ca="1">IF((OFFSET($A$1, 289 - 1, 58 - 1)) &gt;= (OFFSET($A$1, 96 - 1, 7 - 1)), "1","0")</f>
        <v>0</v>
      </c>
      <c r="BI289">
        <f ca="1" xml:space="preserve"> IF( AND( OFFSET($A$1, 289 - 1, 59 - 1) = "1", OFFSET($A$1, 289 - 1, 60 - 1) = "1" ), 1, IF( AND( OFFSET($A$1, 289 - 1, 59 - 1) = "1", OFFSET($A$1, 289 - 1, 60 - 1) = "0" ), 2, IF( AND( OFFSET($A$1, 289 - 1, 59 - 1) = "0", OFFSET($A$1, 289 - 1, 60 - 1) = "1" ), 3, 4 ) ) )</f>
        <v>4</v>
      </c>
      <c r="BK289" s="3">
        <v>6.6350710900473939E-2</v>
      </c>
      <c r="BL289" s="3" t="str">
        <f>"1"</f>
        <v>1</v>
      </c>
      <c r="BM289" t="str">
        <f ca="1">IF((OFFSET($A$1, 289 - 1, 63 - 1)) &gt;= (OFFSET($A$1, 135 - 1, 7 - 1)), "1","0")</f>
        <v>0</v>
      </c>
      <c r="BN289">
        <f ca="1" xml:space="preserve"> IF( AND( OFFSET($A$1, 289 - 1, 64 - 1) = "1", OFFSET($A$1, 289 - 1, 65 - 1) = "1" ), 1, IF( AND( OFFSET($A$1, 289 - 1, 64 - 1) = "1", OFFSET($A$1, 289 - 1, 65 - 1) = "0" ), 2, IF( AND( OFFSET($A$1, 289 - 1, 64 - 1) = "0", OFFSET($A$1, 289 - 1, 65 - 1) = "1" ), 3, 4 ) ) )</f>
        <v>2</v>
      </c>
    </row>
    <row r="290" spans="58:66" x14ac:dyDescent="0.2">
      <c r="BF290" s="3">
        <v>0</v>
      </c>
      <c r="BG290" s="3" t="str">
        <f t="shared" si="28"/>
        <v>0</v>
      </c>
      <c r="BH290" t="str">
        <f ca="1">IF((OFFSET($A$1, 290 - 1, 58 - 1)) &gt;= (OFFSET($A$1, 96 - 1, 7 - 1)), "1","0")</f>
        <v>0</v>
      </c>
      <c r="BI290">
        <f ca="1" xml:space="preserve"> IF( AND( OFFSET($A$1, 290 - 1, 59 - 1) = "1", OFFSET($A$1, 290 - 1, 60 - 1) = "1" ), 1, IF( AND( OFFSET($A$1, 290 - 1, 59 - 1) = "1", OFFSET($A$1, 290 - 1, 60 - 1) = "0" ), 2, IF( AND( OFFSET($A$1, 290 - 1, 59 - 1) = "0", OFFSET($A$1, 290 - 1, 60 - 1) = "1" ), 3, 4 ) ) )</f>
        <v>4</v>
      </c>
      <c r="BK290" s="3">
        <v>6.6350710900473939E-2</v>
      </c>
      <c r="BL290" s="3" t="str">
        <f>"0"</f>
        <v>0</v>
      </c>
      <c r="BM290" t="str">
        <f ca="1">IF((OFFSET($A$1, 290 - 1, 63 - 1)) &gt;= (OFFSET($A$1, 135 - 1, 7 - 1)), "1","0")</f>
        <v>0</v>
      </c>
      <c r="BN290">
        <f ca="1" xml:space="preserve"> IF( AND( OFFSET($A$1, 290 - 1, 64 - 1) = "1", OFFSET($A$1, 290 - 1, 65 - 1) = "1" ), 1, IF( AND( OFFSET($A$1, 290 - 1, 64 - 1) = "1", OFFSET($A$1, 290 - 1, 65 - 1) = "0" ), 2, IF( AND( OFFSET($A$1, 290 - 1, 64 - 1) = "0", OFFSET($A$1, 290 - 1, 65 - 1) = "1" ), 3, 4 ) ) )</f>
        <v>4</v>
      </c>
    </row>
    <row r="291" spans="58:66" x14ac:dyDescent="0.2">
      <c r="BF291" s="3">
        <v>0.1081081081081081</v>
      </c>
      <c r="BG291" s="3" t="str">
        <f t="shared" si="28"/>
        <v>0</v>
      </c>
      <c r="BH291" t="str">
        <f ca="1">IF((OFFSET($A$1, 291 - 1, 58 - 1)) &gt;= (OFFSET($A$1, 96 - 1, 7 - 1)), "1","0")</f>
        <v>0</v>
      </c>
      <c r="BI291">
        <f ca="1" xml:space="preserve"> IF( AND( OFFSET($A$1, 291 - 1, 59 - 1) = "1", OFFSET($A$1, 291 - 1, 60 - 1) = "1" ), 1, IF( AND( OFFSET($A$1, 291 - 1, 59 - 1) = "1", OFFSET($A$1, 291 - 1, 60 - 1) = "0" ), 2, IF( AND( OFFSET($A$1, 291 - 1, 59 - 1) = "0", OFFSET($A$1, 291 - 1, 60 - 1) = "1" ), 3, 4 ) ) )</f>
        <v>4</v>
      </c>
      <c r="BK291" s="3">
        <v>6.6350710900473939E-2</v>
      </c>
      <c r="BL291" s="3" t="str">
        <f>"0"</f>
        <v>0</v>
      </c>
      <c r="BM291" t="str">
        <f ca="1">IF((OFFSET($A$1, 291 - 1, 63 - 1)) &gt;= (OFFSET($A$1, 135 - 1, 7 - 1)), "1","0")</f>
        <v>0</v>
      </c>
      <c r="BN291">
        <f ca="1" xml:space="preserve"> IF( AND( OFFSET($A$1, 291 - 1, 64 - 1) = "1", OFFSET($A$1, 291 - 1, 65 - 1) = "1" ), 1, IF( AND( OFFSET($A$1, 291 - 1, 64 - 1) = "1", OFFSET($A$1, 291 - 1, 65 - 1) = "0" ), 2, IF( AND( OFFSET($A$1, 291 - 1, 64 - 1) = "0", OFFSET($A$1, 291 - 1, 65 - 1) = "1" ), 3, 4 ) ) )</f>
        <v>4</v>
      </c>
    </row>
    <row r="292" spans="58:66" x14ac:dyDescent="0.2">
      <c r="BF292" s="3">
        <v>0.47692307692307689</v>
      </c>
      <c r="BG292" s="3" t="str">
        <f t="shared" si="28"/>
        <v>0</v>
      </c>
      <c r="BH292" t="str">
        <f ca="1">IF((OFFSET($A$1, 292 - 1, 58 - 1)) &gt;= (OFFSET($A$1, 96 - 1, 7 - 1)), "1","0")</f>
        <v>0</v>
      </c>
      <c r="BI292">
        <f ca="1" xml:space="preserve"> IF( AND( OFFSET($A$1, 292 - 1, 59 - 1) = "1", OFFSET($A$1, 292 - 1, 60 - 1) = "1" ), 1, IF( AND( OFFSET($A$1, 292 - 1, 59 - 1) = "1", OFFSET($A$1, 292 - 1, 60 - 1) = "0" ), 2, IF( AND( OFFSET($A$1, 292 - 1, 59 - 1) = "0", OFFSET($A$1, 292 - 1, 60 - 1) = "1" ), 3, 4 ) ) )</f>
        <v>4</v>
      </c>
      <c r="BK292" s="3">
        <v>6.6350710900473939E-2</v>
      </c>
      <c r="BL292" s="3" t="str">
        <f>"0"</f>
        <v>0</v>
      </c>
      <c r="BM292" t="str">
        <f ca="1">IF((OFFSET($A$1, 292 - 1, 63 - 1)) &gt;= (OFFSET($A$1, 135 - 1, 7 - 1)), "1","0")</f>
        <v>0</v>
      </c>
      <c r="BN292">
        <f ca="1" xml:space="preserve"> IF( AND( OFFSET($A$1, 292 - 1, 64 - 1) = "1", OFFSET($A$1, 292 - 1, 65 - 1) = "1" ), 1, IF( AND( OFFSET($A$1, 292 - 1, 64 - 1) = "1", OFFSET($A$1, 292 - 1, 65 - 1) = "0" ), 2, IF( AND( OFFSET($A$1, 292 - 1, 64 - 1) = "0", OFFSET($A$1, 292 - 1, 65 - 1) = "1" ), 3, 4 ) ) )</f>
        <v>4</v>
      </c>
    </row>
    <row r="293" spans="58:66" x14ac:dyDescent="0.2">
      <c r="BF293" s="3">
        <v>0.47692307692307689</v>
      </c>
      <c r="BG293" s="3" t="str">
        <f>"1"</f>
        <v>1</v>
      </c>
      <c r="BH293" t="str">
        <f ca="1">IF((OFFSET($A$1, 293 - 1, 58 - 1)) &gt;= (OFFSET($A$1, 96 - 1, 7 - 1)), "1","0")</f>
        <v>0</v>
      </c>
      <c r="BI293">
        <f ca="1" xml:space="preserve"> IF( AND( OFFSET($A$1, 293 - 1, 59 - 1) = "1", OFFSET($A$1, 293 - 1, 60 - 1) = "1" ), 1, IF( AND( OFFSET($A$1, 293 - 1, 59 - 1) = "1", OFFSET($A$1, 293 - 1, 60 - 1) = "0" ), 2, IF( AND( OFFSET($A$1, 293 - 1, 59 - 1) = "0", OFFSET($A$1, 293 - 1, 60 - 1) = "1" ), 3, 4 ) ) )</f>
        <v>2</v>
      </c>
      <c r="BK293" s="3">
        <v>6.6350710900473939E-2</v>
      </c>
      <c r="BL293" s="3" t="str">
        <f>"0"</f>
        <v>0</v>
      </c>
      <c r="BM293" t="str">
        <f ca="1">IF((OFFSET($A$1, 293 - 1, 63 - 1)) &gt;= (OFFSET($A$1, 135 - 1, 7 - 1)), "1","0")</f>
        <v>0</v>
      </c>
      <c r="BN293">
        <f ca="1" xml:space="preserve"> IF( AND( OFFSET($A$1, 293 - 1, 64 - 1) = "1", OFFSET($A$1, 293 - 1, 65 - 1) = "1" ), 1, IF( AND( OFFSET($A$1, 293 - 1, 64 - 1) = "1", OFFSET($A$1, 293 - 1, 65 - 1) = "0" ), 2, IF( AND( OFFSET($A$1, 293 - 1, 64 - 1) = "0", OFFSET($A$1, 293 - 1, 65 - 1) = "1" ), 3, 4 ) ) )</f>
        <v>4</v>
      </c>
    </row>
    <row r="294" spans="58:66" x14ac:dyDescent="0.2">
      <c r="BF294" s="3">
        <v>0</v>
      </c>
      <c r="BG294" s="3" t="str">
        <f>"0"</f>
        <v>0</v>
      </c>
      <c r="BH294" t="str">
        <f ca="1">IF((OFFSET($A$1, 294 - 1, 58 - 1)) &gt;= (OFFSET($A$1, 96 - 1, 7 - 1)), "1","0")</f>
        <v>0</v>
      </c>
      <c r="BI294">
        <f ca="1" xml:space="preserve"> IF( AND( OFFSET($A$1, 294 - 1, 59 - 1) = "1", OFFSET($A$1, 294 - 1, 60 - 1) = "1" ), 1, IF( AND( OFFSET($A$1, 294 - 1, 59 - 1) = "1", OFFSET($A$1, 294 - 1, 60 - 1) = "0" ), 2, IF( AND( OFFSET($A$1, 294 - 1, 59 - 1) = "0", OFFSET($A$1, 294 - 1, 60 - 1) = "1" ), 3, 4 ) ) )</f>
        <v>4</v>
      </c>
      <c r="BK294" s="3">
        <v>6.6350710900473939E-2</v>
      </c>
      <c r="BL294" s="3" t="str">
        <f>"0"</f>
        <v>0</v>
      </c>
      <c r="BM294" t="str">
        <f ca="1">IF((OFFSET($A$1, 294 - 1, 63 - 1)) &gt;= (OFFSET($A$1, 135 - 1, 7 - 1)), "1","0")</f>
        <v>0</v>
      </c>
      <c r="BN294">
        <f ca="1" xml:space="preserve"> IF( AND( OFFSET($A$1, 294 - 1, 64 - 1) = "1", OFFSET($A$1, 294 - 1, 65 - 1) = "1" ), 1, IF( AND( OFFSET($A$1, 294 - 1, 64 - 1) = "1", OFFSET($A$1, 294 - 1, 65 - 1) = "0" ), 2, IF( AND( OFFSET($A$1, 294 - 1, 64 - 1) = "0", OFFSET($A$1, 294 - 1, 65 - 1) = "1" ), 3, 4 ) ) )</f>
        <v>4</v>
      </c>
    </row>
    <row r="295" spans="58:66" x14ac:dyDescent="0.2">
      <c r="BF295" s="3">
        <v>0</v>
      </c>
      <c r="BG295" s="3" t="str">
        <f>"0"</f>
        <v>0</v>
      </c>
      <c r="BH295" t="str">
        <f ca="1">IF((OFFSET($A$1, 295 - 1, 58 - 1)) &gt;= (OFFSET($A$1, 96 - 1, 7 - 1)), "1","0")</f>
        <v>0</v>
      </c>
      <c r="BI295">
        <f ca="1" xml:space="preserve"> IF( AND( OFFSET($A$1, 295 - 1, 59 - 1) = "1", OFFSET($A$1, 295 - 1, 60 - 1) = "1" ), 1, IF( AND( OFFSET($A$1, 295 - 1, 59 - 1) = "1", OFFSET($A$1, 295 - 1, 60 - 1) = "0" ), 2, IF( AND( OFFSET($A$1, 295 - 1, 59 - 1) = "0", OFFSET($A$1, 295 - 1, 60 - 1) = "1" ), 3, 4 ) ) )</f>
        <v>4</v>
      </c>
      <c r="BK295" s="3">
        <v>0.90579710144927539</v>
      </c>
      <c r="BL295" s="3" t="str">
        <f>"1"</f>
        <v>1</v>
      </c>
      <c r="BM295" t="str">
        <f ca="1">IF((OFFSET($A$1, 295 - 1, 63 - 1)) &gt;= (OFFSET($A$1, 135 - 1, 7 - 1)), "1","0")</f>
        <v>1</v>
      </c>
      <c r="BN295">
        <f ca="1" xml:space="preserve"> IF( AND( OFFSET($A$1, 295 - 1, 64 - 1) = "1", OFFSET($A$1, 295 - 1, 65 - 1) = "1" ), 1, IF( AND( OFFSET($A$1, 295 - 1, 64 - 1) = "1", OFFSET($A$1, 295 - 1, 65 - 1) = "0" ), 2, IF( AND( OFFSET($A$1, 295 - 1, 64 - 1) = "0", OFFSET($A$1, 295 - 1, 65 - 1) = "1" ), 3, 4 ) ) )</f>
        <v>1</v>
      </c>
    </row>
    <row r="296" spans="58:66" x14ac:dyDescent="0.2">
      <c r="BF296" s="3">
        <v>3.7037037037037042E-2</v>
      </c>
      <c r="BG296" s="3" t="str">
        <f>"0"</f>
        <v>0</v>
      </c>
      <c r="BH296" t="str">
        <f ca="1">IF((OFFSET($A$1, 296 - 1, 58 - 1)) &gt;= (OFFSET($A$1, 96 - 1, 7 - 1)), "1","0")</f>
        <v>0</v>
      </c>
      <c r="BI296">
        <f ca="1" xml:space="preserve"> IF( AND( OFFSET($A$1, 296 - 1, 59 - 1) = "1", OFFSET($A$1, 296 - 1, 60 - 1) = "1" ), 1, IF( AND( OFFSET($A$1, 296 - 1, 59 - 1) = "1", OFFSET($A$1, 296 - 1, 60 - 1) = "0" ), 2, IF( AND( OFFSET($A$1, 296 - 1, 59 - 1) = "0", OFFSET($A$1, 296 - 1, 60 - 1) = "1" ), 3, 4 ) ) )</f>
        <v>4</v>
      </c>
      <c r="BK296" s="3">
        <v>6.6350710900473939E-2</v>
      </c>
      <c r="BL296" s="3" t="str">
        <f t="shared" ref="BL296:BL302" si="29">"0"</f>
        <v>0</v>
      </c>
      <c r="BM296" t="str">
        <f ca="1">IF((OFFSET($A$1, 296 - 1, 63 - 1)) &gt;= (OFFSET($A$1, 135 - 1, 7 - 1)), "1","0")</f>
        <v>0</v>
      </c>
      <c r="BN296">
        <f ca="1" xml:space="preserve"> IF( AND( OFFSET($A$1, 296 - 1, 64 - 1) = "1", OFFSET($A$1, 296 - 1, 65 - 1) = "1" ), 1, IF( AND( OFFSET($A$1, 296 - 1, 64 - 1) = "1", OFFSET($A$1, 296 - 1, 65 - 1) = "0" ), 2, IF( AND( OFFSET($A$1, 296 - 1, 64 - 1) = "0", OFFSET($A$1, 296 - 1, 65 - 1) = "1" ), 3, 4 ) ) )</f>
        <v>4</v>
      </c>
    </row>
    <row r="297" spans="58:66" x14ac:dyDescent="0.2">
      <c r="BF297" s="3">
        <v>0.34722222222222221</v>
      </c>
      <c r="BG297" s="3" t="str">
        <f>"0"</f>
        <v>0</v>
      </c>
      <c r="BH297" t="str">
        <f ca="1">IF((OFFSET($A$1, 297 - 1, 58 - 1)) &gt;= (OFFSET($A$1, 96 - 1, 7 - 1)), "1","0")</f>
        <v>0</v>
      </c>
      <c r="BI297">
        <f ca="1" xml:space="preserve"> IF( AND( OFFSET($A$1, 297 - 1, 59 - 1) = "1", OFFSET($A$1, 297 - 1, 60 - 1) = "1" ), 1, IF( AND( OFFSET($A$1, 297 - 1, 59 - 1) = "1", OFFSET($A$1, 297 - 1, 60 - 1) = "0" ), 2, IF( AND( OFFSET($A$1, 297 - 1, 59 - 1) = "0", OFFSET($A$1, 297 - 1, 60 - 1) = "1" ), 3, 4 ) ) )</f>
        <v>4</v>
      </c>
      <c r="BK297" s="3">
        <v>0.36</v>
      </c>
      <c r="BL297" s="3" t="str">
        <f t="shared" si="29"/>
        <v>0</v>
      </c>
      <c r="BM297" t="str">
        <f ca="1">IF((OFFSET($A$1, 297 - 1, 63 - 1)) &gt;= (OFFSET($A$1, 135 - 1, 7 - 1)), "1","0")</f>
        <v>0</v>
      </c>
      <c r="BN297">
        <f ca="1" xml:space="preserve"> IF( AND( OFFSET($A$1, 297 - 1, 64 - 1) = "1", OFFSET($A$1, 297 - 1, 65 - 1) = "1" ), 1, IF( AND( OFFSET($A$1, 297 - 1, 64 - 1) = "1", OFFSET($A$1, 297 - 1, 65 - 1) = "0" ), 2, IF( AND( OFFSET($A$1, 297 - 1, 64 - 1) = "0", OFFSET($A$1, 297 - 1, 65 - 1) = "1" ), 3, 4 ) ) )</f>
        <v>4</v>
      </c>
    </row>
    <row r="298" spans="58:66" x14ac:dyDescent="0.2">
      <c r="BF298" s="3">
        <v>0.90579710144927539</v>
      </c>
      <c r="BG298" s="3" t="str">
        <f>"1"</f>
        <v>1</v>
      </c>
      <c r="BH298" t="str">
        <f ca="1">IF((OFFSET($A$1, 298 - 1, 58 - 1)) &gt;= (OFFSET($A$1, 96 - 1, 7 - 1)), "1","0")</f>
        <v>1</v>
      </c>
      <c r="BI298">
        <f ca="1" xml:space="preserve"> IF( AND( OFFSET($A$1, 298 - 1, 59 - 1) = "1", OFFSET($A$1, 298 - 1, 60 - 1) = "1" ), 1, IF( AND( OFFSET($A$1, 298 - 1, 59 - 1) = "1", OFFSET($A$1, 298 - 1, 60 - 1) = "0" ), 2, IF( AND( OFFSET($A$1, 298 - 1, 59 - 1) = "0", OFFSET($A$1, 298 - 1, 60 - 1) = "1" ), 3, 4 ) ) )</f>
        <v>1</v>
      </c>
      <c r="BK298" s="3">
        <v>6.6350710900473939E-2</v>
      </c>
      <c r="BL298" s="3" t="str">
        <f t="shared" si="29"/>
        <v>0</v>
      </c>
      <c r="BM298" t="str">
        <f ca="1">IF((OFFSET($A$1, 298 - 1, 63 - 1)) &gt;= (OFFSET($A$1, 135 - 1, 7 - 1)), "1","0")</f>
        <v>0</v>
      </c>
      <c r="BN298">
        <f ca="1" xml:space="preserve"> IF( AND( OFFSET($A$1, 298 - 1, 64 - 1) = "1", OFFSET($A$1, 298 - 1, 65 - 1) = "1" ), 1, IF( AND( OFFSET($A$1, 298 - 1, 64 - 1) = "1", OFFSET($A$1, 298 - 1, 65 - 1) = "0" ), 2, IF( AND( OFFSET($A$1, 298 - 1, 64 - 1) = "0", OFFSET($A$1, 298 - 1, 65 - 1) = "1" ), 3, 4 ) ) )</f>
        <v>4</v>
      </c>
    </row>
    <row r="299" spans="58:66" x14ac:dyDescent="0.2">
      <c r="BF299" s="3">
        <v>0</v>
      </c>
      <c r="BG299" s="3" t="str">
        <f t="shared" ref="BG299:BG307" si="30">"0"</f>
        <v>0</v>
      </c>
      <c r="BH299" t="str">
        <f ca="1">IF((OFFSET($A$1, 299 - 1, 58 - 1)) &gt;= (OFFSET($A$1, 96 - 1, 7 - 1)), "1","0")</f>
        <v>0</v>
      </c>
      <c r="BI299">
        <f ca="1" xml:space="preserve"> IF( AND( OFFSET($A$1, 299 - 1, 59 - 1) = "1", OFFSET($A$1, 299 - 1, 60 - 1) = "1" ), 1, IF( AND( OFFSET($A$1, 299 - 1, 59 - 1) = "1", OFFSET($A$1, 299 - 1, 60 - 1) = "0" ), 2, IF( AND( OFFSET($A$1, 299 - 1, 59 - 1) = "0", OFFSET($A$1, 299 - 1, 60 - 1) = "1" ), 3, 4 ) ) )</f>
        <v>4</v>
      </c>
      <c r="BK299" s="3">
        <v>6.6350710900473939E-2</v>
      </c>
      <c r="BL299" s="3" t="str">
        <f t="shared" si="29"/>
        <v>0</v>
      </c>
      <c r="BM299" t="str">
        <f ca="1">IF((OFFSET($A$1, 299 - 1, 63 - 1)) &gt;= (OFFSET($A$1, 135 - 1, 7 - 1)), "1","0")</f>
        <v>0</v>
      </c>
      <c r="BN299">
        <f ca="1" xml:space="preserve"> IF( AND( OFFSET($A$1, 299 - 1, 64 - 1) = "1", OFFSET($A$1, 299 - 1, 65 - 1) = "1" ), 1, IF( AND( OFFSET($A$1, 299 - 1, 64 - 1) = "1", OFFSET($A$1, 299 - 1, 65 - 1) = "0" ), 2, IF( AND( OFFSET($A$1, 299 - 1, 64 - 1) = "0", OFFSET($A$1, 299 - 1, 65 - 1) = "1" ), 3, 4 ) ) )</f>
        <v>4</v>
      </c>
    </row>
    <row r="300" spans="58:66" x14ac:dyDescent="0.2">
      <c r="BF300" s="3">
        <v>0</v>
      </c>
      <c r="BG300" s="3" t="str">
        <f t="shared" si="30"/>
        <v>0</v>
      </c>
      <c r="BH300" t="str">
        <f ca="1">IF((OFFSET($A$1, 300 - 1, 58 - 1)) &gt;= (OFFSET($A$1, 96 - 1, 7 - 1)), "1","0")</f>
        <v>0</v>
      </c>
      <c r="BI300">
        <f ca="1" xml:space="preserve"> IF( AND( OFFSET($A$1, 300 - 1, 59 - 1) = "1", OFFSET($A$1, 300 - 1, 60 - 1) = "1" ), 1, IF( AND( OFFSET($A$1, 300 - 1, 59 - 1) = "1", OFFSET($A$1, 300 - 1, 60 - 1) = "0" ), 2, IF( AND( OFFSET($A$1, 300 - 1, 59 - 1) = "0", OFFSET($A$1, 300 - 1, 60 - 1) = "1" ), 3, 4 ) ) )</f>
        <v>4</v>
      </c>
      <c r="BK300" s="3">
        <v>6.6350710900473939E-2</v>
      </c>
      <c r="BL300" s="3" t="str">
        <f t="shared" si="29"/>
        <v>0</v>
      </c>
      <c r="BM300" t="str">
        <f ca="1">IF((OFFSET($A$1, 300 - 1, 63 - 1)) &gt;= (OFFSET($A$1, 135 - 1, 7 - 1)), "1","0")</f>
        <v>0</v>
      </c>
      <c r="BN300">
        <f ca="1" xml:space="preserve"> IF( AND( OFFSET($A$1, 300 - 1, 64 - 1) = "1", OFFSET($A$1, 300 - 1, 65 - 1) = "1" ), 1, IF( AND( OFFSET($A$1, 300 - 1, 64 - 1) = "1", OFFSET($A$1, 300 - 1, 65 - 1) = "0" ), 2, IF( AND( OFFSET($A$1, 300 - 1, 64 - 1) = "0", OFFSET($A$1, 300 - 1, 65 - 1) = "1" ), 3, 4 ) ) )</f>
        <v>4</v>
      </c>
    </row>
    <row r="301" spans="58:66" x14ac:dyDescent="0.2">
      <c r="BF301" s="3">
        <v>0</v>
      </c>
      <c r="BG301" s="3" t="str">
        <f t="shared" si="30"/>
        <v>0</v>
      </c>
      <c r="BH301" t="str">
        <f ca="1">IF((OFFSET($A$1, 301 - 1, 58 - 1)) &gt;= (OFFSET($A$1, 96 - 1, 7 - 1)), "1","0")</f>
        <v>0</v>
      </c>
      <c r="BI301">
        <f ca="1" xml:space="preserve"> IF( AND( OFFSET($A$1, 301 - 1, 59 - 1) = "1", OFFSET($A$1, 301 - 1, 60 - 1) = "1" ), 1, IF( AND( OFFSET($A$1, 301 - 1, 59 - 1) = "1", OFFSET($A$1, 301 - 1, 60 - 1) = "0" ), 2, IF( AND( OFFSET($A$1, 301 - 1, 59 - 1) = "0", OFFSET($A$1, 301 - 1, 60 - 1) = "1" ), 3, 4 ) ) )</f>
        <v>4</v>
      </c>
      <c r="BK301" s="3">
        <v>2.5316455696202531E-2</v>
      </c>
      <c r="BL301" s="3" t="str">
        <f t="shared" si="29"/>
        <v>0</v>
      </c>
      <c r="BM301" t="str">
        <f ca="1">IF((OFFSET($A$1, 301 - 1, 63 - 1)) &gt;= (OFFSET($A$1, 135 - 1, 7 - 1)), "1","0")</f>
        <v>0</v>
      </c>
      <c r="BN301">
        <f ca="1" xml:space="preserve"> IF( AND( OFFSET($A$1, 301 - 1, 64 - 1) = "1", OFFSET($A$1, 301 - 1, 65 - 1) = "1" ), 1, IF( AND( OFFSET($A$1, 301 - 1, 64 - 1) = "1", OFFSET($A$1, 301 - 1, 65 - 1) = "0" ), 2, IF( AND( OFFSET($A$1, 301 - 1, 64 - 1) = "0", OFFSET($A$1, 301 - 1, 65 - 1) = "1" ), 3, 4 ) ) )</f>
        <v>4</v>
      </c>
    </row>
    <row r="302" spans="58:66" x14ac:dyDescent="0.2">
      <c r="BF302" s="3">
        <v>0</v>
      </c>
      <c r="BG302" s="3" t="str">
        <f t="shared" si="30"/>
        <v>0</v>
      </c>
      <c r="BH302" t="str">
        <f ca="1">IF((OFFSET($A$1, 302 - 1, 58 - 1)) &gt;= (OFFSET($A$1, 96 - 1, 7 - 1)), "1","0")</f>
        <v>0</v>
      </c>
      <c r="BI302">
        <f ca="1" xml:space="preserve"> IF( AND( OFFSET($A$1, 302 - 1, 59 - 1) = "1", OFFSET($A$1, 302 - 1, 60 - 1) = "1" ), 1, IF( AND( OFFSET($A$1, 302 - 1, 59 - 1) = "1", OFFSET($A$1, 302 - 1, 60 - 1) = "0" ), 2, IF( AND( OFFSET($A$1, 302 - 1, 59 - 1) = "0", OFFSET($A$1, 302 - 1, 60 - 1) = "1" ), 3, 4 ) ) )</f>
        <v>4</v>
      </c>
      <c r="BK302" s="3">
        <v>6.6350710900473939E-2</v>
      </c>
      <c r="BL302" s="3" t="str">
        <f t="shared" si="29"/>
        <v>0</v>
      </c>
      <c r="BM302" t="str">
        <f ca="1">IF((OFFSET($A$1, 302 - 1, 63 - 1)) &gt;= (OFFSET($A$1, 135 - 1, 7 - 1)), "1","0")</f>
        <v>0</v>
      </c>
      <c r="BN302">
        <f ca="1" xml:space="preserve"> IF( AND( OFFSET($A$1, 302 - 1, 64 - 1) = "1", OFFSET($A$1, 302 - 1, 65 - 1) = "1" ), 1, IF( AND( OFFSET($A$1, 302 - 1, 64 - 1) = "1", OFFSET($A$1, 302 - 1, 65 - 1) = "0" ), 2, IF( AND( OFFSET($A$1, 302 - 1, 64 - 1) = "0", OFFSET($A$1, 302 - 1, 65 - 1) = "1" ), 3, 4 ) ) )</f>
        <v>4</v>
      </c>
    </row>
    <row r="303" spans="58:66" x14ac:dyDescent="0.2">
      <c r="BF303" s="3">
        <v>0</v>
      </c>
      <c r="BG303" s="3" t="str">
        <f t="shared" si="30"/>
        <v>0</v>
      </c>
      <c r="BH303" t="str">
        <f ca="1">IF((OFFSET($A$1, 303 - 1, 58 - 1)) &gt;= (OFFSET($A$1, 96 - 1, 7 - 1)), "1","0")</f>
        <v>0</v>
      </c>
      <c r="BI303">
        <f ca="1" xml:space="preserve"> IF( AND( OFFSET($A$1, 303 - 1, 59 - 1) = "1", OFFSET($A$1, 303 - 1, 60 - 1) = "1" ), 1, IF( AND( OFFSET($A$1, 303 - 1, 59 - 1) = "1", OFFSET($A$1, 303 - 1, 60 - 1) = "0" ), 2, IF( AND( OFFSET($A$1, 303 - 1, 59 - 1) = "0", OFFSET($A$1, 303 - 1, 60 - 1) = "1" ), 3, 4 ) ) )</f>
        <v>4</v>
      </c>
      <c r="BK303" s="3">
        <v>6.6350710900473939E-2</v>
      </c>
      <c r="BL303" s="3" t="str">
        <f>"1"</f>
        <v>1</v>
      </c>
      <c r="BM303" t="str">
        <f ca="1">IF((OFFSET($A$1, 303 - 1, 63 - 1)) &gt;= (OFFSET($A$1, 135 - 1, 7 - 1)), "1","0")</f>
        <v>0</v>
      </c>
      <c r="BN303">
        <f ca="1" xml:space="preserve"> IF( AND( OFFSET($A$1, 303 - 1, 64 - 1) = "1", OFFSET($A$1, 303 - 1, 65 - 1) = "1" ), 1, IF( AND( OFFSET($A$1, 303 - 1, 64 - 1) = "1", OFFSET($A$1, 303 - 1, 65 - 1) = "0" ), 2, IF( AND( OFFSET($A$1, 303 - 1, 64 - 1) = "0", OFFSET($A$1, 303 - 1, 65 - 1) = "1" ), 3, 4 ) ) )</f>
        <v>2</v>
      </c>
    </row>
    <row r="304" spans="58:66" x14ac:dyDescent="0.2">
      <c r="BF304" s="3">
        <v>0</v>
      </c>
      <c r="BG304" s="3" t="str">
        <f t="shared" si="30"/>
        <v>0</v>
      </c>
      <c r="BH304" t="str">
        <f ca="1">IF((OFFSET($A$1, 304 - 1, 58 - 1)) &gt;= (OFFSET($A$1, 96 - 1, 7 - 1)), "1","0")</f>
        <v>0</v>
      </c>
      <c r="BI304">
        <f ca="1" xml:space="preserve"> IF( AND( OFFSET($A$1, 304 - 1, 59 - 1) = "1", OFFSET($A$1, 304 - 1, 60 - 1) = "1" ), 1, IF( AND( OFFSET($A$1, 304 - 1, 59 - 1) = "1", OFFSET($A$1, 304 - 1, 60 - 1) = "0" ), 2, IF( AND( OFFSET($A$1, 304 - 1, 59 - 1) = "0", OFFSET($A$1, 304 - 1, 60 - 1) = "1" ), 3, 4 ) ) )</f>
        <v>4</v>
      </c>
      <c r="BK304" s="3">
        <v>6.6350710900473939E-2</v>
      </c>
      <c r="BL304" s="3" t="str">
        <f t="shared" ref="BL304:BL313" si="31">"0"</f>
        <v>0</v>
      </c>
      <c r="BM304" t="str">
        <f ca="1">IF((OFFSET($A$1, 304 - 1, 63 - 1)) &gt;= (OFFSET($A$1, 135 - 1, 7 - 1)), "1","0")</f>
        <v>0</v>
      </c>
      <c r="BN304">
        <f ca="1" xml:space="preserve"> IF( AND( OFFSET($A$1, 304 - 1, 64 - 1) = "1", OFFSET($A$1, 304 - 1, 65 - 1) = "1" ), 1, IF( AND( OFFSET($A$1, 304 - 1, 64 - 1) = "1", OFFSET($A$1, 304 - 1, 65 - 1) = "0" ), 2, IF( AND( OFFSET($A$1, 304 - 1, 64 - 1) = "0", OFFSET($A$1, 304 - 1, 65 - 1) = "1" ), 3, 4 ) ) )</f>
        <v>4</v>
      </c>
    </row>
    <row r="305" spans="58:66" x14ac:dyDescent="0.2">
      <c r="BF305" s="3">
        <v>0.34722222222222221</v>
      </c>
      <c r="BG305" s="3" t="str">
        <f t="shared" si="30"/>
        <v>0</v>
      </c>
      <c r="BH305" t="str">
        <f ca="1">IF((OFFSET($A$1, 305 - 1, 58 - 1)) &gt;= (OFFSET($A$1, 96 - 1, 7 - 1)), "1","0")</f>
        <v>0</v>
      </c>
      <c r="BI305">
        <f ca="1" xml:space="preserve"> IF( AND( OFFSET($A$1, 305 - 1, 59 - 1) = "1", OFFSET($A$1, 305 - 1, 60 - 1) = "1" ), 1, IF( AND( OFFSET($A$1, 305 - 1, 59 - 1) = "1", OFFSET($A$1, 305 - 1, 60 - 1) = "0" ), 2, IF( AND( OFFSET($A$1, 305 - 1, 59 - 1) = "0", OFFSET($A$1, 305 - 1, 60 - 1) = "1" ), 3, 4 ) ) )</f>
        <v>4</v>
      </c>
      <c r="BK305" s="3">
        <v>6.6350710900473939E-2</v>
      </c>
      <c r="BL305" s="3" t="str">
        <f t="shared" si="31"/>
        <v>0</v>
      </c>
      <c r="BM305" t="str">
        <f ca="1">IF((OFFSET($A$1, 305 - 1, 63 - 1)) &gt;= (OFFSET($A$1, 135 - 1, 7 - 1)), "1","0")</f>
        <v>0</v>
      </c>
      <c r="BN305">
        <f ca="1" xml:space="preserve"> IF( AND( OFFSET($A$1, 305 - 1, 64 - 1) = "1", OFFSET($A$1, 305 - 1, 65 - 1) = "1" ), 1, IF( AND( OFFSET($A$1, 305 - 1, 64 - 1) = "1", OFFSET($A$1, 305 - 1, 65 - 1) = "0" ), 2, IF( AND( OFFSET($A$1, 305 - 1, 64 - 1) = "0", OFFSET($A$1, 305 - 1, 65 - 1) = "1" ), 3, 4 ) ) )</f>
        <v>4</v>
      </c>
    </row>
    <row r="306" spans="58:66" x14ac:dyDescent="0.2">
      <c r="BF306" s="3">
        <v>0</v>
      </c>
      <c r="BG306" s="3" t="str">
        <f t="shared" si="30"/>
        <v>0</v>
      </c>
      <c r="BH306" t="str">
        <f ca="1">IF((OFFSET($A$1, 306 - 1, 58 - 1)) &gt;= (OFFSET($A$1, 96 - 1, 7 - 1)), "1","0")</f>
        <v>0</v>
      </c>
      <c r="BI306">
        <f ca="1" xml:space="preserve"> IF( AND( OFFSET($A$1, 306 - 1, 59 - 1) = "1", OFFSET($A$1, 306 - 1, 60 - 1) = "1" ), 1, IF( AND( OFFSET($A$1, 306 - 1, 59 - 1) = "1", OFFSET($A$1, 306 - 1, 60 - 1) = "0" ), 2, IF( AND( OFFSET($A$1, 306 - 1, 59 - 1) = "0", OFFSET($A$1, 306 - 1, 60 - 1) = "1" ), 3, 4 ) ) )</f>
        <v>4</v>
      </c>
      <c r="BK306" s="3">
        <v>6.6350710900473939E-2</v>
      </c>
      <c r="BL306" s="3" t="str">
        <f t="shared" si="31"/>
        <v>0</v>
      </c>
      <c r="BM306" t="str">
        <f ca="1">IF((OFFSET($A$1, 306 - 1, 63 - 1)) &gt;= (OFFSET($A$1, 135 - 1, 7 - 1)), "1","0")</f>
        <v>0</v>
      </c>
      <c r="BN306">
        <f ca="1" xml:space="preserve"> IF( AND( OFFSET($A$1, 306 - 1, 64 - 1) = "1", OFFSET($A$1, 306 - 1, 65 - 1) = "1" ), 1, IF( AND( OFFSET($A$1, 306 - 1, 64 - 1) = "1", OFFSET($A$1, 306 - 1, 65 - 1) = "0" ), 2, IF( AND( OFFSET($A$1, 306 - 1, 64 - 1) = "0", OFFSET($A$1, 306 - 1, 65 - 1) = "1" ), 3, 4 ) ) )</f>
        <v>4</v>
      </c>
    </row>
    <row r="307" spans="58:66" x14ac:dyDescent="0.2">
      <c r="BF307" s="3">
        <v>0</v>
      </c>
      <c r="BG307" s="3" t="str">
        <f t="shared" si="30"/>
        <v>0</v>
      </c>
      <c r="BH307" t="str">
        <f ca="1">IF((OFFSET($A$1, 307 - 1, 58 - 1)) &gt;= (OFFSET($A$1, 96 - 1, 7 - 1)), "1","0")</f>
        <v>0</v>
      </c>
      <c r="BI307">
        <f ca="1" xml:space="preserve"> IF( AND( OFFSET($A$1, 307 - 1, 59 - 1) = "1", OFFSET($A$1, 307 - 1, 60 - 1) = "1" ), 1, IF( AND( OFFSET($A$1, 307 - 1, 59 - 1) = "1", OFFSET($A$1, 307 - 1, 60 - 1) = "0" ), 2, IF( AND( OFFSET($A$1, 307 - 1, 59 - 1) = "0", OFFSET($A$1, 307 - 1, 60 - 1) = "1" ), 3, 4 ) ) )</f>
        <v>4</v>
      </c>
      <c r="BK307" s="3">
        <v>6.6350710900473939E-2</v>
      </c>
      <c r="BL307" s="3" t="str">
        <f t="shared" si="31"/>
        <v>0</v>
      </c>
      <c r="BM307" t="str">
        <f ca="1">IF((OFFSET($A$1, 307 - 1, 63 - 1)) &gt;= (OFFSET($A$1, 135 - 1, 7 - 1)), "1","0")</f>
        <v>0</v>
      </c>
      <c r="BN307">
        <f ca="1" xml:space="preserve"> IF( AND( OFFSET($A$1, 307 - 1, 64 - 1) = "1", OFFSET($A$1, 307 - 1, 65 - 1) = "1" ), 1, IF( AND( OFFSET($A$1, 307 - 1, 64 - 1) = "1", OFFSET($A$1, 307 - 1, 65 - 1) = "0" ), 2, IF( AND( OFFSET($A$1, 307 - 1, 64 - 1) = "0", OFFSET($A$1, 307 - 1, 65 - 1) = "1" ), 3, 4 ) ) )</f>
        <v>4</v>
      </c>
    </row>
    <row r="308" spans="58:66" x14ac:dyDescent="0.2">
      <c r="BF308" s="3">
        <v>0.90579710144927539</v>
      </c>
      <c r="BG308" s="3" t="str">
        <f>"1"</f>
        <v>1</v>
      </c>
      <c r="BH308" t="str">
        <f ca="1">IF((OFFSET($A$1, 308 - 1, 58 - 1)) &gt;= (OFFSET($A$1, 96 - 1, 7 - 1)), "1","0")</f>
        <v>1</v>
      </c>
      <c r="BI308">
        <f ca="1" xml:space="preserve"> IF( AND( OFFSET($A$1, 308 - 1, 59 - 1) = "1", OFFSET($A$1, 308 - 1, 60 - 1) = "1" ), 1, IF( AND( OFFSET($A$1, 308 - 1, 59 - 1) = "1", OFFSET($A$1, 308 - 1, 60 - 1) = "0" ), 2, IF( AND( OFFSET($A$1, 308 - 1, 59 - 1) = "0", OFFSET($A$1, 308 - 1, 60 - 1) = "1" ), 3, 4 ) ) )</f>
        <v>1</v>
      </c>
      <c r="BK308" s="3">
        <v>0.36</v>
      </c>
      <c r="BL308" s="3" t="str">
        <f t="shared" si="31"/>
        <v>0</v>
      </c>
      <c r="BM308" t="str">
        <f ca="1">IF((OFFSET($A$1, 308 - 1, 63 - 1)) &gt;= (OFFSET($A$1, 135 - 1, 7 - 1)), "1","0")</f>
        <v>0</v>
      </c>
      <c r="BN308">
        <f ca="1" xml:space="preserve"> IF( AND( OFFSET($A$1, 308 - 1, 64 - 1) = "1", OFFSET($A$1, 308 - 1, 65 - 1) = "1" ), 1, IF( AND( OFFSET($A$1, 308 - 1, 64 - 1) = "1", OFFSET($A$1, 308 - 1, 65 - 1) = "0" ), 2, IF( AND( OFFSET($A$1, 308 - 1, 64 - 1) = "0", OFFSET($A$1, 308 - 1, 65 - 1) = "1" ), 3, 4 ) ) )</f>
        <v>4</v>
      </c>
    </row>
    <row r="309" spans="58:66" x14ac:dyDescent="0.2">
      <c r="BF309" s="3">
        <v>0.1081081081081081</v>
      </c>
      <c r="BG309" s="3" t="str">
        <f t="shared" ref="BG309:BG315" si="32">"0"</f>
        <v>0</v>
      </c>
      <c r="BH309" t="str">
        <f ca="1">IF((OFFSET($A$1, 309 - 1, 58 - 1)) &gt;= (OFFSET($A$1, 96 - 1, 7 - 1)), "1","0")</f>
        <v>0</v>
      </c>
      <c r="BI309">
        <f ca="1" xml:space="preserve"> IF( AND( OFFSET($A$1, 309 - 1, 59 - 1) = "1", OFFSET($A$1, 309 - 1, 60 - 1) = "1" ), 1, IF( AND( OFFSET($A$1, 309 - 1, 59 - 1) = "1", OFFSET($A$1, 309 - 1, 60 - 1) = "0" ), 2, IF( AND( OFFSET($A$1, 309 - 1, 59 - 1) = "0", OFFSET($A$1, 309 - 1, 60 - 1) = "1" ), 3, 4 ) ) )</f>
        <v>4</v>
      </c>
      <c r="BK309" s="3">
        <v>6.6350710900473939E-2</v>
      </c>
      <c r="BL309" s="3" t="str">
        <f t="shared" si="31"/>
        <v>0</v>
      </c>
      <c r="BM309" t="str">
        <f ca="1">IF((OFFSET($A$1, 309 - 1, 63 - 1)) &gt;= (OFFSET($A$1, 135 - 1, 7 - 1)), "1","0")</f>
        <v>0</v>
      </c>
      <c r="BN309">
        <f ca="1" xml:space="preserve"> IF( AND( OFFSET($A$1, 309 - 1, 64 - 1) = "1", OFFSET($A$1, 309 - 1, 65 - 1) = "1" ), 1, IF( AND( OFFSET($A$1, 309 - 1, 64 - 1) = "1", OFFSET($A$1, 309 - 1, 65 - 1) = "0" ), 2, IF( AND( OFFSET($A$1, 309 - 1, 64 - 1) = "0", OFFSET($A$1, 309 - 1, 65 - 1) = "1" ), 3, 4 ) ) )</f>
        <v>4</v>
      </c>
    </row>
    <row r="310" spans="58:66" x14ac:dyDescent="0.2">
      <c r="BF310" s="3">
        <v>0.38775510204081637</v>
      </c>
      <c r="BG310" s="3" t="str">
        <f t="shared" si="32"/>
        <v>0</v>
      </c>
      <c r="BH310" t="str">
        <f ca="1">IF((OFFSET($A$1, 310 - 1, 58 - 1)) &gt;= (OFFSET($A$1, 96 - 1, 7 - 1)), "1","0")</f>
        <v>0</v>
      </c>
      <c r="BI310">
        <f ca="1" xml:space="preserve"> IF( AND( OFFSET($A$1, 310 - 1, 59 - 1) = "1", OFFSET($A$1, 310 - 1, 60 - 1) = "1" ), 1, IF( AND( OFFSET($A$1, 310 - 1, 59 - 1) = "1", OFFSET($A$1, 310 - 1, 60 - 1) = "0" ), 2, IF( AND( OFFSET($A$1, 310 - 1, 59 - 1) = "0", OFFSET($A$1, 310 - 1, 60 - 1) = "1" ), 3, 4 ) ) )</f>
        <v>4</v>
      </c>
      <c r="BK310" s="3">
        <v>6.6350710900473939E-2</v>
      </c>
      <c r="BL310" s="3" t="str">
        <f t="shared" si="31"/>
        <v>0</v>
      </c>
      <c r="BM310" t="str">
        <f ca="1">IF((OFFSET($A$1, 310 - 1, 63 - 1)) &gt;= (OFFSET($A$1, 135 - 1, 7 - 1)), "1","0")</f>
        <v>0</v>
      </c>
      <c r="BN310">
        <f ca="1" xml:space="preserve"> IF( AND( OFFSET($A$1, 310 - 1, 64 - 1) = "1", OFFSET($A$1, 310 - 1, 65 - 1) = "1" ), 1, IF( AND( OFFSET($A$1, 310 - 1, 64 - 1) = "1", OFFSET($A$1, 310 - 1, 65 - 1) = "0" ), 2, IF( AND( OFFSET($A$1, 310 - 1, 64 - 1) = "0", OFFSET($A$1, 310 - 1, 65 - 1) = "1" ), 3, 4 ) ) )</f>
        <v>4</v>
      </c>
    </row>
    <row r="311" spans="58:66" x14ac:dyDescent="0.2">
      <c r="BF311" s="3">
        <v>0</v>
      </c>
      <c r="BG311" s="3" t="str">
        <f t="shared" si="32"/>
        <v>0</v>
      </c>
      <c r="BH311" t="str">
        <f ca="1">IF((OFFSET($A$1, 311 - 1, 58 - 1)) &gt;= (OFFSET($A$1, 96 - 1, 7 - 1)), "1","0")</f>
        <v>0</v>
      </c>
      <c r="BI311">
        <f ca="1" xml:space="preserve"> IF( AND( OFFSET($A$1, 311 - 1, 59 - 1) = "1", OFFSET($A$1, 311 - 1, 60 - 1) = "1" ), 1, IF( AND( OFFSET($A$1, 311 - 1, 59 - 1) = "1", OFFSET($A$1, 311 - 1, 60 - 1) = "0" ), 2, IF( AND( OFFSET($A$1, 311 - 1, 59 - 1) = "0", OFFSET($A$1, 311 - 1, 60 - 1) = "1" ), 3, 4 ) ) )</f>
        <v>4</v>
      </c>
      <c r="BK311" s="3">
        <v>6.6350710900473939E-2</v>
      </c>
      <c r="BL311" s="3" t="str">
        <f t="shared" si="31"/>
        <v>0</v>
      </c>
      <c r="BM311" t="str">
        <f ca="1">IF((OFFSET($A$1, 311 - 1, 63 - 1)) &gt;= (OFFSET($A$1, 135 - 1, 7 - 1)), "1","0")</f>
        <v>0</v>
      </c>
      <c r="BN311">
        <f ca="1" xml:space="preserve"> IF( AND( OFFSET($A$1, 311 - 1, 64 - 1) = "1", OFFSET($A$1, 311 - 1, 65 - 1) = "1" ), 1, IF( AND( OFFSET($A$1, 311 - 1, 64 - 1) = "1", OFFSET($A$1, 311 - 1, 65 - 1) = "0" ), 2, IF( AND( OFFSET($A$1, 311 - 1, 64 - 1) = "0", OFFSET($A$1, 311 - 1, 65 - 1) = "1" ), 3, 4 ) ) )</f>
        <v>4</v>
      </c>
    </row>
    <row r="312" spans="58:66" x14ac:dyDescent="0.2">
      <c r="BF312" s="3">
        <v>0</v>
      </c>
      <c r="BG312" s="3" t="str">
        <f t="shared" si="32"/>
        <v>0</v>
      </c>
      <c r="BH312" t="str">
        <f ca="1">IF((OFFSET($A$1, 312 - 1, 58 - 1)) &gt;= (OFFSET($A$1, 96 - 1, 7 - 1)), "1","0")</f>
        <v>0</v>
      </c>
      <c r="BI312">
        <f ca="1" xml:space="preserve"> IF( AND( OFFSET($A$1, 312 - 1, 59 - 1) = "1", OFFSET($A$1, 312 - 1, 60 - 1) = "1" ), 1, IF( AND( OFFSET($A$1, 312 - 1, 59 - 1) = "1", OFFSET($A$1, 312 - 1, 60 - 1) = "0" ), 2, IF( AND( OFFSET($A$1, 312 - 1, 59 - 1) = "0", OFFSET($A$1, 312 - 1, 60 - 1) = "1" ), 3, 4 ) ) )</f>
        <v>4</v>
      </c>
      <c r="BK312" s="3">
        <v>6.6350710900473939E-2</v>
      </c>
      <c r="BL312" s="3" t="str">
        <f t="shared" si="31"/>
        <v>0</v>
      </c>
      <c r="BM312" t="str">
        <f ca="1">IF((OFFSET($A$1, 312 - 1, 63 - 1)) &gt;= (OFFSET($A$1, 135 - 1, 7 - 1)), "1","0")</f>
        <v>0</v>
      </c>
      <c r="BN312">
        <f ca="1" xml:space="preserve"> IF( AND( OFFSET($A$1, 312 - 1, 64 - 1) = "1", OFFSET($A$1, 312 - 1, 65 - 1) = "1" ), 1, IF( AND( OFFSET($A$1, 312 - 1, 64 - 1) = "1", OFFSET($A$1, 312 - 1, 65 - 1) = "0" ), 2, IF( AND( OFFSET($A$1, 312 - 1, 64 - 1) = "0", OFFSET($A$1, 312 - 1, 65 - 1) = "1" ), 3, 4 ) ) )</f>
        <v>4</v>
      </c>
    </row>
    <row r="313" spans="58:66" x14ac:dyDescent="0.2">
      <c r="BF313" s="3">
        <v>0.36</v>
      </c>
      <c r="BG313" s="3" t="str">
        <f t="shared" si="32"/>
        <v>0</v>
      </c>
      <c r="BH313" t="str">
        <f ca="1">IF((OFFSET($A$1, 313 - 1, 58 - 1)) &gt;= (OFFSET($A$1, 96 - 1, 7 - 1)), "1","0")</f>
        <v>0</v>
      </c>
      <c r="BI313">
        <f ca="1" xml:space="preserve"> IF( AND( OFFSET($A$1, 313 - 1, 59 - 1) = "1", OFFSET($A$1, 313 - 1, 60 - 1) = "1" ), 1, IF( AND( OFFSET($A$1, 313 - 1, 59 - 1) = "1", OFFSET($A$1, 313 - 1, 60 - 1) = "0" ), 2, IF( AND( OFFSET($A$1, 313 - 1, 59 - 1) = "0", OFFSET($A$1, 313 - 1, 60 - 1) = "1" ), 3, 4 ) ) )</f>
        <v>4</v>
      </c>
      <c r="BK313" s="3">
        <v>6.6350710900473939E-2</v>
      </c>
      <c r="BL313" s="3" t="str">
        <f t="shared" si="31"/>
        <v>0</v>
      </c>
      <c r="BM313" t="str">
        <f ca="1">IF((OFFSET($A$1, 313 - 1, 63 - 1)) &gt;= (OFFSET($A$1, 135 - 1, 7 - 1)), "1","0")</f>
        <v>0</v>
      </c>
      <c r="BN313">
        <f ca="1" xml:space="preserve"> IF( AND( OFFSET($A$1, 313 - 1, 64 - 1) = "1", OFFSET($A$1, 313 - 1, 65 - 1) = "1" ), 1, IF( AND( OFFSET($A$1, 313 - 1, 64 - 1) = "1", OFFSET($A$1, 313 - 1, 65 - 1) = "0" ), 2, IF( AND( OFFSET($A$1, 313 - 1, 64 - 1) = "0", OFFSET($A$1, 313 - 1, 65 - 1) = "1" ), 3, 4 ) ) )</f>
        <v>4</v>
      </c>
    </row>
    <row r="314" spans="58:66" x14ac:dyDescent="0.2">
      <c r="BF314" s="3">
        <v>0</v>
      </c>
      <c r="BG314" s="3" t="str">
        <f t="shared" si="32"/>
        <v>0</v>
      </c>
      <c r="BH314" t="str">
        <f ca="1">IF((OFFSET($A$1, 314 - 1, 58 - 1)) &gt;= (OFFSET($A$1, 96 - 1, 7 - 1)), "1","0")</f>
        <v>0</v>
      </c>
      <c r="BI314">
        <f ca="1" xml:space="preserve"> IF( AND( OFFSET($A$1, 314 - 1, 59 - 1) = "1", OFFSET($A$1, 314 - 1, 60 - 1) = "1" ), 1, IF( AND( OFFSET($A$1, 314 - 1, 59 - 1) = "1", OFFSET($A$1, 314 - 1, 60 - 1) = "0" ), 2, IF( AND( OFFSET($A$1, 314 - 1, 59 - 1) = "0", OFFSET($A$1, 314 - 1, 60 - 1) = "1" ), 3, 4 ) ) )</f>
        <v>4</v>
      </c>
      <c r="BK314" s="3">
        <v>0.38775510204081637</v>
      </c>
      <c r="BL314" s="3" t="str">
        <f>"1"</f>
        <v>1</v>
      </c>
      <c r="BM314" t="str">
        <f ca="1">IF((OFFSET($A$1, 314 - 1, 63 - 1)) &gt;= (OFFSET($A$1, 135 - 1, 7 - 1)), "1","0")</f>
        <v>0</v>
      </c>
      <c r="BN314">
        <f ca="1" xml:space="preserve"> IF( AND( OFFSET($A$1, 314 - 1, 64 - 1) = "1", OFFSET($A$1, 314 - 1, 65 - 1) = "1" ), 1, IF( AND( OFFSET($A$1, 314 - 1, 64 - 1) = "1", OFFSET($A$1, 314 - 1, 65 - 1) = "0" ), 2, IF( AND( OFFSET($A$1, 314 - 1, 64 - 1) = "0", OFFSET($A$1, 314 - 1, 65 - 1) = "1" ), 3, 4 ) ) )</f>
        <v>2</v>
      </c>
    </row>
    <row r="315" spans="58:66" x14ac:dyDescent="0.2">
      <c r="BF315" s="3">
        <v>0</v>
      </c>
      <c r="BG315" s="3" t="str">
        <f t="shared" si="32"/>
        <v>0</v>
      </c>
      <c r="BH315" t="str">
        <f ca="1">IF((OFFSET($A$1, 315 - 1, 58 - 1)) &gt;= (OFFSET($A$1, 96 - 1, 7 - 1)), "1","0")</f>
        <v>0</v>
      </c>
      <c r="BI315">
        <f ca="1" xml:space="preserve"> IF( AND( OFFSET($A$1, 315 - 1, 59 - 1) = "1", OFFSET($A$1, 315 - 1, 60 - 1) = "1" ), 1, IF( AND( OFFSET($A$1, 315 - 1, 59 - 1) = "1", OFFSET($A$1, 315 - 1, 60 - 1) = "0" ), 2, IF( AND( OFFSET($A$1, 315 - 1, 59 - 1) = "0", OFFSET($A$1, 315 - 1, 60 - 1) = "1" ), 3, 4 ) ) )</f>
        <v>4</v>
      </c>
      <c r="BK315" s="3">
        <v>2.5316455696202531E-2</v>
      </c>
      <c r="BL315" s="3" t="str">
        <f>"0"</f>
        <v>0</v>
      </c>
      <c r="BM315" t="str">
        <f ca="1">IF((OFFSET($A$1, 315 - 1, 63 - 1)) &gt;= (OFFSET($A$1, 135 - 1, 7 - 1)), "1","0")</f>
        <v>0</v>
      </c>
      <c r="BN315">
        <f ca="1" xml:space="preserve"> IF( AND( OFFSET($A$1, 315 - 1, 64 - 1) = "1", OFFSET($A$1, 315 - 1, 65 - 1) = "1" ), 1, IF( AND( OFFSET($A$1, 315 - 1, 64 - 1) = "1", OFFSET($A$1, 315 - 1, 65 - 1) = "0" ), 2, IF( AND( OFFSET($A$1, 315 - 1, 64 - 1) = "0", OFFSET($A$1, 315 - 1, 65 - 1) = "1" ), 3, 4 ) ) )</f>
        <v>4</v>
      </c>
    </row>
    <row r="316" spans="58:66" x14ac:dyDescent="0.2">
      <c r="BF316" s="3">
        <v>0.47692307692307689</v>
      </c>
      <c r="BG316" s="3" t="str">
        <f>"1"</f>
        <v>1</v>
      </c>
      <c r="BH316" t="str">
        <f ca="1">IF((OFFSET($A$1, 316 - 1, 58 - 1)) &gt;= (OFFSET($A$1, 96 - 1, 7 - 1)), "1","0")</f>
        <v>0</v>
      </c>
      <c r="BI316">
        <f ca="1" xml:space="preserve"> IF( AND( OFFSET($A$1, 316 - 1, 59 - 1) = "1", OFFSET($A$1, 316 - 1, 60 - 1) = "1" ), 1, IF( AND( OFFSET($A$1, 316 - 1, 59 - 1) = "1", OFFSET($A$1, 316 - 1, 60 - 1) = "0" ), 2, IF( AND( OFFSET($A$1, 316 - 1, 59 - 1) = "0", OFFSET($A$1, 316 - 1, 60 - 1) = "1" ), 3, 4 ) ) )</f>
        <v>2</v>
      </c>
      <c r="BK316" s="3">
        <v>6.6350710900473939E-2</v>
      </c>
      <c r="BL316" s="3" t="str">
        <f>"0"</f>
        <v>0</v>
      </c>
      <c r="BM316" t="str">
        <f ca="1">IF((OFFSET($A$1, 316 - 1, 63 - 1)) &gt;= (OFFSET($A$1, 135 - 1, 7 - 1)), "1","0")</f>
        <v>0</v>
      </c>
      <c r="BN316">
        <f ca="1" xml:space="preserve"> IF( AND( OFFSET($A$1, 316 - 1, 64 - 1) = "1", OFFSET($A$1, 316 - 1, 65 - 1) = "1" ), 1, IF( AND( OFFSET($A$1, 316 - 1, 64 - 1) = "1", OFFSET($A$1, 316 - 1, 65 - 1) = "0" ), 2, IF( AND( OFFSET($A$1, 316 - 1, 64 - 1) = "0", OFFSET($A$1, 316 - 1, 65 - 1) = "1" ), 3, 4 ) ) )</f>
        <v>4</v>
      </c>
    </row>
    <row r="317" spans="58:66" x14ac:dyDescent="0.2">
      <c r="BF317" s="3">
        <v>3.7037037037037042E-2</v>
      </c>
      <c r="BG317" s="3" t="str">
        <f>"0"</f>
        <v>0</v>
      </c>
      <c r="BH317" t="str">
        <f ca="1">IF((OFFSET($A$1, 317 - 1, 58 - 1)) &gt;= (OFFSET($A$1, 96 - 1, 7 - 1)), "1","0")</f>
        <v>0</v>
      </c>
      <c r="BI317">
        <f ca="1" xml:space="preserve"> IF( AND( OFFSET($A$1, 317 - 1, 59 - 1) = "1", OFFSET($A$1, 317 - 1, 60 - 1) = "1" ), 1, IF( AND( OFFSET($A$1, 317 - 1, 59 - 1) = "1", OFFSET($A$1, 317 - 1, 60 - 1) = "0" ), 2, IF( AND( OFFSET($A$1, 317 - 1, 59 - 1) = "0", OFFSET($A$1, 317 - 1, 60 - 1) = "1" ), 3, 4 ) ) )</f>
        <v>4</v>
      </c>
      <c r="BK317" s="3">
        <v>6.6350710900473939E-2</v>
      </c>
      <c r="BL317" s="3" t="str">
        <f>"0"</f>
        <v>0</v>
      </c>
      <c r="BM317" t="str">
        <f ca="1">IF((OFFSET($A$1, 317 - 1, 63 - 1)) &gt;= (OFFSET($A$1, 135 - 1, 7 - 1)), "1","0")</f>
        <v>0</v>
      </c>
      <c r="BN317">
        <f ca="1" xml:space="preserve"> IF( AND( OFFSET($A$1, 317 - 1, 64 - 1) = "1", OFFSET($A$1, 317 - 1, 65 - 1) = "1" ), 1, IF( AND( OFFSET($A$1, 317 - 1, 64 - 1) = "1", OFFSET($A$1, 317 - 1, 65 - 1) = "0" ), 2, IF( AND( OFFSET($A$1, 317 - 1, 64 - 1) = "0", OFFSET($A$1, 317 - 1, 65 - 1) = "1" ), 3, 4 ) ) )</f>
        <v>4</v>
      </c>
    </row>
    <row r="318" spans="58:66" x14ac:dyDescent="0.2">
      <c r="BF318" s="3">
        <v>3.7037037037037042E-2</v>
      </c>
      <c r="BG318" s="3" t="str">
        <f>"0"</f>
        <v>0</v>
      </c>
      <c r="BH318" t="str">
        <f ca="1">IF((OFFSET($A$1, 318 - 1, 58 - 1)) &gt;= (OFFSET($A$1, 96 - 1, 7 - 1)), "1","0")</f>
        <v>0</v>
      </c>
      <c r="BI318">
        <f ca="1" xml:space="preserve"> IF( AND( OFFSET($A$1, 318 - 1, 59 - 1) = "1", OFFSET($A$1, 318 - 1, 60 - 1) = "1" ), 1, IF( AND( OFFSET($A$1, 318 - 1, 59 - 1) = "1", OFFSET($A$1, 318 - 1, 60 - 1) = "0" ), 2, IF( AND( OFFSET($A$1, 318 - 1, 59 - 1) = "0", OFFSET($A$1, 318 - 1, 60 - 1) = "1" ), 3, 4 ) ) )</f>
        <v>4</v>
      </c>
      <c r="BK318" s="3">
        <v>6.6350710900473939E-2</v>
      </c>
      <c r="BL318" s="3" t="str">
        <f>"0"</f>
        <v>0</v>
      </c>
      <c r="BM318" t="str">
        <f ca="1">IF((OFFSET($A$1, 318 - 1, 63 - 1)) &gt;= (OFFSET($A$1, 135 - 1, 7 - 1)), "1","0")</f>
        <v>0</v>
      </c>
      <c r="BN318">
        <f ca="1" xml:space="preserve"> IF( AND( OFFSET($A$1, 318 - 1, 64 - 1) = "1", OFFSET($A$1, 318 - 1, 65 - 1) = "1" ), 1, IF( AND( OFFSET($A$1, 318 - 1, 64 - 1) = "1", OFFSET($A$1, 318 - 1, 65 - 1) = "0" ), 2, IF( AND( OFFSET($A$1, 318 - 1, 64 - 1) = "0", OFFSET($A$1, 318 - 1, 65 - 1) = "1" ), 3, 4 ) ) )</f>
        <v>4</v>
      </c>
    </row>
    <row r="319" spans="58:66" x14ac:dyDescent="0.2">
      <c r="BF319" s="3">
        <v>0</v>
      </c>
      <c r="BG319" s="3" t="str">
        <f>"0"</f>
        <v>0</v>
      </c>
      <c r="BH319" t="str">
        <f ca="1">IF((OFFSET($A$1, 319 - 1, 58 - 1)) &gt;= (OFFSET($A$1, 96 - 1, 7 - 1)), "1","0")</f>
        <v>0</v>
      </c>
      <c r="BI319">
        <f ca="1" xml:space="preserve"> IF( AND( OFFSET($A$1, 319 - 1, 59 - 1) = "1", OFFSET($A$1, 319 - 1, 60 - 1) = "1" ), 1, IF( AND( OFFSET($A$1, 319 - 1, 59 - 1) = "1", OFFSET($A$1, 319 - 1, 60 - 1) = "0" ), 2, IF( AND( OFFSET($A$1, 319 - 1, 59 - 1) = "0", OFFSET($A$1, 319 - 1, 60 - 1) = "1" ), 3, 4 ) ) )</f>
        <v>4</v>
      </c>
      <c r="BK319" s="3">
        <v>6.6350710900473939E-2</v>
      </c>
      <c r="BL319" s="3" t="str">
        <f>"0"</f>
        <v>0</v>
      </c>
      <c r="BM319" t="str">
        <f ca="1">IF((OFFSET($A$1, 319 - 1, 63 - 1)) &gt;= (OFFSET($A$1, 135 - 1, 7 - 1)), "1","0")</f>
        <v>0</v>
      </c>
      <c r="BN319">
        <f ca="1" xml:space="preserve"> IF( AND( OFFSET($A$1, 319 - 1, 64 - 1) = "1", OFFSET($A$1, 319 - 1, 65 - 1) = "1" ), 1, IF( AND( OFFSET($A$1, 319 - 1, 64 - 1) = "1", OFFSET($A$1, 319 - 1, 65 - 1) = "0" ), 2, IF( AND( OFFSET($A$1, 319 - 1, 64 - 1) = "0", OFFSET($A$1, 319 - 1, 65 - 1) = "1" ), 3, 4 ) ) )</f>
        <v>4</v>
      </c>
    </row>
    <row r="320" spans="58:66" x14ac:dyDescent="0.2">
      <c r="BF320" s="3">
        <v>0</v>
      </c>
      <c r="BG320" s="3" t="str">
        <f>"0"</f>
        <v>0</v>
      </c>
      <c r="BH320" t="str">
        <f ca="1">IF((OFFSET($A$1, 320 - 1, 58 - 1)) &gt;= (OFFSET($A$1, 96 - 1, 7 - 1)), "1","0")</f>
        <v>0</v>
      </c>
      <c r="BI320">
        <f ca="1" xml:space="preserve"> IF( AND( OFFSET($A$1, 320 - 1, 59 - 1) = "1", OFFSET($A$1, 320 - 1, 60 - 1) = "1" ), 1, IF( AND( OFFSET($A$1, 320 - 1, 59 - 1) = "1", OFFSET($A$1, 320 - 1, 60 - 1) = "0" ), 2, IF( AND( OFFSET($A$1, 320 - 1, 59 - 1) = "0", OFFSET($A$1, 320 - 1, 60 - 1) = "1" ), 3, 4 ) ) )</f>
        <v>4</v>
      </c>
      <c r="BK320" s="3">
        <v>0.90579710144927539</v>
      </c>
      <c r="BL320" s="3" t="str">
        <f>"1"</f>
        <v>1</v>
      </c>
      <c r="BM320" t="str">
        <f ca="1">IF((OFFSET($A$1, 320 - 1, 63 - 1)) &gt;= (OFFSET($A$1, 135 - 1, 7 - 1)), "1","0")</f>
        <v>1</v>
      </c>
      <c r="BN320">
        <f ca="1" xml:space="preserve"> IF( AND( OFFSET($A$1, 320 - 1, 64 - 1) = "1", OFFSET($A$1, 320 - 1, 65 - 1) = "1" ), 1, IF( AND( OFFSET($A$1, 320 - 1, 64 - 1) = "1", OFFSET($A$1, 320 - 1, 65 - 1) = "0" ), 2, IF( AND( OFFSET($A$1, 320 - 1, 64 - 1) = "0", OFFSET($A$1, 320 - 1, 65 - 1) = "1" ), 3, 4 ) ) )</f>
        <v>1</v>
      </c>
    </row>
    <row r="321" spans="58:66" x14ac:dyDescent="0.2">
      <c r="BF321" s="3">
        <v>0.34722222222222221</v>
      </c>
      <c r="BG321" s="3" t="str">
        <f>"1"</f>
        <v>1</v>
      </c>
      <c r="BH321" t="str">
        <f ca="1">IF((OFFSET($A$1, 321 - 1, 58 - 1)) &gt;= (OFFSET($A$1, 96 - 1, 7 - 1)), "1","0")</f>
        <v>0</v>
      </c>
      <c r="BI321">
        <f ca="1" xml:space="preserve"> IF( AND( OFFSET($A$1, 321 - 1, 59 - 1) = "1", OFFSET($A$1, 321 - 1, 60 - 1) = "1" ), 1, IF( AND( OFFSET($A$1, 321 - 1, 59 - 1) = "1", OFFSET($A$1, 321 - 1, 60 - 1) = "0" ), 2, IF( AND( OFFSET($A$1, 321 - 1, 59 - 1) = "0", OFFSET($A$1, 321 - 1, 60 - 1) = "1" ), 3, 4 ) ) )</f>
        <v>2</v>
      </c>
      <c r="BK321" s="3">
        <v>6.6350710900473939E-2</v>
      </c>
      <c r="BL321" s="3" t="str">
        <f>"0"</f>
        <v>0</v>
      </c>
      <c r="BM321" t="str">
        <f ca="1">IF((OFFSET($A$1, 321 - 1, 63 - 1)) &gt;= (OFFSET($A$1, 135 - 1, 7 - 1)), "1","0")</f>
        <v>0</v>
      </c>
      <c r="BN321">
        <f ca="1" xml:space="preserve"> IF( AND( OFFSET($A$1, 321 - 1, 64 - 1) = "1", OFFSET($A$1, 321 - 1, 65 - 1) = "1" ), 1, IF( AND( OFFSET($A$1, 321 - 1, 64 - 1) = "1", OFFSET($A$1, 321 - 1, 65 - 1) = "0" ), 2, IF( AND( OFFSET($A$1, 321 - 1, 64 - 1) = "0", OFFSET($A$1, 321 - 1, 65 - 1) = "1" ), 3, 4 ) ) )</f>
        <v>4</v>
      </c>
    </row>
    <row r="322" spans="58:66" x14ac:dyDescent="0.2">
      <c r="BF322" s="3">
        <v>0.1081081081081081</v>
      </c>
      <c r="BG322" s="3" t="str">
        <f>"0"</f>
        <v>0</v>
      </c>
      <c r="BH322" t="str">
        <f ca="1">IF((OFFSET($A$1, 322 - 1, 58 - 1)) &gt;= (OFFSET($A$1, 96 - 1, 7 - 1)), "1","0")</f>
        <v>0</v>
      </c>
      <c r="BI322">
        <f ca="1" xml:space="preserve"> IF( AND( OFFSET($A$1, 322 - 1, 59 - 1) = "1", OFFSET($A$1, 322 - 1, 60 - 1) = "1" ), 1, IF( AND( OFFSET($A$1, 322 - 1, 59 - 1) = "1", OFFSET($A$1, 322 - 1, 60 - 1) = "0" ), 2, IF( AND( OFFSET($A$1, 322 - 1, 59 - 1) = "0", OFFSET($A$1, 322 - 1, 60 - 1) = "1" ), 3, 4 ) ) )</f>
        <v>4</v>
      </c>
      <c r="BK322" s="3">
        <v>6.6350710900473939E-2</v>
      </c>
      <c r="BL322" s="3" t="str">
        <f>"0"</f>
        <v>0</v>
      </c>
      <c r="BM322" t="str">
        <f ca="1">IF((OFFSET($A$1, 322 - 1, 63 - 1)) &gt;= (OFFSET($A$1, 135 - 1, 7 - 1)), "1","0")</f>
        <v>0</v>
      </c>
      <c r="BN322">
        <f ca="1" xml:space="preserve"> IF( AND( OFFSET($A$1, 322 - 1, 64 - 1) = "1", OFFSET($A$1, 322 - 1, 65 - 1) = "1" ), 1, IF( AND( OFFSET($A$1, 322 - 1, 64 - 1) = "1", OFFSET($A$1, 322 - 1, 65 - 1) = "0" ), 2, IF( AND( OFFSET($A$1, 322 - 1, 64 - 1) = "0", OFFSET($A$1, 322 - 1, 65 - 1) = "1" ), 3, 4 ) ) )</f>
        <v>4</v>
      </c>
    </row>
    <row r="323" spans="58:66" x14ac:dyDescent="0.2">
      <c r="BF323" s="3">
        <v>0.08</v>
      </c>
      <c r="BG323" s="3" t="str">
        <f>"0"</f>
        <v>0</v>
      </c>
      <c r="BH323" t="str">
        <f ca="1">IF((OFFSET($A$1, 323 - 1, 58 - 1)) &gt;= (OFFSET($A$1, 96 - 1, 7 - 1)), "1","0")</f>
        <v>0</v>
      </c>
      <c r="BI323">
        <f ca="1" xml:space="preserve"> IF( AND( OFFSET($A$1, 323 - 1, 59 - 1) = "1", OFFSET($A$1, 323 - 1, 60 - 1) = "1" ), 1, IF( AND( OFFSET($A$1, 323 - 1, 59 - 1) = "1", OFFSET($A$1, 323 - 1, 60 - 1) = "0" ), 2, IF( AND( OFFSET($A$1, 323 - 1, 59 - 1) = "0", OFFSET($A$1, 323 - 1, 60 - 1) = "1" ), 3, 4 ) ) )</f>
        <v>4</v>
      </c>
      <c r="BK323" s="3">
        <v>6.6350710900473939E-2</v>
      </c>
      <c r="BL323" s="3" t="str">
        <f>"1"</f>
        <v>1</v>
      </c>
      <c r="BM323" t="str">
        <f ca="1">IF((OFFSET($A$1, 323 - 1, 63 - 1)) &gt;= (OFFSET($A$1, 135 - 1, 7 - 1)), "1","0")</f>
        <v>0</v>
      </c>
      <c r="BN323">
        <f ca="1" xml:space="preserve"> IF( AND( OFFSET($A$1, 323 - 1, 64 - 1) = "1", OFFSET($A$1, 323 - 1, 65 - 1) = "1" ), 1, IF( AND( OFFSET($A$1, 323 - 1, 64 - 1) = "1", OFFSET($A$1, 323 - 1, 65 - 1) = "0" ), 2, IF( AND( OFFSET($A$1, 323 - 1, 64 - 1) = "0", OFFSET($A$1, 323 - 1, 65 - 1) = "1" ), 3, 4 ) ) )</f>
        <v>2</v>
      </c>
    </row>
    <row r="324" spans="58:66" x14ac:dyDescent="0.2">
      <c r="BF324" s="3">
        <v>0</v>
      </c>
      <c r="BG324" s="3" t="str">
        <f>"0"</f>
        <v>0</v>
      </c>
      <c r="BH324" t="str">
        <f ca="1">IF((OFFSET($A$1, 324 - 1, 58 - 1)) &gt;= (OFFSET($A$1, 96 - 1, 7 - 1)), "1","0")</f>
        <v>0</v>
      </c>
      <c r="BI324">
        <f ca="1" xml:space="preserve"> IF( AND( OFFSET($A$1, 324 - 1, 59 - 1) = "1", OFFSET($A$1, 324 - 1, 60 - 1) = "1" ), 1, IF( AND( OFFSET($A$1, 324 - 1, 59 - 1) = "1", OFFSET($A$1, 324 - 1, 60 - 1) = "0" ), 2, IF( AND( OFFSET($A$1, 324 - 1, 59 - 1) = "0", OFFSET($A$1, 324 - 1, 60 - 1) = "1" ), 3, 4 ) ) )</f>
        <v>4</v>
      </c>
      <c r="BK324" s="3">
        <v>6.6350710900473939E-2</v>
      </c>
      <c r="BL324" s="3" t="str">
        <f>"0"</f>
        <v>0</v>
      </c>
      <c r="BM324" t="str">
        <f ca="1">IF((OFFSET($A$1, 324 - 1, 63 - 1)) &gt;= (OFFSET($A$1, 135 - 1, 7 - 1)), "1","0")</f>
        <v>0</v>
      </c>
      <c r="BN324">
        <f ca="1" xml:space="preserve"> IF( AND( OFFSET($A$1, 324 - 1, 64 - 1) = "1", OFFSET($A$1, 324 - 1, 65 - 1) = "1" ), 1, IF( AND( OFFSET($A$1, 324 - 1, 64 - 1) = "1", OFFSET($A$1, 324 - 1, 65 - 1) = "0" ), 2, IF( AND( OFFSET($A$1, 324 - 1, 64 - 1) = "0", OFFSET($A$1, 324 - 1, 65 - 1) = "1" ), 3, 4 ) ) )</f>
        <v>4</v>
      </c>
    </row>
    <row r="325" spans="58:66" x14ac:dyDescent="0.2">
      <c r="BF325" s="3">
        <v>0.1081081081081081</v>
      </c>
      <c r="BG325" s="3" t="str">
        <f>"0"</f>
        <v>0</v>
      </c>
      <c r="BH325" t="str">
        <f ca="1">IF((OFFSET($A$1, 325 - 1, 58 - 1)) &gt;= (OFFSET($A$1, 96 - 1, 7 - 1)), "1","0")</f>
        <v>0</v>
      </c>
      <c r="BI325">
        <f ca="1" xml:space="preserve"> IF( AND( OFFSET($A$1, 325 - 1, 59 - 1) = "1", OFFSET($A$1, 325 - 1, 60 - 1) = "1" ), 1, IF( AND( OFFSET($A$1, 325 - 1, 59 - 1) = "1", OFFSET($A$1, 325 - 1, 60 - 1) = "0" ), 2, IF( AND( OFFSET($A$1, 325 - 1, 59 - 1) = "0", OFFSET($A$1, 325 - 1, 60 - 1) = "1" ), 3, 4 ) ) )</f>
        <v>4</v>
      </c>
      <c r="BK325" s="3">
        <v>6.6350710900473939E-2</v>
      </c>
      <c r="BL325" s="3" t="str">
        <f>"0"</f>
        <v>0</v>
      </c>
      <c r="BM325" t="str">
        <f ca="1">IF((OFFSET($A$1, 325 - 1, 63 - 1)) &gt;= (OFFSET($A$1, 135 - 1, 7 - 1)), "1","0")</f>
        <v>0</v>
      </c>
      <c r="BN325">
        <f ca="1" xml:space="preserve"> IF( AND( OFFSET($A$1, 325 - 1, 64 - 1) = "1", OFFSET($A$1, 325 - 1, 65 - 1) = "1" ), 1, IF( AND( OFFSET($A$1, 325 - 1, 64 - 1) = "1", OFFSET($A$1, 325 - 1, 65 - 1) = "0" ), 2, IF( AND( OFFSET($A$1, 325 - 1, 64 - 1) = "0", OFFSET($A$1, 325 - 1, 65 - 1) = "1" ), 3, 4 ) ) )</f>
        <v>4</v>
      </c>
    </row>
    <row r="326" spans="58:66" x14ac:dyDescent="0.2">
      <c r="BF326" s="3">
        <v>0</v>
      </c>
      <c r="BG326" s="3" t="str">
        <f>"0"</f>
        <v>0</v>
      </c>
      <c r="BH326" t="str">
        <f ca="1">IF((OFFSET($A$1, 326 - 1, 58 - 1)) &gt;= (OFFSET($A$1, 96 - 1, 7 - 1)), "1","0")</f>
        <v>0</v>
      </c>
      <c r="BI326">
        <f ca="1" xml:space="preserve"> IF( AND( OFFSET($A$1, 326 - 1, 59 - 1) = "1", OFFSET($A$1, 326 - 1, 60 - 1) = "1" ), 1, IF( AND( OFFSET($A$1, 326 - 1, 59 - 1) = "1", OFFSET($A$1, 326 - 1, 60 - 1) = "0" ), 2, IF( AND( OFFSET($A$1, 326 - 1, 59 - 1) = "0", OFFSET($A$1, 326 - 1, 60 - 1) = "1" ), 3, 4 ) ) )</f>
        <v>4</v>
      </c>
      <c r="BK326" s="3">
        <v>0.90579710144927539</v>
      </c>
      <c r="BL326" s="3" t="str">
        <f>"1"</f>
        <v>1</v>
      </c>
      <c r="BM326" t="str">
        <f ca="1">IF((OFFSET($A$1, 326 - 1, 63 - 1)) &gt;= (OFFSET($A$1, 135 - 1, 7 - 1)), "1","0")</f>
        <v>1</v>
      </c>
      <c r="BN326">
        <f ca="1" xml:space="preserve"> IF( AND( OFFSET($A$1, 326 - 1, 64 - 1) = "1", OFFSET($A$1, 326 - 1, 65 - 1) = "1" ), 1, IF( AND( OFFSET($A$1, 326 - 1, 64 - 1) = "1", OFFSET($A$1, 326 - 1, 65 - 1) = "0" ), 2, IF( AND( OFFSET($A$1, 326 - 1, 64 - 1) = "0", OFFSET($A$1, 326 - 1, 65 - 1) = "1" ), 3, 4 ) ) )</f>
        <v>1</v>
      </c>
    </row>
    <row r="327" spans="58:66" x14ac:dyDescent="0.2">
      <c r="BF327" s="3">
        <v>0.90579710144927539</v>
      </c>
      <c r="BG327" s="3" t="str">
        <f>"1"</f>
        <v>1</v>
      </c>
      <c r="BH327" t="str">
        <f ca="1">IF((OFFSET($A$1, 327 - 1, 58 - 1)) &gt;= (OFFSET($A$1, 96 - 1, 7 - 1)), "1","0")</f>
        <v>1</v>
      </c>
      <c r="BI327">
        <f ca="1" xml:space="preserve"> IF( AND( OFFSET($A$1, 327 - 1, 59 - 1) = "1", OFFSET($A$1, 327 - 1, 60 - 1) = "1" ), 1, IF( AND( OFFSET($A$1, 327 - 1, 59 - 1) = "1", OFFSET($A$1, 327 - 1, 60 - 1) = "0" ), 2, IF( AND( OFFSET($A$1, 327 - 1, 59 - 1) = "0", OFFSET($A$1, 327 - 1, 60 - 1) = "1" ), 3, 4 ) ) )</f>
        <v>1</v>
      </c>
      <c r="BK327" s="3">
        <v>6.6350710900473939E-2</v>
      </c>
      <c r="BL327" s="3" t="str">
        <f>"0"</f>
        <v>0</v>
      </c>
      <c r="BM327" t="str">
        <f ca="1">IF((OFFSET($A$1, 327 - 1, 63 - 1)) &gt;= (OFFSET($A$1, 135 - 1, 7 - 1)), "1","0")</f>
        <v>0</v>
      </c>
      <c r="BN327">
        <f ca="1" xml:space="preserve"> IF( AND( OFFSET($A$1, 327 - 1, 64 - 1) = "1", OFFSET($A$1, 327 - 1, 65 - 1) = "1" ), 1, IF( AND( OFFSET($A$1, 327 - 1, 64 - 1) = "1", OFFSET($A$1, 327 - 1, 65 - 1) = "0" ), 2, IF( AND( OFFSET($A$1, 327 - 1, 64 - 1) = "0", OFFSET($A$1, 327 - 1, 65 - 1) = "1" ), 3, 4 ) ) )</f>
        <v>4</v>
      </c>
    </row>
    <row r="328" spans="58:66" x14ac:dyDescent="0.2">
      <c r="BF328" s="3">
        <v>0.08</v>
      </c>
      <c r="BG328" s="3" t="str">
        <f t="shared" ref="BG328:BG334" si="33">"0"</f>
        <v>0</v>
      </c>
      <c r="BH328" t="str">
        <f ca="1">IF((OFFSET($A$1, 328 - 1, 58 - 1)) &gt;= (OFFSET($A$1, 96 - 1, 7 - 1)), "1","0")</f>
        <v>0</v>
      </c>
      <c r="BI328">
        <f ca="1" xml:space="preserve"> IF( AND( OFFSET($A$1, 328 - 1, 59 - 1) = "1", OFFSET($A$1, 328 - 1, 60 - 1) = "1" ), 1, IF( AND( OFFSET($A$1, 328 - 1, 59 - 1) = "1", OFFSET($A$1, 328 - 1, 60 - 1) = "0" ), 2, IF( AND( OFFSET($A$1, 328 - 1, 59 - 1) = "0", OFFSET($A$1, 328 - 1, 60 - 1) = "1" ), 3, 4 ) ) )</f>
        <v>4</v>
      </c>
      <c r="BK328" s="3">
        <v>6.6350710900473939E-2</v>
      </c>
      <c r="BL328" s="3" t="str">
        <f>"0"</f>
        <v>0</v>
      </c>
      <c r="BM328" t="str">
        <f ca="1">IF((OFFSET($A$1, 328 - 1, 63 - 1)) &gt;= (OFFSET($A$1, 135 - 1, 7 - 1)), "1","0")</f>
        <v>0</v>
      </c>
      <c r="BN328">
        <f ca="1" xml:space="preserve"> IF( AND( OFFSET($A$1, 328 - 1, 64 - 1) = "1", OFFSET($A$1, 328 - 1, 65 - 1) = "1" ), 1, IF( AND( OFFSET($A$1, 328 - 1, 64 - 1) = "1", OFFSET($A$1, 328 - 1, 65 - 1) = "0" ), 2, IF( AND( OFFSET($A$1, 328 - 1, 64 - 1) = "0", OFFSET($A$1, 328 - 1, 65 - 1) = "1" ), 3, 4 ) ) )</f>
        <v>4</v>
      </c>
    </row>
    <row r="329" spans="58:66" x14ac:dyDescent="0.2">
      <c r="BF329" s="3">
        <v>0.08</v>
      </c>
      <c r="BG329" s="3" t="str">
        <f t="shared" si="33"/>
        <v>0</v>
      </c>
      <c r="BH329" t="str">
        <f ca="1">IF((OFFSET($A$1, 329 - 1, 58 - 1)) &gt;= (OFFSET($A$1, 96 - 1, 7 - 1)), "1","0")</f>
        <v>0</v>
      </c>
      <c r="BI329">
        <f ca="1" xml:space="preserve"> IF( AND( OFFSET($A$1, 329 - 1, 59 - 1) = "1", OFFSET($A$1, 329 - 1, 60 - 1) = "1" ), 1, IF( AND( OFFSET($A$1, 329 - 1, 59 - 1) = "1", OFFSET($A$1, 329 - 1, 60 - 1) = "0" ), 2, IF( AND( OFFSET($A$1, 329 - 1, 59 - 1) = "0", OFFSET($A$1, 329 - 1, 60 - 1) = "1" ), 3, 4 ) ) )</f>
        <v>4</v>
      </c>
      <c r="BK329" s="3">
        <v>6.6350710900473939E-2</v>
      </c>
      <c r="BL329" s="3" t="str">
        <f>"0"</f>
        <v>0</v>
      </c>
      <c r="BM329" t="str">
        <f ca="1">IF((OFFSET($A$1, 329 - 1, 63 - 1)) &gt;= (OFFSET($A$1, 135 - 1, 7 - 1)), "1","0")</f>
        <v>0</v>
      </c>
      <c r="BN329">
        <f ca="1" xml:space="preserve"> IF( AND( OFFSET($A$1, 329 - 1, 64 - 1) = "1", OFFSET($A$1, 329 - 1, 65 - 1) = "1" ), 1, IF( AND( OFFSET($A$1, 329 - 1, 64 - 1) = "1", OFFSET($A$1, 329 - 1, 65 - 1) = "0" ), 2, IF( AND( OFFSET($A$1, 329 - 1, 64 - 1) = "0", OFFSET($A$1, 329 - 1, 65 - 1) = "1" ), 3, 4 ) ) )</f>
        <v>4</v>
      </c>
    </row>
    <row r="330" spans="58:66" x14ac:dyDescent="0.2">
      <c r="BF330" s="3">
        <v>0</v>
      </c>
      <c r="BG330" s="3" t="str">
        <f t="shared" si="33"/>
        <v>0</v>
      </c>
      <c r="BH330" t="str">
        <f ca="1">IF((OFFSET($A$1, 330 - 1, 58 - 1)) &gt;= (OFFSET($A$1, 96 - 1, 7 - 1)), "1","0")</f>
        <v>0</v>
      </c>
      <c r="BI330">
        <f ca="1" xml:space="preserve"> IF( AND( OFFSET($A$1, 330 - 1, 59 - 1) = "1", OFFSET($A$1, 330 - 1, 60 - 1) = "1" ), 1, IF( AND( OFFSET($A$1, 330 - 1, 59 - 1) = "1", OFFSET($A$1, 330 - 1, 60 - 1) = "0" ), 2, IF( AND( OFFSET($A$1, 330 - 1, 59 - 1) = "0", OFFSET($A$1, 330 - 1, 60 - 1) = "1" ), 3, 4 ) ) )</f>
        <v>4</v>
      </c>
      <c r="BK330" s="3">
        <v>2.5316455696202531E-2</v>
      </c>
      <c r="BL330" s="3" t="str">
        <f>"0"</f>
        <v>0</v>
      </c>
      <c r="BM330" t="str">
        <f ca="1">IF((OFFSET($A$1, 330 - 1, 63 - 1)) &gt;= (OFFSET($A$1, 135 - 1, 7 - 1)), "1","0")</f>
        <v>0</v>
      </c>
      <c r="BN330">
        <f ca="1" xml:space="preserve"> IF( AND( OFFSET($A$1, 330 - 1, 64 - 1) = "1", OFFSET($A$1, 330 - 1, 65 - 1) = "1" ), 1, IF( AND( OFFSET($A$1, 330 - 1, 64 - 1) = "1", OFFSET($A$1, 330 - 1, 65 - 1) = "0" ), 2, IF( AND( OFFSET($A$1, 330 - 1, 64 - 1) = "0", OFFSET($A$1, 330 - 1, 65 - 1) = "1" ), 3, 4 ) ) )</f>
        <v>4</v>
      </c>
    </row>
    <row r="331" spans="58:66" x14ac:dyDescent="0.2">
      <c r="BF331" s="3">
        <v>0</v>
      </c>
      <c r="BG331" s="3" t="str">
        <f t="shared" si="33"/>
        <v>0</v>
      </c>
      <c r="BH331" t="str">
        <f ca="1">IF((OFFSET($A$1, 331 - 1, 58 - 1)) &gt;= (OFFSET($A$1, 96 - 1, 7 - 1)), "1","0")</f>
        <v>0</v>
      </c>
      <c r="BI331">
        <f ca="1" xml:space="preserve"> IF( AND( OFFSET($A$1, 331 - 1, 59 - 1) = "1", OFFSET($A$1, 331 - 1, 60 - 1) = "1" ), 1, IF( AND( OFFSET($A$1, 331 - 1, 59 - 1) = "1", OFFSET($A$1, 331 - 1, 60 - 1) = "0" ), 2, IF( AND( OFFSET($A$1, 331 - 1, 59 - 1) = "0", OFFSET($A$1, 331 - 1, 60 - 1) = "1" ), 3, 4 ) ) )</f>
        <v>4</v>
      </c>
      <c r="BK331" s="3">
        <v>0.36</v>
      </c>
      <c r="BL331" s="3" t="str">
        <f>"0"</f>
        <v>0</v>
      </c>
      <c r="BM331" t="str">
        <f ca="1">IF((OFFSET($A$1, 331 - 1, 63 - 1)) &gt;= (OFFSET($A$1, 135 - 1, 7 - 1)), "1","0")</f>
        <v>0</v>
      </c>
      <c r="BN331">
        <f ca="1" xml:space="preserve"> IF( AND( OFFSET($A$1, 331 - 1, 64 - 1) = "1", OFFSET($A$1, 331 - 1, 65 - 1) = "1" ), 1, IF( AND( OFFSET($A$1, 331 - 1, 64 - 1) = "1", OFFSET($A$1, 331 - 1, 65 - 1) = "0" ), 2, IF( AND( OFFSET($A$1, 331 - 1, 64 - 1) = "0", OFFSET($A$1, 331 - 1, 65 - 1) = "1" ), 3, 4 ) ) )</f>
        <v>4</v>
      </c>
    </row>
    <row r="332" spans="58:66" x14ac:dyDescent="0.2">
      <c r="BF332" s="3">
        <v>0.34722222222222221</v>
      </c>
      <c r="BG332" s="3" t="str">
        <f t="shared" si="33"/>
        <v>0</v>
      </c>
      <c r="BH332" t="str">
        <f ca="1">IF((OFFSET($A$1, 332 - 1, 58 - 1)) &gt;= (OFFSET($A$1, 96 - 1, 7 - 1)), "1","0")</f>
        <v>0</v>
      </c>
      <c r="BI332">
        <f ca="1" xml:space="preserve"> IF( AND( OFFSET($A$1, 332 - 1, 59 - 1) = "1", OFFSET($A$1, 332 - 1, 60 - 1) = "1" ), 1, IF( AND( OFFSET($A$1, 332 - 1, 59 - 1) = "1", OFFSET($A$1, 332 - 1, 60 - 1) = "0" ), 2, IF( AND( OFFSET($A$1, 332 - 1, 59 - 1) = "0", OFFSET($A$1, 332 - 1, 60 - 1) = "1" ), 3, 4 ) ) )</f>
        <v>4</v>
      </c>
      <c r="BK332" s="3">
        <v>0.90579710144927539</v>
      </c>
      <c r="BL332" s="3" t="str">
        <f>"1"</f>
        <v>1</v>
      </c>
      <c r="BM332" t="str">
        <f ca="1">IF((OFFSET($A$1, 332 - 1, 63 - 1)) &gt;= (OFFSET($A$1, 135 - 1, 7 - 1)), "1","0")</f>
        <v>1</v>
      </c>
      <c r="BN332">
        <f ca="1" xml:space="preserve"> IF( AND( OFFSET($A$1, 332 - 1, 64 - 1) = "1", OFFSET($A$1, 332 - 1, 65 - 1) = "1" ), 1, IF( AND( OFFSET($A$1, 332 - 1, 64 - 1) = "1", OFFSET($A$1, 332 - 1, 65 - 1) = "0" ), 2, IF( AND( OFFSET($A$1, 332 - 1, 64 - 1) = "0", OFFSET($A$1, 332 - 1, 65 - 1) = "1" ), 3, 4 ) ) )</f>
        <v>1</v>
      </c>
    </row>
    <row r="333" spans="58:66" x14ac:dyDescent="0.2">
      <c r="BF333" s="3">
        <v>0</v>
      </c>
      <c r="BG333" s="3" t="str">
        <f t="shared" si="33"/>
        <v>0</v>
      </c>
      <c r="BH333" t="str">
        <f ca="1">IF((OFFSET($A$1, 333 - 1, 58 - 1)) &gt;= (OFFSET($A$1, 96 - 1, 7 - 1)), "1","0")</f>
        <v>0</v>
      </c>
      <c r="BI333">
        <f ca="1" xml:space="preserve"> IF( AND( OFFSET($A$1, 333 - 1, 59 - 1) = "1", OFFSET($A$1, 333 - 1, 60 - 1) = "1" ), 1, IF( AND( OFFSET($A$1, 333 - 1, 59 - 1) = "1", OFFSET($A$1, 333 - 1, 60 - 1) = "0" ), 2, IF( AND( OFFSET($A$1, 333 - 1, 59 - 1) = "0", OFFSET($A$1, 333 - 1, 60 - 1) = "1" ), 3, 4 ) ) )</f>
        <v>4</v>
      </c>
      <c r="BK333" s="3">
        <v>6.6350710900473939E-2</v>
      </c>
      <c r="BL333" s="3" t="str">
        <f>"0"</f>
        <v>0</v>
      </c>
      <c r="BM333" t="str">
        <f ca="1">IF((OFFSET($A$1, 333 - 1, 63 - 1)) &gt;= (OFFSET($A$1, 135 - 1, 7 - 1)), "1","0")</f>
        <v>0</v>
      </c>
      <c r="BN333">
        <f ca="1" xml:space="preserve"> IF( AND( OFFSET($A$1, 333 - 1, 64 - 1) = "1", OFFSET($A$1, 333 - 1, 65 - 1) = "1" ), 1, IF( AND( OFFSET($A$1, 333 - 1, 64 - 1) = "1", OFFSET($A$1, 333 - 1, 65 - 1) = "0" ), 2, IF( AND( OFFSET($A$1, 333 - 1, 64 - 1) = "0", OFFSET($A$1, 333 - 1, 65 - 1) = "1" ), 3, 4 ) ) )</f>
        <v>4</v>
      </c>
    </row>
    <row r="334" spans="58:66" x14ac:dyDescent="0.2">
      <c r="BF334" s="3">
        <v>0</v>
      </c>
      <c r="BG334" s="3" t="str">
        <f t="shared" si="33"/>
        <v>0</v>
      </c>
      <c r="BH334" t="str">
        <f ca="1">IF((OFFSET($A$1, 334 - 1, 58 - 1)) &gt;= (OFFSET($A$1, 96 - 1, 7 - 1)), "1","0")</f>
        <v>0</v>
      </c>
      <c r="BI334">
        <f ca="1" xml:space="preserve"> IF( AND( OFFSET($A$1, 334 - 1, 59 - 1) = "1", OFFSET($A$1, 334 - 1, 60 - 1) = "1" ), 1, IF( AND( OFFSET($A$1, 334 - 1, 59 - 1) = "1", OFFSET($A$1, 334 - 1, 60 - 1) = "0" ), 2, IF( AND( OFFSET($A$1, 334 - 1, 59 - 1) = "0", OFFSET($A$1, 334 - 1, 60 - 1) = "1" ), 3, 4 ) ) )</f>
        <v>4</v>
      </c>
      <c r="BK334" s="3">
        <v>6.6350710900473939E-2</v>
      </c>
      <c r="BL334" s="3" t="str">
        <f>"0"</f>
        <v>0</v>
      </c>
      <c r="BM334" t="str">
        <f ca="1">IF((OFFSET($A$1, 334 - 1, 63 - 1)) &gt;= (OFFSET($A$1, 135 - 1, 7 - 1)), "1","0")</f>
        <v>0</v>
      </c>
      <c r="BN334">
        <f ca="1" xml:space="preserve"> IF( AND( OFFSET($A$1, 334 - 1, 64 - 1) = "1", OFFSET($A$1, 334 - 1, 65 - 1) = "1" ), 1, IF( AND( OFFSET($A$1, 334 - 1, 64 - 1) = "1", OFFSET($A$1, 334 - 1, 65 - 1) = "0" ), 2, IF( AND( OFFSET($A$1, 334 - 1, 64 - 1) = "0", OFFSET($A$1, 334 - 1, 65 - 1) = "1" ), 3, 4 ) ) )</f>
        <v>4</v>
      </c>
    </row>
    <row r="335" spans="58:66" x14ac:dyDescent="0.2">
      <c r="BF335" s="3">
        <v>0.34722222222222221</v>
      </c>
      <c r="BG335" s="3" t="str">
        <f>"1"</f>
        <v>1</v>
      </c>
      <c r="BH335" t="str">
        <f ca="1">IF((OFFSET($A$1, 335 - 1, 58 - 1)) &gt;= (OFFSET($A$1, 96 - 1, 7 - 1)), "1","0")</f>
        <v>0</v>
      </c>
      <c r="BI335">
        <f ca="1" xml:space="preserve"> IF( AND( OFFSET($A$1, 335 - 1, 59 - 1) = "1", OFFSET($A$1, 335 - 1, 60 - 1) = "1" ), 1, IF( AND( OFFSET($A$1, 335 - 1, 59 - 1) = "1", OFFSET($A$1, 335 - 1, 60 - 1) = "0" ), 2, IF( AND( OFFSET($A$1, 335 - 1, 59 - 1) = "0", OFFSET($A$1, 335 - 1, 60 - 1) = "1" ), 3, 4 ) ) )</f>
        <v>2</v>
      </c>
      <c r="BK335" s="3">
        <v>0.90579710144927539</v>
      </c>
      <c r="BL335" s="3" t="str">
        <f>"1"</f>
        <v>1</v>
      </c>
      <c r="BM335" t="str">
        <f ca="1">IF((OFFSET($A$1, 335 - 1, 63 - 1)) &gt;= (OFFSET($A$1, 135 - 1, 7 - 1)), "1","0")</f>
        <v>1</v>
      </c>
      <c r="BN335">
        <f ca="1" xml:space="preserve"> IF( AND( OFFSET($A$1, 335 - 1, 64 - 1) = "1", OFFSET($A$1, 335 - 1, 65 - 1) = "1" ), 1, IF( AND( OFFSET($A$1, 335 - 1, 64 - 1) = "1", OFFSET($A$1, 335 - 1, 65 - 1) = "0" ), 2, IF( AND( OFFSET($A$1, 335 - 1, 64 - 1) = "0", OFFSET($A$1, 335 - 1, 65 - 1) = "1" ), 3, 4 ) ) )</f>
        <v>1</v>
      </c>
    </row>
    <row r="336" spans="58:66" x14ac:dyDescent="0.2">
      <c r="BF336" s="3">
        <v>0.90579710144927539</v>
      </c>
      <c r="BG336" s="3" t="str">
        <f>"1"</f>
        <v>1</v>
      </c>
      <c r="BH336" t="str">
        <f ca="1">IF((OFFSET($A$1, 336 - 1, 58 - 1)) &gt;= (OFFSET($A$1, 96 - 1, 7 - 1)), "1","0")</f>
        <v>1</v>
      </c>
      <c r="BI336">
        <f ca="1" xml:space="preserve"> IF( AND( OFFSET($A$1, 336 - 1, 59 - 1) = "1", OFFSET($A$1, 336 - 1, 60 - 1) = "1" ), 1, IF( AND( OFFSET($A$1, 336 - 1, 59 - 1) = "1", OFFSET($A$1, 336 - 1, 60 - 1) = "0" ), 2, IF( AND( OFFSET($A$1, 336 - 1, 59 - 1) = "0", OFFSET($A$1, 336 - 1, 60 - 1) = "1" ), 3, 4 ) ) )</f>
        <v>1</v>
      </c>
      <c r="BK336" s="3">
        <v>6.6350710900473939E-2</v>
      </c>
      <c r="BL336" s="3" t="str">
        <f>"0"</f>
        <v>0</v>
      </c>
      <c r="BM336" t="str">
        <f ca="1">IF((OFFSET($A$1, 336 - 1, 63 - 1)) &gt;= (OFFSET($A$1, 135 - 1, 7 - 1)), "1","0")</f>
        <v>0</v>
      </c>
      <c r="BN336">
        <f ca="1" xml:space="preserve"> IF( AND( OFFSET($A$1, 336 - 1, 64 - 1) = "1", OFFSET($A$1, 336 - 1, 65 - 1) = "1" ), 1, IF( AND( OFFSET($A$1, 336 - 1, 64 - 1) = "1", OFFSET($A$1, 336 - 1, 65 - 1) = "0" ), 2, IF( AND( OFFSET($A$1, 336 - 1, 64 - 1) = "0", OFFSET($A$1, 336 - 1, 65 - 1) = "1" ), 3, 4 ) ) )</f>
        <v>4</v>
      </c>
    </row>
    <row r="337" spans="58:66" x14ac:dyDescent="0.2">
      <c r="BF337" s="3">
        <v>0</v>
      </c>
      <c r="BG337" s="3" t="str">
        <f>"0"</f>
        <v>0</v>
      </c>
      <c r="BH337" t="str">
        <f ca="1">IF((OFFSET($A$1, 337 - 1, 58 - 1)) &gt;= (OFFSET($A$1, 96 - 1, 7 - 1)), "1","0")</f>
        <v>0</v>
      </c>
      <c r="BI337">
        <f ca="1" xml:space="preserve"> IF( AND( OFFSET($A$1, 337 - 1, 59 - 1) = "1", OFFSET($A$1, 337 - 1, 60 - 1) = "1" ), 1, IF( AND( OFFSET($A$1, 337 - 1, 59 - 1) = "1", OFFSET($A$1, 337 - 1, 60 - 1) = "0" ), 2, IF( AND( OFFSET($A$1, 337 - 1, 59 - 1) = "0", OFFSET($A$1, 337 - 1, 60 - 1) = "1" ), 3, 4 ) ) )</f>
        <v>4</v>
      </c>
      <c r="BK337" s="3">
        <v>6.6350710900473939E-2</v>
      </c>
      <c r="BL337" s="3" t="str">
        <f>"0"</f>
        <v>0</v>
      </c>
      <c r="BM337" t="str">
        <f ca="1">IF((OFFSET($A$1, 337 - 1, 63 - 1)) &gt;= (OFFSET($A$1, 135 - 1, 7 - 1)), "1","0")</f>
        <v>0</v>
      </c>
      <c r="BN337">
        <f ca="1" xml:space="preserve"> IF( AND( OFFSET($A$1, 337 - 1, 64 - 1) = "1", OFFSET($A$1, 337 - 1, 65 - 1) = "1" ), 1, IF( AND( OFFSET($A$1, 337 - 1, 64 - 1) = "1", OFFSET($A$1, 337 - 1, 65 - 1) = "0" ), 2, IF( AND( OFFSET($A$1, 337 - 1, 64 - 1) = "0", OFFSET($A$1, 337 - 1, 65 - 1) = "1" ), 3, 4 ) ) )</f>
        <v>4</v>
      </c>
    </row>
    <row r="338" spans="58:66" x14ac:dyDescent="0.2">
      <c r="BF338" s="3">
        <v>0</v>
      </c>
      <c r="BG338" s="3" t="str">
        <f>"0"</f>
        <v>0</v>
      </c>
      <c r="BH338" t="str">
        <f ca="1">IF((OFFSET($A$1, 338 - 1, 58 - 1)) &gt;= (OFFSET($A$1, 96 - 1, 7 - 1)), "1","0")</f>
        <v>0</v>
      </c>
      <c r="BI338">
        <f ca="1" xml:space="preserve"> IF( AND( OFFSET($A$1, 338 - 1, 59 - 1) = "1", OFFSET($A$1, 338 - 1, 60 - 1) = "1" ), 1, IF( AND( OFFSET($A$1, 338 - 1, 59 - 1) = "1", OFFSET($A$1, 338 - 1, 60 - 1) = "0" ), 2, IF( AND( OFFSET($A$1, 338 - 1, 59 - 1) = "0", OFFSET($A$1, 338 - 1, 60 - 1) = "1" ), 3, 4 ) ) )</f>
        <v>4</v>
      </c>
      <c r="BK338" s="3">
        <v>2.5316455696202531E-2</v>
      </c>
      <c r="BL338" s="3" t="str">
        <f>"0"</f>
        <v>0</v>
      </c>
      <c r="BM338" t="str">
        <f ca="1">IF((OFFSET($A$1, 338 - 1, 63 - 1)) &gt;= (OFFSET($A$1, 135 - 1, 7 - 1)), "1","0")</f>
        <v>0</v>
      </c>
      <c r="BN338">
        <f ca="1" xml:space="preserve"> IF( AND( OFFSET($A$1, 338 - 1, 64 - 1) = "1", OFFSET($A$1, 338 - 1, 65 - 1) = "1" ), 1, IF( AND( OFFSET($A$1, 338 - 1, 64 - 1) = "1", OFFSET($A$1, 338 - 1, 65 - 1) = "0" ), 2, IF( AND( OFFSET($A$1, 338 - 1, 64 - 1) = "0", OFFSET($A$1, 338 - 1, 65 - 1) = "1" ), 3, 4 ) ) )</f>
        <v>4</v>
      </c>
    </row>
    <row r="339" spans="58:66" x14ac:dyDescent="0.2">
      <c r="BF339" s="3">
        <v>0.34722222222222221</v>
      </c>
      <c r="BG339" s="3" t="str">
        <f>"1"</f>
        <v>1</v>
      </c>
      <c r="BH339" t="str">
        <f ca="1">IF((OFFSET($A$1, 339 - 1, 58 - 1)) &gt;= (OFFSET($A$1, 96 - 1, 7 - 1)), "1","0")</f>
        <v>0</v>
      </c>
      <c r="BI339">
        <f ca="1" xml:space="preserve"> IF( AND( OFFSET($A$1, 339 - 1, 59 - 1) = "1", OFFSET($A$1, 339 - 1, 60 - 1) = "1" ), 1, IF( AND( OFFSET($A$1, 339 - 1, 59 - 1) = "1", OFFSET($A$1, 339 - 1, 60 - 1) = "0" ), 2, IF( AND( OFFSET($A$1, 339 - 1, 59 - 1) = "0", OFFSET($A$1, 339 - 1, 60 - 1) = "1" ), 3, 4 ) ) )</f>
        <v>2</v>
      </c>
      <c r="BK339" s="3">
        <v>6.6350710900473939E-2</v>
      </c>
      <c r="BL339" s="3" t="str">
        <f>"0"</f>
        <v>0</v>
      </c>
      <c r="BM339" t="str">
        <f ca="1">IF((OFFSET($A$1, 339 - 1, 63 - 1)) &gt;= (OFFSET($A$1, 135 - 1, 7 - 1)), "1","0")</f>
        <v>0</v>
      </c>
      <c r="BN339">
        <f ca="1" xml:space="preserve"> IF( AND( OFFSET($A$1, 339 - 1, 64 - 1) = "1", OFFSET($A$1, 339 - 1, 65 - 1) = "1" ), 1, IF( AND( OFFSET($A$1, 339 - 1, 64 - 1) = "1", OFFSET($A$1, 339 - 1, 65 - 1) = "0" ), 2, IF( AND( OFFSET($A$1, 339 - 1, 64 - 1) = "0", OFFSET($A$1, 339 - 1, 65 - 1) = "1" ), 3, 4 ) ) )</f>
        <v>4</v>
      </c>
    </row>
    <row r="340" spans="58:66" x14ac:dyDescent="0.2">
      <c r="BF340" s="3">
        <v>0.38775510204081637</v>
      </c>
      <c r="BG340" s="3" t="str">
        <f>"0"</f>
        <v>0</v>
      </c>
      <c r="BH340" t="str">
        <f ca="1">IF((OFFSET($A$1, 340 - 1, 58 - 1)) &gt;= (OFFSET($A$1, 96 - 1, 7 - 1)), "1","0")</f>
        <v>0</v>
      </c>
      <c r="BI340">
        <f ca="1" xml:space="preserve"> IF( AND( OFFSET($A$1, 340 - 1, 59 - 1) = "1", OFFSET($A$1, 340 - 1, 60 - 1) = "1" ), 1, IF( AND( OFFSET($A$1, 340 - 1, 59 - 1) = "1", OFFSET($A$1, 340 - 1, 60 - 1) = "0" ), 2, IF( AND( OFFSET($A$1, 340 - 1, 59 - 1) = "0", OFFSET($A$1, 340 - 1, 60 - 1) = "1" ), 3, 4 ) ) )</f>
        <v>4</v>
      </c>
      <c r="BK340" s="3">
        <v>6.6350710900473939E-2</v>
      </c>
      <c r="BL340" s="3" t="str">
        <f>"1"</f>
        <v>1</v>
      </c>
      <c r="BM340" t="str">
        <f ca="1">IF((OFFSET($A$1, 340 - 1, 63 - 1)) &gt;= (OFFSET($A$1, 135 - 1, 7 - 1)), "1","0")</f>
        <v>0</v>
      </c>
      <c r="BN340">
        <f ca="1" xml:space="preserve"> IF( AND( OFFSET($A$1, 340 - 1, 64 - 1) = "1", OFFSET($A$1, 340 - 1, 65 - 1) = "1" ), 1, IF( AND( OFFSET($A$1, 340 - 1, 64 - 1) = "1", OFFSET($A$1, 340 - 1, 65 - 1) = "0" ), 2, IF( AND( OFFSET($A$1, 340 - 1, 64 - 1) = "0", OFFSET($A$1, 340 - 1, 65 - 1) = "1" ), 3, 4 ) ) )</f>
        <v>2</v>
      </c>
    </row>
    <row r="341" spans="58:66" x14ac:dyDescent="0.2">
      <c r="BF341" s="3">
        <v>0</v>
      </c>
      <c r="BG341" s="3" t="str">
        <f>"0"</f>
        <v>0</v>
      </c>
      <c r="BH341" t="str">
        <f ca="1">IF((OFFSET($A$1, 341 - 1, 58 - 1)) &gt;= (OFFSET($A$1, 96 - 1, 7 - 1)), "1","0")</f>
        <v>0</v>
      </c>
      <c r="BI341">
        <f ca="1" xml:space="preserve"> IF( AND( OFFSET($A$1, 341 - 1, 59 - 1) = "1", OFFSET($A$1, 341 - 1, 60 - 1) = "1" ), 1, IF( AND( OFFSET($A$1, 341 - 1, 59 - 1) = "1", OFFSET($A$1, 341 - 1, 60 - 1) = "0" ), 2, IF( AND( OFFSET($A$1, 341 - 1, 59 - 1) = "0", OFFSET($A$1, 341 - 1, 60 - 1) = "1" ), 3, 4 ) ) )</f>
        <v>4</v>
      </c>
      <c r="BK341" s="3">
        <v>2.5316455696202531E-2</v>
      </c>
      <c r="BL341" s="3" t="str">
        <f t="shared" ref="BL341:BL354" si="34">"0"</f>
        <v>0</v>
      </c>
      <c r="BM341" t="str">
        <f ca="1">IF((OFFSET($A$1, 341 - 1, 63 - 1)) &gt;= (OFFSET($A$1, 135 - 1, 7 - 1)), "1","0")</f>
        <v>0</v>
      </c>
      <c r="BN341">
        <f ca="1" xml:space="preserve"> IF( AND( OFFSET($A$1, 341 - 1, 64 - 1) = "1", OFFSET($A$1, 341 - 1, 65 - 1) = "1" ), 1, IF( AND( OFFSET($A$1, 341 - 1, 64 - 1) = "1", OFFSET($A$1, 341 - 1, 65 - 1) = "0" ), 2, IF( AND( OFFSET($A$1, 341 - 1, 64 - 1) = "0", OFFSET($A$1, 341 - 1, 65 - 1) = "1" ), 3, 4 ) ) )</f>
        <v>4</v>
      </c>
    </row>
    <row r="342" spans="58:66" x14ac:dyDescent="0.2">
      <c r="BF342" s="3">
        <v>0</v>
      </c>
      <c r="BG342" s="3" t="str">
        <f>"0"</f>
        <v>0</v>
      </c>
      <c r="BH342" t="str">
        <f ca="1">IF((OFFSET($A$1, 342 - 1, 58 - 1)) &gt;= (OFFSET($A$1, 96 - 1, 7 - 1)), "1","0")</f>
        <v>0</v>
      </c>
      <c r="BI342">
        <f ca="1" xml:space="preserve"> IF( AND( OFFSET($A$1, 342 - 1, 59 - 1) = "1", OFFSET($A$1, 342 - 1, 60 - 1) = "1" ), 1, IF( AND( OFFSET($A$1, 342 - 1, 59 - 1) = "1", OFFSET($A$1, 342 - 1, 60 - 1) = "0" ), 2, IF( AND( OFFSET($A$1, 342 - 1, 59 - 1) = "0", OFFSET($A$1, 342 - 1, 60 - 1) = "1" ), 3, 4 ) ) )</f>
        <v>4</v>
      </c>
      <c r="BK342" s="3">
        <v>6.6350710900473939E-2</v>
      </c>
      <c r="BL342" s="3" t="str">
        <f t="shared" si="34"/>
        <v>0</v>
      </c>
      <c r="BM342" t="str">
        <f ca="1">IF((OFFSET($A$1, 342 - 1, 63 - 1)) &gt;= (OFFSET($A$1, 135 - 1, 7 - 1)), "1","0")</f>
        <v>0</v>
      </c>
      <c r="BN342">
        <f ca="1" xml:space="preserve"> IF( AND( OFFSET($A$1, 342 - 1, 64 - 1) = "1", OFFSET($A$1, 342 - 1, 65 - 1) = "1" ), 1, IF( AND( OFFSET($A$1, 342 - 1, 64 - 1) = "1", OFFSET($A$1, 342 - 1, 65 - 1) = "0" ), 2, IF( AND( OFFSET($A$1, 342 - 1, 64 - 1) = "0", OFFSET($A$1, 342 - 1, 65 - 1) = "1" ), 3, 4 ) ) )</f>
        <v>4</v>
      </c>
    </row>
    <row r="343" spans="58:66" x14ac:dyDescent="0.2">
      <c r="BF343" s="3">
        <v>3.7037037037037042E-2</v>
      </c>
      <c r="BG343" s="3" t="str">
        <f>"0"</f>
        <v>0</v>
      </c>
      <c r="BH343" t="str">
        <f ca="1">IF((OFFSET($A$1, 343 - 1, 58 - 1)) &gt;= (OFFSET($A$1, 96 - 1, 7 - 1)), "1","0")</f>
        <v>0</v>
      </c>
      <c r="BI343">
        <f ca="1" xml:space="preserve"> IF( AND( OFFSET($A$1, 343 - 1, 59 - 1) = "1", OFFSET($A$1, 343 - 1, 60 - 1) = "1" ), 1, IF( AND( OFFSET($A$1, 343 - 1, 59 - 1) = "1", OFFSET($A$1, 343 - 1, 60 - 1) = "0" ), 2, IF( AND( OFFSET($A$1, 343 - 1, 59 - 1) = "0", OFFSET($A$1, 343 - 1, 60 - 1) = "1" ), 3, 4 ) ) )</f>
        <v>4</v>
      </c>
      <c r="BK343" s="3">
        <v>6.6350710900473939E-2</v>
      </c>
      <c r="BL343" s="3" t="str">
        <f t="shared" si="34"/>
        <v>0</v>
      </c>
      <c r="BM343" t="str">
        <f ca="1">IF((OFFSET($A$1, 343 - 1, 63 - 1)) &gt;= (OFFSET($A$1, 135 - 1, 7 - 1)), "1","0")</f>
        <v>0</v>
      </c>
      <c r="BN343">
        <f ca="1" xml:space="preserve"> IF( AND( OFFSET($A$1, 343 - 1, 64 - 1) = "1", OFFSET($A$1, 343 - 1, 65 - 1) = "1" ), 1, IF( AND( OFFSET($A$1, 343 - 1, 64 - 1) = "1", OFFSET($A$1, 343 - 1, 65 - 1) = "0" ), 2, IF( AND( OFFSET($A$1, 343 - 1, 64 - 1) = "0", OFFSET($A$1, 343 - 1, 65 - 1) = "1" ), 3, 4 ) ) )</f>
        <v>4</v>
      </c>
    </row>
    <row r="344" spans="58:66" x14ac:dyDescent="0.2">
      <c r="BF344" s="3">
        <v>0.36</v>
      </c>
      <c r="BG344" s="3" t="str">
        <f>"1"</f>
        <v>1</v>
      </c>
      <c r="BH344" t="str">
        <f ca="1">IF((OFFSET($A$1, 344 - 1, 58 - 1)) &gt;= (OFFSET($A$1, 96 - 1, 7 - 1)), "1","0")</f>
        <v>0</v>
      </c>
      <c r="BI344">
        <f ca="1" xml:space="preserve"> IF( AND( OFFSET($A$1, 344 - 1, 59 - 1) = "1", OFFSET($A$1, 344 - 1, 60 - 1) = "1" ), 1, IF( AND( OFFSET($A$1, 344 - 1, 59 - 1) = "1", OFFSET($A$1, 344 - 1, 60 - 1) = "0" ), 2, IF( AND( OFFSET($A$1, 344 - 1, 59 - 1) = "0", OFFSET($A$1, 344 - 1, 60 - 1) = "1" ), 3, 4 ) ) )</f>
        <v>2</v>
      </c>
      <c r="BK344" s="3">
        <v>6.6350710900473939E-2</v>
      </c>
      <c r="BL344" s="3" t="str">
        <f t="shared" si="34"/>
        <v>0</v>
      </c>
      <c r="BM344" t="str">
        <f ca="1">IF((OFFSET($A$1, 344 - 1, 63 - 1)) &gt;= (OFFSET($A$1, 135 - 1, 7 - 1)), "1","0")</f>
        <v>0</v>
      </c>
      <c r="BN344">
        <f ca="1" xml:space="preserve"> IF( AND( OFFSET($A$1, 344 - 1, 64 - 1) = "1", OFFSET($A$1, 344 - 1, 65 - 1) = "1" ), 1, IF( AND( OFFSET($A$1, 344 - 1, 64 - 1) = "1", OFFSET($A$1, 344 - 1, 65 - 1) = "0" ), 2, IF( AND( OFFSET($A$1, 344 - 1, 64 - 1) = "0", OFFSET($A$1, 344 - 1, 65 - 1) = "1" ), 3, 4 ) ) )</f>
        <v>4</v>
      </c>
    </row>
    <row r="345" spans="58:66" x14ac:dyDescent="0.2">
      <c r="BF345" s="3">
        <v>0</v>
      </c>
      <c r="BG345" s="3" t="str">
        <f>"0"</f>
        <v>0</v>
      </c>
      <c r="BH345" t="str">
        <f ca="1">IF((OFFSET($A$1, 345 - 1, 58 - 1)) &gt;= (OFFSET($A$1, 96 - 1, 7 - 1)), "1","0")</f>
        <v>0</v>
      </c>
      <c r="BI345">
        <f ca="1" xml:space="preserve"> IF( AND( OFFSET($A$1, 345 - 1, 59 - 1) = "1", OFFSET($A$1, 345 - 1, 60 - 1) = "1" ), 1, IF( AND( OFFSET($A$1, 345 - 1, 59 - 1) = "1", OFFSET($A$1, 345 - 1, 60 - 1) = "0" ), 2, IF( AND( OFFSET($A$1, 345 - 1, 59 - 1) = "0", OFFSET($A$1, 345 - 1, 60 - 1) = "1" ), 3, 4 ) ) )</f>
        <v>4</v>
      </c>
      <c r="BK345" s="3">
        <v>2.5316455696202531E-2</v>
      </c>
      <c r="BL345" s="3" t="str">
        <f t="shared" si="34"/>
        <v>0</v>
      </c>
      <c r="BM345" t="str">
        <f ca="1">IF((OFFSET($A$1, 345 - 1, 63 - 1)) &gt;= (OFFSET($A$1, 135 - 1, 7 - 1)), "1","0")</f>
        <v>0</v>
      </c>
      <c r="BN345">
        <f ca="1" xml:space="preserve"> IF( AND( OFFSET($A$1, 345 - 1, 64 - 1) = "1", OFFSET($A$1, 345 - 1, 65 - 1) = "1" ), 1, IF( AND( OFFSET($A$1, 345 - 1, 64 - 1) = "1", OFFSET($A$1, 345 - 1, 65 - 1) = "0" ), 2, IF( AND( OFFSET($A$1, 345 - 1, 64 - 1) = "0", OFFSET($A$1, 345 - 1, 65 - 1) = "1" ), 3, 4 ) ) )</f>
        <v>4</v>
      </c>
    </row>
    <row r="346" spans="58:66" x14ac:dyDescent="0.2">
      <c r="BF346" s="3">
        <v>0</v>
      </c>
      <c r="BG346" s="3" t="str">
        <f>"0"</f>
        <v>0</v>
      </c>
      <c r="BH346" t="str">
        <f ca="1">IF((OFFSET($A$1, 346 - 1, 58 - 1)) &gt;= (OFFSET($A$1, 96 - 1, 7 - 1)), "1","0")</f>
        <v>0</v>
      </c>
      <c r="BI346">
        <f ca="1" xml:space="preserve"> IF( AND( OFFSET($A$1, 346 - 1, 59 - 1) = "1", OFFSET($A$1, 346 - 1, 60 - 1) = "1" ), 1, IF( AND( OFFSET($A$1, 346 - 1, 59 - 1) = "1", OFFSET($A$1, 346 - 1, 60 - 1) = "0" ), 2, IF( AND( OFFSET($A$1, 346 - 1, 59 - 1) = "0", OFFSET($A$1, 346 - 1, 60 - 1) = "1" ), 3, 4 ) ) )</f>
        <v>4</v>
      </c>
      <c r="BK346" s="3">
        <v>6.6350710900473939E-2</v>
      </c>
      <c r="BL346" s="3" t="str">
        <f t="shared" si="34"/>
        <v>0</v>
      </c>
      <c r="BM346" t="str">
        <f ca="1">IF((OFFSET($A$1, 346 - 1, 63 - 1)) &gt;= (OFFSET($A$1, 135 - 1, 7 - 1)), "1","0")</f>
        <v>0</v>
      </c>
      <c r="BN346">
        <f ca="1" xml:space="preserve"> IF( AND( OFFSET($A$1, 346 - 1, 64 - 1) = "1", OFFSET($A$1, 346 - 1, 65 - 1) = "1" ), 1, IF( AND( OFFSET($A$1, 346 - 1, 64 - 1) = "1", OFFSET($A$1, 346 - 1, 65 - 1) = "0" ), 2, IF( AND( OFFSET($A$1, 346 - 1, 64 - 1) = "0", OFFSET($A$1, 346 - 1, 65 - 1) = "1" ), 3, 4 ) ) )</f>
        <v>4</v>
      </c>
    </row>
    <row r="347" spans="58:66" x14ac:dyDescent="0.2">
      <c r="BF347" s="3">
        <v>0</v>
      </c>
      <c r="BG347" s="3" t="str">
        <f>"0"</f>
        <v>0</v>
      </c>
      <c r="BH347" t="str">
        <f ca="1">IF((OFFSET($A$1, 347 - 1, 58 - 1)) &gt;= (OFFSET($A$1, 96 - 1, 7 - 1)), "1","0")</f>
        <v>0</v>
      </c>
      <c r="BI347">
        <f ca="1" xml:space="preserve"> IF( AND( OFFSET($A$1, 347 - 1, 59 - 1) = "1", OFFSET($A$1, 347 - 1, 60 - 1) = "1" ), 1, IF( AND( OFFSET($A$1, 347 - 1, 59 - 1) = "1", OFFSET($A$1, 347 - 1, 60 - 1) = "0" ), 2, IF( AND( OFFSET($A$1, 347 - 1, 59 - 1) = "0", OFFSET($A$1, 347 - 1, 60 - 1) = "1" ), 3, 4 ) ) )</f>
        <v>4</v>
      </c>
      <c r="BK347" s="3">
        <v>0.38775510204081637</v>
      </c>
      <c r="BL347" s="3" t="str">
        <f t="shared" si="34"/>
        <v>0</v>
      </c>
      <c r="BM347" t="str">
        <f ca="1">IF((OFFSET($A$1, 347 - 1, 63 - 1)) &gt;= (OFFSET($A$1, 135 - 1, 7 - 1)), "1","0")</f>
        <v>0</v>
      </c>
      <c r="BN347">
        <f ca="1" xml:space="preserve"> IF( AND( OFFSET($A$1, 347 - 1, 64 - 1) = "1", OFFSET($A$1, 347 - 1, 65 - 1) = "1" ), 1, IF( AND( OFFSET($A$1, 347 - 1, 64 - 1) = "1", OFFSET($A$1, 347 - 1, 65 - 1) = "0" ), 2, IF( AND( OFFSET($A$1, 347 - 1, 64 - 1) = "0", OFFSET($A$1, 347 - 1, 65 - 1) = "1" ), 3, 4 ) ) )</f>
        <v>4</v>
      </c>
    </row>
    <row r="348" spans="58:66" x14ac:dyDescent="0.2">
      <c r="BF348" s="3">
        <v>0.38775510204081637</v>
      </c>
      <c r="BG348" s="3" t="str">
        <f>"0"</f>
        <v>0</v>
      </c>
      <c r="BH348" t="str">
        <f ca="1">IF((OFFSET($A$1, 348 - 1, 58 - 1)) &gt;= (OFFSET($A$1, 96 - 1, 7 - 1)), "1","0")</f>
        <v>0</v>
      </c>
      <c r="BI348">
        <f ca="1" xml:space="preserve"> IF( AND( OFFSET($A$1, 348 - 1, 59 - 1) = "1", OFFSET($A$1, 348 - 1, 60 - 1) = "1" ), 1, IF( AND( OFFSET($A$1, 348 - 1, 59 - 1) = "1", OFFSET($A$1, 348 - 1, 60 - 1) = "0" ), 2, IF( AND( OFFSET($A$1, 348 - 1, 59 - 1) = "0", OFFSET($A$1, 348 - 1, 60 - 1) = "1" ), 3, 4 ) ) )</f>
        <v>4</v>
      </c>
      <c r="BK348" s="3">
        <v>6.6350710900473939E-2</v>
      </c>
      <c r="BL348" s="3" t="str">
        <f t="shared" si="34"/>
        <v>0</v>
      </c>
      <c r="BM348" t="str">
        <f ca="1">IF((OFFSET($A$1, 348 - 1, 63 - 1)) &gt;= (OFFSET($A$1, 135 - 1, 7 - 1)), "1","0")</f>
        <v>0</v>
      </c>
      <c r="BN348">
        <f ca="1" xml:space="preserve"> IF( AND( OFFSET($A$1, 348 - 1, 64 - 1) = "1", OFFSET($A$1, 348 - 1, 65 - 1) = "1" ), 1, IF( AND( OFFSET($A$1, 348 - 1, 64 - 1) = "1", OFFSET($A$1, 348 - 1, 65 - 1) = "0" ), 2, IF( AND( OFFSET($A$1, 348 - 1, 64 - 1) = "0", OFFSET($A$1, 348 - 1, 65 - 1) = "1" ), 3, 4 ) ) )</f>
        <v>4</v>
      </c>
    </row>
    <row r="349" spans="58:66" x14ac:dyDescent="0.2">
      <c r="BF349" s="3">
        <v>0.47692307692307689</v>
      </c>
      <c r="BG349" s="3" t="str">
        <f>"1"</f>
        <v>1</v>
      </c>
      <c r="BH349" t="str">
        <f ca="1">IF((OFFSET($A$1, 349 - 1, 58 - 1)) &gt;= (OFFSET($A$1, 96 - 1, 7 - 1)), "1","0")</f>
        <v>0</v>
      </c>
      <c r="BI349">
        <f ca="1" xml:space="preserve"> IF( AND( OFFSET($A$1, 349 - 1, 59 - 1) = "1", OFFSET($A$1, 349 - 1, 60 - 1) = "1" ), 1, IF( AND( OFFSET($A$1, 349 - 1, 59 - 1) = "1", OFFSET($A$1, 349 - 1, 60 - 1) = "0" ), 2, IF( AND( OFFSET($A$1, 349 - 1, 59 - 1) = "0", OFFSET($A$1, 349 - 1, 60 - 1) = "1" ), 3, 4 ) ) )</f>
        <v>2</v>
      </c>
      <c r="BK349" s="3">
        <v>0.36</v>
      </c>
      <c r="BL349" s="3" t="str">
        <f t="shared" si="34"/>
        <v>0</v>
      </c>
      <c r="BM349" t="str">
        <f ca="1">IF((OFFSET($A$1, 349 - 1, 63 - 1)) &gt;= (OFFSET($A$1, 135 - 1, 7 - 1)), "1","0")</f>
        <v>0</v>
      </c>
      <c r="BN349">
        <f ca="1" xml:space="preserve"> IF( AND( OFFSET($A$1, 349 - 1, 64 - 1) = "1", OFFSET($A$1, 349 - 1, 65 - 1) = "1" ), 1, IF( AND( OFFSET($A$1, 349 - 1, 64 - 1) = "1", OFFSET($A$1, 349 - 1, 65 - 1) = "0" ), 2, IF( AND( OFFSET($A$1, 349 - 1, 64 - 1) = "0", OFFSET($A$1, 349 - 1, 65 - 1) = "1" ), 3, 4 ) ) )</f>
        <v>4</v>
      </c>
    </row>
    <row r="350" spans="58:66" x14ac:dyDescent="0.2">
      <c r="BF350" s="3">
        <v>0.36</v>
      </c>
      <c r="BG350" s="3" t="str">
        <f t="shared" ref="BG350:BG361" si="35">"0"</f>
        <v>0</v>
      </c>
      <c r="BH350" t="str">
        <f ca="1">IF((OFFSET($A$1, 350 - 1, 58 - 1)) &gt;= (OFFSET($A$1, 96 - 1, 7 - 1)), "1","0")</f>
        <v>0</v>
      </c>
      <c r="BI350">
        <f ca="1" xml:space="preserve"> IF( AND( OFFSET($A$1, 350 - 1, 59 - 1) = "1", OFFSET($A$1, 350 - 1, 60 - 1) = "1" ), 1, IF( AND( OFFSET($A$1, 350 - 1, 59 - 1) = "1", OFFSET($A$1, 350 - 1, 60 - 1) = "0" ), 2, IF( AND( OFFSET($A$1, 350 - 1, 59 - 1) = "0", OFFSET($A$1, 350 - 1, 60 - 1) = "1" ), 3, 4 ) ) )</f>
        <v>4</v>
      </c>
      <c r="BK350" s="3">
        <v>6.6350710900473939E-2</v>
      </c>
      <c r="BL350" s="3" t="str">
        <f t="shared" si="34"/>
        <v>0</v>
      </c>
      <c r="BM350" t="str">
        <f ca="1">IF((OFFSET($A$1, 350 - 1, 63 - 1)) &gt;= (OFFSET($A$1, 135 - 1, 7 - 1)), "1","0")</f>
        <v>0</v>
      </c>
      <c r="BN350">
        <f ca="1" xml:space="preserve"> IF( AND( OFFSET($A$1, 350 - 1, 64 - 1) = "1", OFFSET($A$1, 350 - 1, 65 - 1) = "1" ), 1, IF( AND( OFFSET($A$1, 350 - 1, 64 - 1) = "1", OFFSET($A$1, 350 - 1, 65 - 1) = "0" ), 2, IF( AND( OFFSET($A$1, 350 - 1, 64 - 1) = "0", OFFSET($A$1, 350 - 1, 65 - 1) = "1" ), 3, 4 ) ) )</f>
        <v>4</v>
      </c>
    </row>
    <row r="351" spans="58:66" x14ac:dyDescent="0.2">
      <c r="BF351" s="3">
        <v>0</v>
      </c>
      <c r="BG351" s="3" t="str">
        <f t="shared" si="35"/>
        <v>0</v>
      </c>
      <c r="BH351" t="str">
        <f ca="1">IF((OFFSET($A$1, 351 - 1, 58 - 1)) &gt;= (OFFSET($A$1, 96 - 1, 7 - 1)), "1","0")</f>
        <v>0</v>
      </c>
      <c r="BI351">
        <f ca="1" xml:space="preserve"> IF( AND( OFFSET($A$1, 351 - 1, 59 - 1) = "1", OFFSET($A$1, 351 - 1, 60 - 1) = "1" ), 1, IF( AND( OFFSET($A$1, 351 - 1, 59 - 1) = "1", OFFSET($A$1, 351 - 1, 60 - 1) = "0" ), 2, IF( AND( OFFSET($A$1, 351 - 1, 59 - 1) = "0", OFFSET($A$1, 351 - 1, 60 - 1) = "1" ), 3, 4 ) ) )</f>
        <v>4</v>
      </c>
      <c r="BK351" s="3">
        <v>6.6350710900473939E-2</v>
      </c>
      <c r="BL351" s="3" t="str">
        <f t="shared" si="34"/>
        <v>0</v>
      </c>
      <c r="BM351" t="str">
        <f ca="1">IF((OFFSET($A$1, 351 - 1, 63 - 1)) &gt;= (OFFSET($A$1, 135 - 1, 7 - 1)), "1","0")</f>
        <v>0</v>
      </c>
      <c r="BN351">
        <f ca="1" xml:space="preserve"> IF( AND( OFFSET($A$1, 351 - 1, 64 - 1) = "1", OFFSET($A$1, 351 - 1, 65 - 1) = "1" ), 1, IF( AND( OFFSET($A$1, 351 - 1, 64 - 1) = "1", OFFSET($A$1, 351 - 1, 65 - 1) = "0" ), 2, IF( AND( OFFSET($A$1, 351 - 1, 64 - 1) = "0", OFFSET($A$1, 351 - 1, 65 - 1) = "1" ), 3, 4 ) ) )</f>
        <v>4</v>
      </c>
    </row>
    <row r="352" spans="58:66" x14ac:dyDescent="0.2">
      <c r="BF352" s="3">
        <v>0</v>
      </c>
      <c r="BG352" s="3" t="str">
        <f t="shared" si="35"/>
        <v>0</v>
      </c>
      <c r="BH352" t="str">
        <f ca="1">IF((OFFSET($A$1, 352 - 1, 58 - 1)) &gt;= (OFFSET($A$1, 96 - 1, 7 - 1)), "1","0")</f>
        <v>0</v>
      </c>
      <c r="BI352">
        <f ca="1" xml:space="preserve"> IF( AND( OFFSET($A$1, 352 - 1, 59 - 1) = "1", OFFSET($A$1, 352 - 1, 60 - 1) = "1" ), 1, IF( AND( OFFSET($A$1, 352 - 1, 59 - 1) = "1", OFFSET($A$1, 352 - 1, 60 - 1) = "0" ), 2, IF( AND( OFFSET($A$1, 352 - 1, 59 - 1) = "0", OFFSET($A$1, 352 - 1, 60 - 1) = "1" ), 3, 4 ) ) )</f>
        <v>4</v>
      </c>
      <c r="BK352" s="3">
        <v>2.5316455696202531E-2</v>
      </c>
      <c r="BL352" s="3" t="str">
        <f t="shared" si="34"/>
        <v>0</v>
      </c>
      <c r="BM352" t="str">
        <f ca="1">IF((OFFSET($A$1, 352 - 1, 63 - 1)) &gt;= (OFFSET($A$1, 135 - 1, 7 - 1)), "1","0")</f>
        <v>0</v>
      </c>
      <c r="BN352">
        <f ca="1" xml:space="preserve"> IF( AND( OFFSET($A$1, 352 - 1, 64 - 1) = "1", OFFSET($A$1, 352 - 1, 65 - 1) = "1" ), 1, IF( AND( OFFSET($A$1, 352 - 1, 64 - 1) = "1", OFFSET($A$1, 352 - 1, 65 - 1) = "0" ), 2, IF( AND( OFFSET($A$1, 352 - 1, 64 - 1) = "0", OFFSET($A$1, 352 - 1, 65 - 1) = "1" ), 3, 4 ) ) )</f>
        <v>4</v>
      </c>
    </row>
    <row r="353" spans="58:66" x14ac:dyDescent="0.2">
      <c r="BF353" s="3">
        <v>0</v>
      </c>
      <c r="BG353" s="3" t="str">
        <f t="shared" si="35"/>
        <v>0</v>
      </c>
      <c r="BH353" t="str">
        <f ca="1">IF((OFFSET($A$1, 353 - 1, 58 - 1)) &gt;= (OFFSET($A$1, 96 - 1, 7 - 1)), "1","0")</f>
        <v>0</v>
      </c>
      <c r="BI353">
        <f ca="1" xml:space="preserve"> IF( AND( OFFSET($A$1, 353 - 1, 59 - 1) = "1", OFFSET($A$1, 353 - 1, 60 - 1) = "1" ), 1, IF( AND( OFFSET($A$1, 353 - 1, 59 - 1) = "1", OFFSET($A$1, 353 - 1, 60 - 1) = "0" ), 2, IF( AND( OFFSET($A$1, 353 - 1, 59 - 1) = "0", OFFSET($A$1, 353 - 1, 60 - 1) = "1" ), 3, 4 ) ) )</f>
        <v>4</v>
      </c>
      <c r="BK353" s="3">
        <v>6.6350710900473939E-2</v>
      </c>
      <c r="BL353" s="3" t="str">
        <f t="shared" si="34"/>
        <v>0</v>
      </c>
      <c r="BM353" t="str">
        <f ca="1">IF((OFFSET($A$1, 353 - 1, 63 - 1)) &gt;= (OFFSET($A$1, 135 - 1, 7 - 1)), "1","0")</f>
        <v>0</v>
      </c>
      <c r="BN353">
        <f ca="1" xml:space="preserve"> IF( AND( OFFSET($A$1, 353 - 1, 64 - 1) = "1", OFFSET($A$1, 353 - 1, 65 - 1) = "1" ), 1, IF( AND( OFFSET($A$1, 353 - 1, 64 - 1) = "1", OFFSET($A$1, 353 - 1, 65 - 1) = "0" ), 2, IF( AND( OFFSET($A$1, 353 - 1, 64 - 1) = "0", OFFSET($A$1, 353 - 1, 65 - 1) = "1" ), 3, 4 ) ) )</f>
        <v>4</v>
      </c>
    </row>
    <row r="354" spans="58:66" x14ac:dyDescent="0.2">
      <c r="BF354" s="3">
        <v>3.7037037037037042E-2</v>
      </c>
      <c r="BG354" s="3" t="str">
        <f t="shared" si="35"/>
        <v>0</v>
      </c>
      <c r="BH354" t="str">
        <f ca="1">IF((OFFSET($A$1, 354 - 1, 58 - 1)) &gt;= (OFFSET($A$1, 96 - 1, 7 - 1)), "1","0")</f>
        <v>0</v>
      </c>
      <c r="BI354">
        <f ca="1" xml:space="preserve"> IF( AND( OFFSET($A$1, 354 - 1, 59 - 1) = "1", OFFSET($A$1, 354 - 1, 60 - 1) = "1" ), 1, IF( AND( OFFSET($A$1, 354 - 1, 59 - 1) = "1", OFFSET($A$1, 354 - 1, 60 - 1) = "0" ), 2, IF( AND( OFFSET($A$1, 354 - 1, 59 - 1) = "0", OFFSET($A$1, 354 - 1, 60 - 1) = "1" ), 3, 4 ) ) )</f>
        <v>4</v>
      </c>
      <c r="BK354" s="3">
        <v>2.5316455696202531E-2</v>
      </c>
      <c r="BL354" s="3" t="str">
        <f t="shared" si="34"/>
        <v>0</v>
      </c>
      <c r="BM354" t="str">
        <f ca="1">IF((OFFSET($A$1, 354 - 1, 63 - 1)) &gt;= (OFFSET($A$1, 135 - 1, 7 - 1)), "1","0")</f>
        <v>0</v>
      </c>
      <c r="BN354">
        <f ca="1" xml:space="preserve"> IF( AND( OFFSET($A$1, 354 - 1, 64 - 1) = "1", OFFSET($A$1, 354 - 1, 65 - 1) = "1" ), 1, IF( AND( OFFSET($A$1, 354 - 1, 64 - 1) = "1", OFFSET($A$1, 354 - 1, 65 - 1) = "0" ), 2, IF( AND( OFFSET($A$1, 354 - 1, 64 - 1) = "0", OFFSET($A$1, 354 - 1, 65 - 1) = "1" ), 3, 4 ) ) )</f>
        <v>4</v>
      </c>
    </row>
    <row r="355" spans="58:66" x14ac:dyDescent="0.2">
      <c r="BF355" s="3">
        <v>0</v>
      </c>
      <c r="BG355" s="3" t="str">
        <f t="shared" si="35"/>
        <v>0</v>
      </c>
      <c r="BH355" t="str">
        <f ca="1">IF((OFFSET($A$1, 355 - 1, 58 - 1)) &gt;= (OFFSET($A$1, 96 - 1, 7 - 1)), "1","0")</f>
        <v>0</v>
      </c>
      <c r="BI355">
        <f ca="1" xml:space="preserve"> IF( AND( OFFSET($A$1, 355 - 1, 59 - 1) = "1", OFFSET($A$1, 355 - 1, 60 - 1) = "1" ), 1, IF( AND( OFFSET($A$1, 355 - 1, 59 - 1) = "1", OFFSET($A$1, 355 - 1, 60 - 1) = "0" ), 2, IF( AND( OFFSET($A$1, 355 - 1, 59 - 1) = "0", OFFSET($A$1, 355 - 1, 60 - 1) = "1" ), 3, 4 ) ) )</f>
        <v>4</v>
      </c>
      <c r="BK355" s="3">
        <v>2.5316455696202531E-2</v>
      </c>
      <c r="BL355" s="3" t="str">
        <f>"1"</f>
        <v>1</v>
      </c>
      <c r="BM355" t="str">
        <f ca="1">IF((OFFSET($A$1, 355 - 1, 63 - 1)) &gt;= (OFFSET($A$1, 135 - 1, 7 - 1)), "1","0")</f>
        <v>0</v>
      </c>
      <c r="BN355">
        <f ca="1" xml:space="preserve"> IF( AND( OFFSET($A$1, 355 - 1, 64 - 1) = "1", OFFSET($A$1, 355 - 1, 65 - 1) = "1" ), 1, IF( AND( OFFSET($A$1, 355 - 1, 64 - 1) = "1", OFFSET($A$1, 355 - 1, 65 - 1) = "0" ), 2, IF( AND( OFFSET($A$1, 355 - 1, 64 - 1) = "0", OFFSET($A$1, 355 - 1, 65 - 1) = "1" ), 3, 4 ) ) )</f>
        <v>2</v>
      </c>
    </row>
    <row r="356" spans="58:66" x14ac:dyDescent="0.2">
      <c r="BF356" s="3">
        <v>0</v>
      </c>
      <c r="BG356" s="3" t="str">
        <f t="shared" si="35"/>
        <v>0</v>
      </c>
      <c r="BH356" t="str">
        <f ca="1">IF((OFFSET($A$1, 356 - 1, 58 - 1)) &gt;= (OFFSET($A$1, 96 - 1, 7 - 1)), "1","0")</f>
        <v>0</v>
      </c>
      <c r="BI356">
        <f ca="1" xml:space="preserve"> IF( AND( OFFSET($A$1, 356 - 1, 59 - 1) = "1", OFFSET($A$1, 356 - 1, 60 - 1) = "1" ), 1, IF( AND( OFFSET($A$1, 356 - 1, 59 - 1) = "1", OFFSET($A$1, 356 - 1, 60 - 1) = "0" ), 2, IF( AND( OFFSET($A$1, 356 - 1, 59 - 1) = "0", OFFSET($A$1, 356 - 1, 60 - 1) = "1" ), 3, 4 ) ) )</f>
        <v>4</v>
      </c>
      <c r="BK356" s="3">
        <v>6.6350710900473939E-2</v>
      </c>
      <c r="BL356" s="3" t="str">
        <f t="shared" ref="BL356:BL366" si="36">"0"</f>
        <v>0</v>
      </c>
      <c r="BM356" t="str">
        <f ca="1">IF((OFFSET($A$1, 356 - 1, 63 - 1)) &gt;= (OFFSET($A$1, 135 - 1, 7 - 1)), "1","0")</f>
        <v>0</v>
      </c>
      <c r="BN356">
        <f ca="1" xml:space="preserve"> IF( AND( OFFSET($A$1, 356 - 1, 64 - 1) = "1", OFFSET($A$1, 356 - 1, 65 - 1) = "1" ), 1, IF( AND( OFFSET($A$1, 356 - 1, 64 - 1) = "1", OFFSET($A$1, 356 - 1, 65 - 1) = "0" ), 2, IF( AND( OFFSET($A$1, 356 - 1, 64 - 1) = "0", OFFSET($A$1, 356 - 1, 65 - 1) = "1" ), 3, 4 ) ) )</f>
        <v>4</v>
      </c>
    </row>
    <row r="357" spans="58:66" x14ac:dyDescent="0.2">
      <c r="BF357" s="3">
        <v>0.1081081081081081</v>
      </c>
      <c r="BG357" s="3" t="str">
        <f t="shared" si="35"/>
        <v>0</v>
      </c>
      <c r="BH357" t="str">
        <f ca="1">IF((OFFSET($A$1, 357 - 1, 58 - 1)) &gt;= (OFFSET($A$1, 96 - 1, 7 - 1)), "1","0")</f>
        <v>0</v>
      </c>
      <c r="BI357">
        <f ca="1" xml:space="preserve"> IF( AND( OFFSET($A$1, 357 - 1, 59 - 1) = "1", OFFSET($A$1, 357 - 1, 60 - 1) = "1" ), 1, IF( AND( OFFSET($A$1, 357 - 1, 59 - 1) = "1", OFFSET($A$1, 357 - 1, 60 - 1) = "0" ), 2, IF( AND( OFFSET($A$1, 357 - 1, 59 - 1) = "0", OFFSET($A$1, 357 - 1, 60 - 1) = "1" ), 3, 4 ) ) )</f>
        <v>4</v>
      </c>
      <c r="BK357" s="3">
        <v>6.6350710900473939E-2</v>
      </c>
      <c r="BL357" s="3" t="str">
        <f t="shared" si="36"/>
        <v>0</v>
      </c>
      <c r="BM357" t="str">
        <f ca="1">IF((OFFSET($A$1, 357 - 1, 63 - 1)) &gt;= (OFFSET($A$1, 135 - 1, 7 - 1)), "1","0")</f>
        <v>0</v>
      </c>
      <c r="BN357">
        <f ca="1" xml:space="preserve"> IF( AND( OFFSET($A$1, 357 - 1, 64 - 1) = "1", OFFSET($A$1, 357 - 1, 65 - 1) = "1" ), 1, IF( AND( OFFSET($A$1, 357 - 1, 64 - 1) = "1", OFFSET($A$1, 357 - 1, 65 - 1) = "0" ), 2, IF( AND( OFFSET($A$1, 357 - 1, 64 - 1) = "0", OFFSET($A$1, 357 - 1, 65 - 1) = "1" ), 3, 4 ) ) )</f>
        <v>4</v>
      </c>
    </row>
    <row r="358" spans="58:66" x14ac:dyDescent="0.2">
      <c r="BF358" s="3">
        <v>3.7037037037037042E-2</v>
      </c>
      <c r="BG358" s="3" t="str">
        <f t="shared" si="35"/>
        <v>0</v>
      </c>
      <c r="BH358" t="str">
        <f ca="1">IF((OFFSET($A$1, 358 - 1, 58 - 1)) &gt;= (OFFSET($A$1, 96 - 1, 7 - 1)), "1","0")</f>
        <v>0</v>
      </c>
      <c r="BI358">
        <f ca="1" xml:space="preserve"> IF( AND( OFFSET($A$1, 358 - 1, 59 - 1) = "1", OFFSET($A$1, 358 - 1, 60 - 1) = "1" ), 1, IF( AND( OFFSET($A$1, 358 - 1, 59 - 1) = "1", OFFSET($A$1, 358 - 1, 60 - 1) = "0" ), 2, IF( AND( OFFSET($A$1, 358 - 1, 59 - 1) = "0", OFFSET($A$1, 358 - 1, 60 - 1) = "1" ), 3, 4 ) ) )</f>
        <v>4</v>
      </c>
      <c r="BK358" s="3">
        <v>6.6350710900473939E-2</v>
      </c>
      <c r="BL358" s="3" t="str">
        <f t="shared" si="36"/>
        <v>0</v>
      </c>
      <c r="BM358" t="str">
        <f ca="1">IF((OFFSET($A$1, 358 - 1, 63 - 1)) &gt;= (OFFSET($A$1, 135 - 1, 7 - 1)), "1","0")</f>
        <v>0</v>
      </c>
      <c r="BN358">
        <f ca="1" xml:space="preserve"> IF( AND( OFFSET($A$1, 358 - 1, 64 - 1) = "1", OFFSET($A$1, 358 - 1, 65 - 1) = "1" ), 1, IF( AND( OFFSET($A$1, 358 - 1, 64 - 1) = "1", OFFSET($A$1, 358 - 1, 65 - 1) = "0" ), 2, IF( AND( OFFSET($A$1, 358 - 1, 64 - 1) = "0", OFFSET($A$1, 358 - 1, 65 - 1) = "1" ), 3, 4 ) ) )</f>
        <v>4</v>
      </c>
    </row>
    <row r="359" spans="58:66" x14ac:dyDescent="0.2">
      <c r="BF359" s="3">
        <v>0</v>
      </c>
      <c r="BG359" s="3" t="str">
        <f t="shared" si="35"/>
        <v>0</v>
      </c>
      <c r="BH359" t="str">
        <f ca="1">IF((OFFSET($A$1, 359 - 1, 58 - 1)) &gt;= (OFFSET($A$1, 96 - 1, 7 - 1)), "1","0")</f>
        <v>0</v>
      </c>
      <c r="BI359">
        <f ca="1" xml:space="preserve"> IF( AND( OFFSET($A$1, 359 - 1, 59 - 1) = "1", OFFSET($A$1, 359 - 1, 60 - 1) = "1" ), 1, IF( AND( OFFSET($A$1, 359 - 1, 59 - 1) = "1", OFFSET($A$1, 359 - 1, 60 - 1) = "0" ), 2, IF( AND( OFFSET($A$1, 359 - 1, 59 - 1) = "0", OFFSET($A$1, 359 - 1, 60 - 1) = "1" ), 3, 4 ) ) )</f>
        <v>4</v>
      </c>
      <c r="BK359" s="3">
        <v>2.5316455696202531E-2</v>
      </c>
      <c r="BL359" s="3" t="str">
        <f t="shared" si="36"/>
        <v>0</v>
      </c>
      <c r="BM359" t="str">
        <f ca="1">IF((OFFSET($A$1, 359 - 1, 63 - 1)) &gt;= (OFFSET($A$1, 135 - 1, 7 - 1)), "1","0")</f>
        <v>0</v>
      </c>
      <c r="BN359">
        <f ca="1" xml:space="preserve"> IF( AND( OFFSET($A$1, 359 - 1, 64 - 1) = "1", OFFSET($A$1, 359 - 1, 65 - 1) = "1" ), 1, IF( AND( OFFSET($A$1, 359 - 1, 64 - 1) = "1", OFFSET($A$1, 359 - 1, 65 - 1) = "0" ), 2, IF( AND( OFFSET($A$1, 359 - 1, 64 - 1) = "0", OFFSET($A$1, 359 - 1, 65 - 1) = "1" ), 3, 4 ) ) )</f>
        <v>4</v>
      </c>
    </row>
    <row r="360" spans="58:66" x14ac:dyDescent="0.2">
      <c r="BF360" s="3">
        <v>3.7037037037037042E-2</v>
      </c>
      <c r="BG360" s="3" t="str">
        <f t="shared" si="35"/>
        <v>0</v>
      </c>
      <c r="BH360" t="str">
        <f ca="1">IF((OFFSET($A$1, 360 - 1, 58 - 1)) &gt;= (OFFSET($A$1, 96 - 1, 7 - 1)), "1","0")</f>
        <v>0</v>
      </c>
      <c r="BI360">
        <f ca="1" xml:space="preserve"> IF( AND( OFFSET($A$1, 360 - 1, 59 - 1) = "1", OFFSET($A$1, 360 - 1, 60 - 1) = "1" ), 1, IF( AND( OFFSET($A$1, 360 - 1, 59 - 1) = "1", OFFSET($A$1, 360 - 1, 60 - 1) = "0" ), 2, IF( AND( OFFSET($A$1, 360 - 1, 59 - 1) = "0", OFFSET($A$1, 360 - 1, 60 - 1) = "1" ), 3, 4 ) ) )</f>
        <v>4</v>
      </c>
      <c r="BK360" s="3">
        <v>6.6350710900473939E-2</v>
      </c>
      <c r="BL360" s="3" t="str">
        <f t="shared" si="36"/>
        <v>0</v>
      </c>
      <c r="BM360" t="str">
        <f ca="1">IF((OFFSET($A$1, 360 - 1, 63 - 1)) &gt;= (OFFSET($A$1, 135 - 1, 7 - 1)), "1","0")</f>
        <v>0</v>
      </c>
      <c r="BN360">
        <f ca="1" xml:space="preserve"> IF( AND( OFFSET($A$1, 360 - 1, 64 - 1) = "1", OFFSET($A$1, 360 - 1, 65 - 1) = "1" ), 1, IF( AND( OFFSET($A$1, 360 - 1, 64 - 1) = "1", OFFSET($A$1, 360 - 1, 65 - 1) = "0" ), 2, IF( AND( OFFSET($A$1, 360 - 1, 64 - 1) = "0", OFFSET($A$1, 360 - 1, 65 - 1) = "1" ), 3, 4 ) ) )</f>
        <v>4</v>
      </c>
    </row>
    <row r="361" spans="58:66" x14ac:dyDescent="0.2">
      <c r="BF361" s="3">
        <v>0</v>
      </c>
      <c r="BG361" s="3" t="str">
        <f t="shared" si="35"/>
        <v>0</v>
      </c>
      <c r="BH361" t="str">
        <f ca="1">IF((OFFSET($A$1, 361 - 1, 58 - 1)) &gt;= (OFFSET($A$1, 96 - 1, 7 - 1)), "1","0")</f>
        <v>0</v>
      </c>
      <c r="BI361">
        <f ca="1" xml:space="preserve"> IF( AND( OFFSET($A$1, 361 - 1, 59 - 1) = "1", OFFSET($A$1, 361 - 1, 60 - 1) = "1" ), 1, IF( AND( OFFSET($A$1, 361 - 1, 59 - 1) = "1", OFFSET($A$1, 361 - 1, 60 - 1) = "0" ), 2, IF( AND( OFFSET($A$1, 361 - 1, 59 - 1) = "0", OFFSET($A$1, 361 - 1, 60 - 1) = "1" ), 3, 4 ) ) )</f>
        <v>4</v>
      </c>
      <c r="BK361" s="3">
        <v>6.6350710900473939E-2</v>
      </c>
      <c r="BL361" s="3" t="str">
        <f t="shared" si="36"/>
        <v>0</v>
      </c>
      <c r="BM361" t="str">
        <f ca="1">IF((OFFSET($A$1, 361 - 1, 63 - 1)) &gt;= (OFFSET($A$1, 135 - 1, 7 - 1)), "1","0")</f>
        <v>0</v>
      </c>
      <c r="BN361">
        <f ca="1" xml:space="preserve"> IF( AND( OFFSET($A$1, 361 - 1, 64 - 1) = "1", OFFSET($A$1, 361 - 1, 65 - 1) = "1" ), 1, IF( AND( OFFSET($A$1, 361 - 1, 64 - 1) = "1", OFFSET($A$1, 361 - 1, 65 - 1) = "0" ), 2, IF( AND( OFFSET($A$1, 361 - 1, 64 - 1) = "0", OFFSET($A$1, 361 - 1, 65 - 1) = "1" ), 3, 4 ) ) )</f>
        <v>4</v>
      </c>
    </row>
    <row r="362" spans="58:66" x14ac:dyDescent="0.2">
      <c r="BF362" s="3">
        <v>0.90579710144927539</v>
      </c>
      <c r="BG362" s="3" t="str">
        <f>"1"</f>
        <v>1</v>
      </c>
      <c r="BH362" t="str">
        <f ca="1">IF((OFFSET($A$1, 362 - 1, 58 - 1)) &gt;= (OFFSET($A$1, 96 - 1, 7 - 1)), "1","0")</f>
        <v>1</v>
      </c>
      <c r="BI362">
        <f ca="1" xml:space="preserve"> IF( AND( OFFSET($A$1, 362 - 1, 59 - 1) = "1", OFFSET($A$1, 362 - 1, 60 - 1) = "1" ), 1, IF( AND( OFFSET($A$1, 362 - 1, 59 - 1) = "1", OFFSET($A$1, 362 - 1, 60 - 1) = "0" ), 2, IF( AND( OFFSET($A$1, 362 - 1, 59 - 1) = "0", OFFSET($A$1, 362 - 1, 60 - 1) = "1" ), 3, 4 ) ) )</f>
        <v>1</v>
      </c>
      <c r="BK362" s="3">
        <v>0.36</v>
      </c>
      <c r="BL362" s="3" t="str">
        <f t="shared" si="36"/>
        <v>0</v>
      </c>
      <c r="BM362" t="str">
        <f ca="1">IF((OFFSET($A$1, 362 - 1, 63 - 1)) &gt;= (OFFSET($A$1, 135 - 1, 7 - 1)), "1","0")</f>
        <v>0</v>
      </c>
      <c r="BN362">
        <f ca="1" xml:space="preserve"> IF( AND( OFFSET($A$1, 362 - 1, 64 - 1) = "1", OFFSET($A$1, 362 - 1, 65 - 1) = "1" ), 1, IF( AND( OFFSET($A$1, 362 - 1, 64 - 1) = "1", OFFSET($A$1, 362 - 1, 65 - 1) = "0" ), 2, IF( AND( OFFSET($A$1, 362 - 1, 64 - 1) = "0", OFFSET($A$1, 362 - 1, 65 - 1) = "1" ), 3, 4 ) ) )</f>
        <v>4</v>
      </c>
    </row>
    <row r="363" spans="58:66" x14ac:dyDescent="0.2">
      <c r="BF363" s="3">
        <v>0.36</v>
      </c>
      <c r="BG363" s="3" t="str">
        <f>"0"</f>
        <v>0</v>
      </c>
      <c r="BH363" t="str">
        <f ca="1">IF((OFFSET($A$1, 363 - 1, 58 - 1)) &gt;= (OFFSET($A$1, 96 - 1, 7 - 1)), "1","0")</f>
        <v>0</v>
      </c>
      <c r="BI363">
        <f ca="1" xml:space="preserve"> IF( AND( OFFSET($A$1, 363 - 1, 59 - 1) = "1", OFFSET($A$1, 363 - 1, 60 - 1) = "1" ), 1, IF( AND( OFFSET($A$1, 363 - 1, 59 - 1) = "1", OFFSET($A$1, 363 - 1, 60 - 1) = "0" ), 2, IF( AND( OFFSET($A$1, 363 - 1, 59 - 1) = "0", OFFSET($A$1, 363 - 1, 60 - 1) = "1" ), 3, 4 ) ) )</f>
        <v>4</v>
      </c>
      <c r="BK363" s="3">
        <v>0.38775510204081637</v>
      </c>
      <c r="BL363" s="3" t="str">
        <f t="shared" si="36"/>
        <v>0</v>
      </c>
      <c r="BM363" t="str">
        <f ca="1">IF((OFFSET($A$1, 363 - 1, 63 - 1)) &gt;= (OFFSET($A$1, 135 - 1, 7 - 1)), "1","0")</f>
        <v>0</v>
      </c>
      <c r="BN363">
        <f ca="1" xml:space="preserve"> IF( AND( OFFSET($A$1, 363 - 1, 64 - 1) = "1", OFFSET($A$1, 363 - 1, 65 - 1) = "1" ), 1, IF( AND( OFFSET($A$1, 363 - 1, 64 - 1) = "1", OFFSET($A$1, 363 - 1, 65 - 1) = "0" ), 2, IF( AND( OFFSET($A$1, 363 - 1, 64 - 1) = "0", OFFSET($A$1, 363 - 1, 65 - 1) = "1" ), 3, 4 ) ) )</f>
        <v>4</v>
      </c>
    </row>
    <row r="364" spans="58:66" x14ac:dyDescent="0.2">
      <c r="BF364" s="3">
        <v>0</v>
      </c>
      <c r="BG364" s="3" t="str">
        <f>"0"</f>
        <v>0</v>
      </c>
      <c r="BH364" t="str">
        <f ca="1">IF((OFFSET($A$1, 364 - 1, 58 - 1)) &gt;= (OFFSET($A$1, 96 - 1, 7 - 1)), "1","0")</f>
        <v>0</v>
      </c>
      <c r="BI364">
        <f ca="1" xml:space="preserve"> IF( AND( OFFSET($A$1, 364 - 1, 59 - 1) = "1", OFFSET($A$1, 364 - 1, 60 - 1) = "1" ), 1, IF( AND( OFFSET($A$1, 364 - 1, 59 - 1) = "1", OFFSET($A$1, 364 - 1, 60 - 1) = "0" ), 2, IF( AND( OFFSET($A$1, 364 - 1, 59 - 1) = "0", OFFSET($A$1, 364 - 1, 60 - 1) = "1" ), 3, 4 ) ) )</f>
        <v>4</v>
      </c>
      <c r="BK364" s="3">
        <v>6.6350710900473939E-2</v>
      </c>
      <c r="BL364" s="3" t="str">
        <f t="shared" si="36"/>
        <v>0</v>
      </c>
      <c r="BM364" t="str">
        <f ca="1">IF((OFFSET($A$1, 364 - 1, 63 - 1)) &gt;= (OFFSET($A$1, 135 - 1, 7 - 1)), "1","0")</f>
        <v>0</v>
      </c>
      <c r="BN364">
        <f ca="1" xml:space="preserve"> IF( AND( OFFSET($A$1, 364 - 1, 64 - 1) = "1", OFFSET($A$1, 364 - 1, 65 - 1) = "1" ), 1, IF( AND( OFFSET($A$1, 364 - 1, 64 - 1) = "1", OFFSET($A$1, 364 - 1, 65 - 1) = "0" ), 2, IF( AND( OFFSET($A$1, 364 - 1, 64 - 1) = "0", OFFSET($A$1, 364 - 1, 65 - 1) = "1" ), 3, 4 ) ) )</f>
        <v>4</v>
      </c>
    </row>
    <row r="365" spans="58:66" x14ac:dyDescent="0.2">
      <c r="BF365" s="3">
        <v>3.7037037037037042E-2</v>
      </c>
      <c r="BG365" s="3" t="str">
        <f>"0"</f>
        <v>0</v>
      </c>
      <c r="BH365" t="str">
        <f ca="1">IF((OFFSET($A$1, 365 - 1, 58 - 1)) &gt;= (OFFSET($A$1, 96 - 1, 7 - 1)), "1","0")</f>
        <v>0</v>
      </c>
      <c r="BI365">
        <f ca="1" xml:space="preserve"> IF( AND( OFFSET($A$1, 365 - 1, 59 - 1) = "1", OFFSET($A$1, 365 - 1, 60 - 1) = "1" ), 1, IF( AND( OFFSET($A$1, 365 - 1, 59 - 1) = "1", OFFSET($A$1, 365 - 1, 60 - 1) = "0" ), 2, IF( AND( OFFSET($A$1, 365 - 1, 59 - 1) = "0", OFFSET($A$1, 365 - 1, 60 - 1) = "1" ), 3, 4 ) ) )</f>
        <v>4</v>
      </c>
      <c r="BK365" s="3">
        <v>2.5316455696202531E-2</v>
      </c>
      <c r="BL365" s="3" t="str">
        <f t="shared" si="36"/>
        <v>0</v>
      </c>
      <c r="BM365" t="str">
        <f ca="1">IF((OFFSET($A$1, 365 - 1, 63 - 1)) &gt;= (OFFSET($A$1, 135 - 1, 7 - 1)), "1","0")</f>
        <v>0</v>
      </c>
      <c r="BN365">
        <f ca="1" xml:space="preserve"> IF( AND( OFFSET($A$1, 365 - 1, 64 - 1) = "1", OFFSET($A$1, 365 - 1, 65 - 1) = "1" ), 1, IF( AND( OFFSET($A$1, 365 - 1, 64 - 1) = "1", OFFSET($A$1, 365 - 1, 65 - 1) = "0" ), 2, IF( AND( OFFSET($A$1, 365 - 1, 64 - 1) = "0", OFFSET($A$1, 365 - 1, 65 - 1) = "1" ), 3, 4 ) ) )</f>
        <v>4</v>
      </c>
    </row>
    <row r="366" spans="58:66" x14ac:dyDescent="0.2">
      <c r="BF366" s="3">
        <v>0.34722222222222221</v>
      </c>
      <c r="BG366" s="3" t="str">
        <f>"0"</f>
        <v>0</v>
      </c>
      <c r="BH366" t="str">
        <f ca="1">IF((OFFSET($A$1, 366 - 1, 58 - 1)) &gt;= (OFFSET($A$1, 96 - 1, 7 - 1)), "1","0")</f>
        <v>0</v>
      </c>
      <c r="BI366">
        <f ca="1" xml:space="preserve"> IF( AND( OFFSET($A$1, 366 - 1, 59 - 1) = "1", OFFSET($A$1, 366 - 1, 60 - 1) = "1" ), 1, IF( AND( OFFSET($A$1, 366 - 1, 59 - 1) = "1", OFFSET($A$1, 366 - 1, 60 - 1) = "0" ), 2, IF( AND( OFFSET($A$1, 366 - 1, 59 - 1) = "0", OFFSET($A$1, 366 - 1, 60 - 1) = "1" ), 3, 4 ) ) )</f>
        <v>4</v>
      </c>
      <c r="BK366" s="3">
        <v>6.6350710900473939E-2</v>
      </c>
      <c r="BL366" s="3" t="str">
        <f t="shared" si="36"/>
        <v>0</v>
      </c>
      <c r="BM366" t="str">
        <f ca="1">IF((OFFSET($A$1, 366 - 1, 63 - 1)) &gt;= (OFFSET($A$1, 135 - 1, 7 - 1)), "1","0")</f>
        <v>0</v>
      </c>
      <c r="BN366">
        <f ca="1" xml:space="preserve"> IF( AND( OFFSET($A$1, 366 - 1, 64 - 1) = "1", OFFSET($A$1, 366 - 1, 65 - 1) = "1" ), 1, IF( AND( OFFSET($A$1, 366 - 1, 64 - 1) = "1", OFFSET($A$1, 366 - 1, 65 - 1) = "0" ), 2, IF( AND( OFFSET($A$1, 366 - 1, 64 - 1) = "0", OFFSET($A$1, 366 - 1, 65 - 1) = "1" ), 3, 4 ) ) )</f>
        <v>4</v>
      </c>
    </row>
    <row r="367" spans="58:66" x14ac:dyDescent="0.2">
      <c r="BF367" s="3">
        <v>0.34722222222222221</v>
      </c>
      <c r="BG367" s="3" t="str">
        <f>"1"</f>
        <v>1</v>
      </c>
      <c r="BH367" t="str">
        <f ca="1">IF((OFFSET($A$1, 367 - 1, 58 - 1)) &gt;= (OFFSET($A$1, 96 - 1, 7 - 1)), "1","0")</f>
        <v>0</v>
      </c>
      <c r="BI367">
        <f ca="1" xml:space="preserve"> IF( AND( OFFSET($A$1, 367 - 1, 59 - 1) = "1", OFFSET($A$1, 367 - 1, 60 - 1) = "1" ), 1, IF( AND( OFFSET($A$1, 367 - 1, 59 - 1) = "1", OFFSET($A$1, 367 - 1, 60 - 1) = "0" ), 2, IF( AND( OFFSET($A$1, 367 - 1, 59 - 1) = "0", OFFSET($A$1, 367 - 1, 60 - 1) = "1" ), 3, 4 ) ) )</f>
        <v>2</v>
      </c>
      <c r="BK367" s="3">
        <v>0.36</v>
      </c>
      <c r="BL367" s="3" t="str">
        <f>"1"</f>
        <v>1</v>
      </c>
      <c r="BM367" t="str">
        <f ca="1">IF((OFFSET($A$1, 367 - 1, 63 - 1)) &gt;= (OFFSET($A$1, 135 - 1, 7 - 1)), "1","0")</f>
        <v>0</v>
      </c>
      <c r="BN367">
        <f ca="1" xml:space="preserve"> IF( AND( OFFSET($A$1, 367 - 1, 64 - 1) = "1", OFFSET($A$1, 367 - 1, 65 - 1) = "1" ), 1, IF( AND( OFFSET($A$1, 367 - 1, 64 - 1) = "1", OFFSET($A$1, 367 - 1, 65 - 1) = "0" ), 2, IF( AND( OFFSET($A$1, 367 - 1, 64 - 1) = "0", OFFSET($A$1, 367 - 1, 65 - 1) = "1" ), 3, 4 ) ) )</f>
        <v>2</v>
      </c>
    </row>
    <row r="368" spans="58:66" x14ac:dyDescent="0.2">
      <c r="BF368" s="3">
        <v>0.90579710144927539</v>
      </c>
      <c r="BG368" s="3" t="str">
        <f>"1"</f>
        <v>1</v>
      </c>
      <c r="BH368" t="str">
        <f ca="1">IF((OFFSET($A$1, 368 - 1, 58 - 1)) &gt;= (OFFSET($A$1, 96 - 1, 7 - 1)), "1","0")</f>
        <v>1</v>
      </c>
      <c r="BI368">
        <f ca="1" xml:space="preserve"> IF( AND( OFFSET($A$1, 368 - 1, 59 - 1) = "1", OFFSET($A$1, 368 - 1, 60 - 1) = "1" ), 1, IF( AND( OFFSET($A$1, 368 - 1, 59 - 1) = "1", OFFSET($A$1, 368 - 1, 60 - 1) = "0" ), 2, IF( AND( OFFSET($A$1, 368 - 1, 59 - 1) = "0", OFFSET($A$1, 368 - 1, 60 - 1) = "1" ), 3, 4 ) ) )</f>
        <v>1</v>
      </c>
      <c r="BK368" s="3">
        <v>2.5316455696202531E-2</v>
      </c>
      <c r="BL368" s="3" t="str">
        <f t="shared" ref="BL368:BL374" si="37">"0"</f>
        <v>0</v>
      </c>
      <c r="BM368" t="str">
        <f ca="1">IF((OFFSET($A$1, 368 - 1, 63 - 1)) &gt;= (OFFSET($A$1, 135 - 1, 7 - 1)), "1","0")</f>
        <v>0</v>
      </c>
      <c r="BN368">
        <f ca="1" xml:space="preserve"> IF( AND( OFFSET($A$1, 368 - 1, 64 - 1) = "1", OFFSET($A$1, 368 - 1, 65 - 1) = "1" ), 1, IF( AND( OFFSET($A$1, 368 - 1, 64 - 1) = "1", OFFSET($A$1, 368 - 1, 65 - 1) = "0" ), 2, IF( AND( OFFSET($A$1, 368 - 1, 64 - 1) = "0", OFFSET($A$1, 368 - 1, 65 - 1) = "1" ), 3, 4 ) ) )</f>
        <v>4</v>
      </c>
    </row>
    <row r="369" spans="58:66" x14ac:dyDescent="0.2">
      <c r="BF369" s="3">
        <v>0</v>
      </c>
      <c r="BG369" s="3" t="str">
        <f t="shared" ref="BG369:BG374" si="38">"0"</f>
        <v>0</v>
      </c>
      <c r="BH369" t="str">
        <f ca="1">IF((OFFSET($A$1, 369 - 1, 58 - 1)) &gt;= (OFFSET($A$1, 96 - 1, 7 - 1)), "1","0")</f>
        <v>0</v>
      </c>
      <c r="BI369">
        <f ca="1" xml:space="preserve"> IF( AND( OFFSET($A$1, 369 - 1, 59 - 1) = "1", OFFSET($A$1, 369 - 1, 60 - 1) = "1" ), 1, IF( AND( OFFSET($A$1, 369 - 1, 59 - 1) = "1", OFFSET($A$1, 369 - 1, 60 - 1) = "0" ), 2, IF( AND( OFFSET($A$1, 369 - 1, 59 - 1) = "0", OFFSET($A$1, 369 - 1, 60 - 1) = "1" ), 3, 4 ) ) )</f>
        <v>4</v>
      </c>
      <c r="BK369" s="3">
        <v>6.6350710900473939E-2</v>
      </c>
      <c r="BL369" s="3" t="str">
        <f t="shared" si="37"/>
        <v>0</v>
      </c>
      <c r="BM369" t="str">
        <f ca="1">IF((OFFSET($A$1, 369 - 1, 63 - 1)) &gt;= (OFFSET($A$1, 135 - 1, 7 - 1)), "1","0")</f>
        <v>0</v>
      </c>
      <c r="BN369">
        <f ca="1" xml:space="preserve"> IF( AND( OFFSET($A$1, 369 - 1, 64 - 1) = "1", OFFSET($A$1, 369 - 1, 65 - 1) = "1" ), 1, IF( AND( OFFSET($A$1, 369 - 1, 64 - 1) = "1", OFFSET($A$1, 369 - 1, 65 - 1) = "0" ), 2, IF( AND( OFFSET($A$1, 369 - 1, 64 - 1) = "0", OFFSET($A$1, 369 - 1, 65 - 1) = "1" ), 3, 4 ) ) )</f>
        <v>4</v>
      </c>
    </row>
    <row r="370" spans="58:66" x14ac:dyDescent="0.2">
      <c r="BF370" s="3">
        <v>0</v>
      </c>
      <c r="BG370" s="3" t="str">
        <f t="shared" si="38"/>
        <v>0</v>
      </c>
      <c r="BH370" t="str">
        <f ca="1">IF((OFFSET($A$1, 370 - 1, 58 - 1)) &gt;= (OFFSET($A$1, 96 - 1, 7 - 1)), "1","0")</f>
        <v>0</v>
      </c>
      <c r="BI370">
        <f ca="1" xml:space="preserve"> IF( AND( OFFSET($A$1, 370 - 1, 59 - 1) = "1", OFFSET($A$1, 370 - 1, 60 - 1) = "1" ), 1, IF( AND( OFFSET($A$1, 370 - 1, 59 - 1) = "1", OFFSET($A$1, 370 - 1, 60 - 1) = "0" ), 2, IF( AND( OFFSET($A$1, 370 - 1, 59 - 1) = "0", OFFSET($A$1, 370 - 1, 60 - 1) = "1" ), 3, 4 ) ) )</f>
        <v>4</v>
      </c>
      <c r="BK370" s="3">
        <v>6.6350710900473939E-2</v>
      </c>
      <c r="BL370" s="3" t="str">
        <f t="shared" si="37"/>
        <v>0</v>
      </c>
      <c r="BM370" t="str">
        <f ca="1">IF((OFFSET($A$1, 370 - 1, 63 - 1)) &gt;= (OFFSET($A$1, 135 - 1, 7 - 1)), "1","0")</f>
        <v>0</v>
      </c>
      <c r="BN370">
        <f ca="1" xml:space="preserve"> IF( AND( OFFSET($A$1, 370 - 1, 64 - 1) = "1", OFFSET($A$1, 370 - 1, 65 - 1) = "1" ), 1, IF( AND( OFFSET($A$1, 370 - 1, 64 - 1) = "1", OFFSET($A$1, 370 - 1, 65 - 1) = "0" ), 2, IF( AND( OFFSET($A$1, 370 - 1, 64 - 1) = "0", OFFSET($A$1, 370 - 1, 65 - 1) = "1" ), 3, 4 ) ) )</f>
        <v>4</v>
      </c>
    </row>
    <row r="371" spans="58:66" x14ac:dyDescent="0.2">
      <c r="BF371" s="3">
        <v>0.36</v>
      </c>
      <c r="BG371" s="3" t="str">
        <f t="shared" si="38"/>
        <v>0</v>
      </c>
      <c r="BH371" t="str">
        <f ca="1">IF((OFFSET($A$1, 371 - 1, 58 - 1)) &gt;= (OFFSET($A$1, 96 - 1, 7 - 1)), "1","0")</f>
        <v>0</v>
      </c>
      <c r="BI371">
        <f ca="1" xml:space="preserve"> IF( AND( OFFSET($A$1, 371 - 1, 59 - 1) = "1", OFFSET($A$1, 371 - 1, 60 - 1) = "1" ), 1, IF( AND( OFFSET($A$1, 371 - 1, 59 - 1) = "1", OFFSET($A$1, 371 - 1, 60 - 1) = "0" ), 2, IF( AND( OFFSET($A$1, 371 - 1, 59 - 1) = "0", OFFSET($A$1, 371 - 1, 60 - 1) = "1" ), 3, 4 ) ) )</f>
        <v>4</v>
      </c>
      <c r="BK371" s="3">
        <v>6.6350710900473939E-2</v>
      </c>
      <c r="BL371" s="3" t="str">
        <f t="shared" si="37"/>
        <v>0</v>
      </c>
      <c r="BM371" t="str">
        <f ca="1">IF((OFFSET($A$1, 371 - 1, 63 - 1)) &gt;= (OFFSET($A$1, 135 - 1, 7 - 1)), "1","0")</f>
        <v>0</v>
      </c>
      <c r="BN371">
        <f ca="1" xml:space="preserve"> IF( AND( OFFSET($A$1, 371 - 1, 64 - 1) = "1", OFFSET($A$1, 371 - 1, 65 - 1) = "1" ), 1, IF( AND( OFFSET($A$1, 371 - 1, 64 - 1) = "1", OFFSET($A$1, 371 - 1, 65 - 1) = "0" ), 2, IF( AND( OFFSET($A$1, 371 - 1, 64 - 1) = "0", OFFSET($A$1, 371 - 1, 65 - 1) = "1" ), 3, 4 ) ) )</f>
        <v>4</v>
      </c>
    </row>
    <row r="372" spans="58:66" x14ac:dyDescent="0.2">
      <c r="BF372" s="3">
        <v>0.38775510204081637</v>
      </c>
      <c r="BG372" s="3" t="str">
        <f t="shared" si="38"/>
        <v>0</v>
      </c>
      <c r="BH372" t="str">
        <f ca="1">IF((OFFSET($A$1, 372 - 1, 58 - 1)) &gt;= (OFFSET($A$1, 96 - 1, 7 - 1)), "1","0")</f>
        <v>0</v>
      </c>
      <c r="BI372">
        <f ca="1" xml:space="preserve"> IF( AND( OFFSET($A$1, 372 - 1, 59 - 1) = "1", OFFSET($A$1, 372 - 1, 60 - 1) = "1" ), 1, IF( AND( OFFSET($A$1, 372 - 1, 59 - 1) = "1", OFFSET($A$1, 372 - 1, 60 - 1) = "0" ), 2, IF( AND( OFFSET($A$1, 372 - 1, 59 - 1) = "0", OFFSET($A$1, 372 - 1, 60 - 1) = "1" ), 3, 4 ) ) )</f>
        <v>4</v>
      </c>
      <c r="BK372" s="3">
        <v>6.6350710900473939E-2</v>
      </c>
      <c r="BL372" s="3" t="str">
        <f t="shared" si="37"/>
        <v>0</v>
      </c>
      <c r="BM372" t="str">
        <f ca="1">IF((OFFSET($A$1, 372 - 1, 63 - 1)) &gt;= (OFFSET($A$1, 135 - 1, 7 - 1)), "1","0")</f>
        <v>0</v>
      </c>
      <c r="BN372">
        <f ca="1" xml:space="preserve"> IF( AND( OFFSET($A$1, 372 - 1, 64 - 1) = "1", OFFSET($A$1, 372 - 1, 65 - 1) = "1" ), 1, IF( AND( OFFSET($A$1, 372 - 1, 64 - 1) = "1", OFFSET($A$1, 372 - 1, 65 - 1) = "0" ), 2, IF( AND( OFFSET($A$1, 372 - 1, 64 - 1) = "0", OFFSET($A$1, 372 - 1, 65 - 1) = "1" ), 3, 4 ) ) )</f>
        <v>4</v>
      </c>
    </row>
    <row r="373" spans="58:66" x14ac:dyDescent="0.2">
      <c r="BF373" s="3">
        <v>0</v>
      </c>
      <c r="BG373" s="3" t="str">
        <f t="shared" si="38"/>
        <v>0</v>
      </c>
      <c r="BH373" t="str">
        <f ca="1">IF((OFFSET($A$1, 373 - 1, 58 - 1)) &gt;= (OFFSET($A$1, 96 - 1, 7 - 1)), "1","0")</f>
        <v>0</v>
      </c>
      <c r="BI373">
        <f ca="1" xml:space="preserve"> IF( AND( OFFSET($A$1, 373 - 1, 59 - 1) = "1", OFFSET($A$1, 373 - 1, 60 - 1) = "1" ), 1, IF( AND( OFFSET($A$1, 373 - 1, 59 - 1) = "1", OFFSET($A$1, 373 - 1, 60 - 1) = "0" ), 2, IF( AND( OFFSET($A$1, 373 - 1, 59 - 1) = "0", OFFSET($A$1, 373 - 1, 60 - 1) = "1" ), 3, 4 ) ) )</f>
        <v>4</v>
      </c>
      <c r="BK373" s="3">
        <v>6.6350710900473939E-2</v>
      </c>
      <c r="BL373" s="3" t="str">
        <f t="shared" si="37"/>
        <v>0</v>
      </c>
      <c r="BM373" t="str">
        <f ca="1">IF((OFFSET($A$1, 373 - 1, 63 - 1)) &gt;= (OFFSET($A$1, 135 - 1, 7 - 1)), "1","0")</f>
        <v>0</v>
      </c>
      <c r="BN373">
        <f ca="1" xml:space="preserve"> IF( AND( OFFSET($A$1, 373 - 1, 64 - 1) = "1", OFFSET($A$1, 373 - 1, 65 - 1) = "1" ), 1, IF( AND( OFFSET($A$1, 373 - 1, 64 - 1) = "1", OFFSET($A$1, 373 - 1, 65 - 1) = "0" ), 2, IF( AND( OFFSET($A$1, 373 - 1, 64 - 1) = "0", OFFSET($A$1, 373 - 1, 65 - 1) = "1" ), 3, 4 ) ) )</f>
        <v>4</v>
      </c>
    </row>
    <row r="374" spans="58:66" x14ac:dyDescent="0.2">
      <c r="BF374" s="3">
        <v>0.47692307692307689</v>
      </c>
      <c r="BG374" s="3" t="str">
        <f t="shared" si="38"/>
        <v>0</v>
      </c>
      <c r="BH374" t="str">
        <f ca="1">IF((OFFSET($A$1, 374 - 1, 58 - 1)) &gt;= (OFFSET($A$1, 96 - 1, 7 - 1)), "1","0")</f>
        <v>0</v>
      </c>
      <c r="BI374">
        <f ca="1" xml:space="preserve"> IF( AND( OFFSET($A$1, 374 - 1, 59 - 1) = "1", OFFSET($A$1, 374 - 1, 60 - 1) = "1" ), 1, IF( AND( OFFSET($A$1, 374 - 1, 59 - 1) = "1", OFFSET($A$1, 374 - 1, 60 - 1) = "0" ), 2, IF( AND( OFFSET($A$1, 374 - 1, 59 - 1) = "0", OFFSET($A$1, 374 - 1, 60 - 1) = "1" ), 3, 4 ) ) )</f>
        <v>4</v>
      </c>
      <c r="BK374" s="3">
        <v>6.6350710900473939E-2</v>
      </c>
      <c r="BL374" s="3" t="str">
        <f t="shared" si="37"/>
        <v>0</v>
      </c>
      <c r="BM374" t="str">
        <f ca="1">IF((OFFSET($A$1, 374 - 1, 63 - 1)) &gt;= (OFFSET($A$1, 135 - 1, 7 - 1)), "1","0")</f>
        <v>0</v>
      </c>
      <c r="BN374">
        <f ca="1" xml:space="preserve"> IF( AND( OFFSET($A$1, 374 - 1, 64 - 1) = "1", OFFSET($A$1, 374 - 1, 65 - 1) = "1" ), 1, IF( AND( OFFSET($A$1, 374 - 1, 64 - 1) = "1", OFFSET($A$1, 374 - 1, 65 - 1) = "0" ), 2, IF( AND( OFFSET($A$1, 374 - 1, 64 - 1) = "0", OFFSET($A$1, 374 - 1, 65 - 1) = "1" ), 3, 4 ) ) )</f>
        <v>4</v>
      </c>
    </row>
    <row r="375" spans="58:66" x14ac:dyDescent="0.2">
      <c r="BF375" s="3">
        <v>0.90579710144927539</v>
      </c>
      <c r="BG375" s="3" t="str">
        <f>"1"</f>
        <v>1</v>
      </c>
      <c r="BH375" t="str">
        <f ca="1">IF((OFFSET($A$1, 375 - 1, 58 - 1)) &gt;= (OFFSET($A$1, 96 - 1, 7 - 1)), "1","0")</f>
        <v>1</v>
      </c>
      <c r="BI375">
        <f ca="1" xml:space="preserve"> IF( AND( OFFSET($A$1, 375 - 1, 59 - 1) = "1", OFFSET($A$1, 375 - 1, 60 - 1) = "1" ), 1, IF( AND( OFFSET($A$1, 375 - 1, 59 - 1) = "1", OFFSET($A$1, 375 - 1, 60 - 1) = "0" ), 2, IF( AND( OFFSET($A$1, 375 - 1, 59 - 1) = "0", OFFSET($A$1, 375 - 1, 60 - 1) = "1" ), 3, 4 ) ) )</f>
        <v>1</v>
      </c>
      <c r="BK375" s="3">
        <v>6.6350710900473939E-2</v>
      </c>
      <c r="BL375" s="3" t="str">
        <f>"1"</f>
        <v>1</v>
      </c>
      <c r="BM375" t="str">
        <f ca="1">IF((OFFSET($A$1, 375 - 1, 63 - 1)) &gt;= (OFFSET($A$1, 135 - 1, 7 - 1)), "1","0")</f>
        <v>0</v>
      </c>
      <c r="BN375">
        <f ca="1" xml:space="preserve"> IF( AND( OFFSET($A$1, 375 - 1, 64 - 1) = "1", OFFSET($A$1, 375 - 1, 65 - 1) = "1" ), 1, IF( AND( OFFSET($A$1, 375 - 1, 64 - 1) = "1", OFFSET($A$1, 375 - 1, 65 - 1) = "0" ), 2, IF( AND( OFFSET($A$1, 375 - 1, 64 - 1) = "0", OFFSET($A$1, 375 - 1, 65 - 1) = "1" ), 3, 4 ) ) )</f>
        <v>2</v>
      </c>
    </row>
    <row r="376" spans="58:66" x14ac:dyDescent="0.2">
      <c r="BF376" s="3">
        <v>0</v>
      </c>
      <c r="BG376" s="3" t="str">
        <f t="shared" ref="BG376:BG383" si="39">"0"</f>
        <v>0</v>
      </c>
      <c r="BH376" t="str">
        <f ca="1">IF((OFFSET($A$1, 376 - 1, 58 - 1)) &gt;= (OFFSET($A$1, 96 - 1, 7 - 1)), "1","0")</f>
        <v>0</v>
      </c>
      <c r="BI376">
        <f ca="1" xml:space="preserve"> IF( AND( OFFSET($A$1, 376 - 1, 59 - 1) = "1", OFFSET($A$1, 376 - 1, 60 - 1) = "1" ), 1, IF( AND( OFFSET($A$1, 376 - 1, 59 - 1) = "1", OFFSET($A$1, 376 - 1, 60 - 1) = "0" ), 2, IF( AND( OFFSET($A$1, 376 - 1, 59 - 1) = "0", OFFSET($A$1, 376 - 1, 60 - 1) = "1" ), 3, 4 ) ) )</f>
        <v>4</v>
      </c>
      <c r="BK376" s="3">
        <v>6.6350710900473939E-2</v>
      </c>
      <c r="BL376" s="3" t="str">
        <f>"1"</f>
        <v>1</v>
      </c>
      <c r="BM376" t="str">
        <f ca="1">IF((OFFSET($A$1, 376 - 1, 63 - 1)) &gt;= (OFFSET($A$1, 135 - 1, 7 - 1)), "1","0")</f>
        <v>0</v>
      </c>
      <c r="BN376">
        <f ca="1" xml:space="preserve"> IF( AND( OFFSET($A$1, 376 - 1, 64 - 1) = "1", OFFSET($A$1, 376 - 1, 65 - 1) = "1" ), 1, IF( AND( OFFSET($A$1, 376 - 1, 64 - 1) = "1", OFFSET($A$1, 376 - 1, 65 - 1) = "0" ), 2, IF( AND( OFFSET($A$1, 376 - 1, 64 - 1) = "0", OFFSET($A$1, 376 - 1, 65 - 1) = "1" ), 3, 4 ) ) )</f>
        <v>2</v>
      </c>
    </row>
    <row r="377" spans="58:66" x14ac:dyDescent="0.2">
      <c r="BF377" s="3">
        <v>0</v>
      </c>
      <c r="BG377" s="3" t="str">
        <f t="shared" si="39"/>
        <v>0</v>
      </c>
      <c r="BH377" t="str">
        <f ca="1">IF((OFFSET($A$1, 377 - 1, 58 - 1)) &gt;= (OFFSET($A$1, 96 - 1, 7 - 1)), "1","0")</f>
        <v>0</v>
      </c>
      <c r="BI377">
        <f ca="1" xml:space="preserve"> IF( AND( OFFSET($A$1, 377 - 1, 59 - 1) = "1", OFFSET($A$1, 377 - 1, 60 - 1) = "1" ), 1, IF( AND( OFFSET($A$1, 377 - 1, 59 - 1) = "1", OFFSET($A$1, 377 - 1, 60 - 1) = "0" ), 2, IF( AND( OFFSET($A$1, 377 - 1, 59 - 1) = "0", OFFSET($A$1, 377 - 1, 60 - 1) = "1" ), 3, 4 ) ) )</f>
        <v>4</v>
      </c>
      <c r="BK377" s="3">
        <v>0.36</v>
      </c>
      <c r="BL377" s="3" t="str">
        <f>"0"</f>
        <v>0</v>
      </c>
      <c r="BM377" t="str">
        <f ca="1">IF((OFFSET($A$1, 377 - 1, 63 - 1)) &gt;= (OFFSET($A$1, 135 - 1, 7 - 1)), "1","0")</f>
        <v>0</v>
      </c>
      <c r="BN377">
        <f ca="1" xml:space="preserve"> IF( AND( OFFSET($A$1, 377 - 1, 64 - 1) = "1", OFFSET($A$1, 377 - 1, 65 - 1) = "1" ), 1, IF( AND( OFFSET($A$1, 377 - 1, 64 - 1) = "1", OFFSET($A$1, 377 - 1, 65 - 1) = "0" ), 2, IF( AND( OFFSET($A$1, 377 - 1, 64 - 1) = "0", OFFSET($A$1, 377 - 1, 65 - 1) = "1" ), 3, 4 ) ) )</f>
        <v>4</v>
      </c>
    </row>
    <row r="378" spans="58:66" x14ac:dyDescent="0.2">
      <c r="BF378" s="3">
        <v>0</v>
      </c>
      <c r="BG378" s="3" t="str">
        <f t="shared" si="39"/>
        <v>0</v>
      </c>
      <c r="BH378" t="str">
        <f ca="1">IF((OFFSET($A$1, 378 - 1, 58 - 1)) &gt;= (OFFSET($A$1, 96 - 1, 7 - 1)), "1","0")</f>
        <v>0</v>
      </c>
      <c r="BI378">
        <f ca="1" xml:space="preserve"> IF( AND( OFFSET($A$1, 378 - 1, 59 - 1) = "1", OFFSET($A$1, 378 - 1, 60 - 1) = "1" ), 1, IF( AND( OFFSET($A$1, 378 - 1, 59 - 1) = "1", OFFSET($A$1, 378 - 1, 60 - 1) = "0" ), 2, IF( AND( OFFSET($A$1, 378 - 1, 59 - 1) = "0", OFFSET($A$1, 378 - 1, 60 - 1) = "1" ), 3, 4 ) ) )</f>
        <v>4</v>
      </c>
      <c r="BK378" s="3">
        <v>0.90579710144927539</v>
      </c>
      <c r="BL378" s="3" t="str">
        <f>"1"</f>
        <v>1</v>
      </c>
      <c r="BM378" t="str">
        <f ca="1">IF((OFFSET($A$1, 378 - 1, 63 - 1)) &gt;= (OFFSET($A$1, 135 - 1, 7 - 1)), "1","0")</f>
        <v>1</v>
      </c>
      <c r="BN378">
        <f ca="1" xml:space="preserve"> IF( AND( OFFSET($A$1, 378 - 1, 64 - 1) = "1", OFFSET($A$1, 378 - 1, 65 - 1) = "1" ), 1, IF( AND( OFFSET($A$1, 378 - 1, 64 - 1) = "1", OFFSET($A$1, 378 - 1, 65 - 1) = "0" ), 2, IF( AND( OFFSET($A$1, 378 - 1, 64 - 1) = "0", OFFSET($A$1, 378 - 1, 65 - 1) = "1" ), 3, 4 ) ) )</f>
        <v>1</v>
      </c>
    </row>
    <row r="379" spans="58:66" x14ac:dyDescent="0.2">
      <c r="BF379" s="3">
        <v>0.38775510204081637</v>
      </c>
      <c r="BG379" s="3" t="str">
        <f t="shared" si="39"/>
        <v>0</v>
      </c>
      <c r="BH379" t="str">
        <f ca="1">IF((OFFSET($A$1, 379 - 1, 58 - 1)) &gt;= (OFFSET($A$1, 96 - 1, 7 - 1)), "1","0")</f>
        <v>0</v>
      </c>
      <c r="BI379">
        <f ca="1" xml:space="preserve"> IF( AND( OFFSET($A$1, 379 - 1, 59 - 1) = "1", OFFSET($A$1, 379 - 1, 60 - 1) = "1" ), 1, IF( AND( OFFSET($A$1, 379 - 1, 59 - 1) = "1", OFFSET($A$1, 379 - 1, 60 - 1) = "0" ), 2, IF( AND( OFFSET($A$1, 379 - 1, 59 - 1) = "0", OFFSET($A$1, 379 - 1, 60 - 1) = "1" ), 3, 4 ) ) )</f>
        <v>4</v>
      </c>
      <c r="BK379" s="3">
        <v>0.90579710144927539</v>
      </c>
      <c r="BL379" s="3" t="str">
        <f>"1"</f>
        <v>1</v>
      </c>
      <c r="BM379" t="str">
        <f ca="1">IF((OFFSET($A$1, 379 - 1, 63 - 1)) &gt;= (OFFSET($A$1, 135 - 1, 7 - 1)), "1","0")</f>
        <v>1</v>
      </c>
      <c r="BN379">
        <f ca="1" xml:space="preserve"> IF( AND( OFFSET($A$1, 379 - 1, 64 - 1) = "1", OFFSET($A$1, 379 - 1, 65 - 1) = "1" ), 1, IF( AND( OFFSET($A$1, 379 - 1, 64 - 1) = "1", OFFSET($A$1, 379 - 1, 65 - 1) = "0" ), 2, IF( AND( OFFSET($A$1, 379 - 1, 64 - 1) = "0", OFFSET($A$1, 379 - 1, 65 - 1) = "1" ), 3, 4 ) ) )</f>
        <v>1</v>
      </c>
    </row>
    <row r="380" spans="58:66" x14ac:dyDescent="0.2">
      <c r="BF380" s="3">
        <v>0</v>
      </c>
      <c r="BG380" s="3" t="str">
        <f t="shared" si="39"/>
        <v>0</v>
      </c>
      <c r="BH380" t="str">
        <f ca="1">IF((OFFSET($A$1, 380 - 1, 58 - 1)) &gt;= (OFFSET($A$1, 96 - 1, 7 - 1)), "1","0")</f>
        <v>0</v>
      </c>
      <c r="BI380">
        <f ca="1" xml:space="preserve"> IF( AND( OFFSET($A$1, 380 - 1, 59 - 1) = "1", OFFSET($A$1, 380 - 1, 60 - 1) = "1" ), 1, IF( AND( OFFSET($A$1, 380 - 1, 59 - 1) = "1", OFFSET($A$1, 380 - 1, 60 - 1) = "0" ), 2, IF( AND( OFFSET($A$1, 380 - 1, 59 - 1) = "0", OFFSET($A$1, 380 - 1, 60 - 1) = "1" ), 3, 4 ) ) )</f>
        <v>4</v>
      </c>
      <c r="BK380" s="3">
        <v>0.38775510204081637</v>
      </c>
      <c r="BL380" s="3" t="str">
        <f>"0"</f>
        <v>0</v>
      </c>
      <c r="BM380" t="str">
        <f ca="1">IF((OFFSET($A$1, 380 - 1, 63 - 1)) &gt;= (OFFSET($A$1, 135 - 1, 7 - 1)), "1","0")</f>
        <v>0</v>
      </c>
      <c r="BN380">
        <f ca="1" xml:space="preserve"> IF( AND( OFFSET($A$1, 380 - 1, 64 - 1) = "1", OFFSET($A$1, 380 - 1, 65 - 1) = "1" ), 1, IF( AND( OFFSET($A$1, 380 - 1, 64 - 1) = "1", OFFSET($A$1, 380 - 1, 65 - 1) = "0" ), 2, IF( AND( OFFSET($A$1, 380 - 1, 64 - 1) = "0", OFFSET($A$1, 380 - 1, 65 - 1) = "1" ), 3, 4 ) ) )</f>
        <v>4</v>
      </c>
    </row>
    <row r="381" spans="58:66" x14ac:dyDescent="0.2">
      <c r="BF381" s="3">
        <v>0</v>
      </c>
      <c r="BG381" s="3" t="str">
        <f t="shared" si="39"/>
        <v>0</v>
      </c>
      <c r="BH381" t="str">
        <f ca="1">IF((OFFSET($A$1, 381 - 1, 58 - 1)) &gt;= (OFFSET($A$1, 96 - 1, 7 - 1)), "1","0")</f>
        <v>0</v>
      </c>
      <c r="BI381">
        <f ca="1" xml:space="preserve"> IF( AND( OFFSET($A$1, 381 - 1, 59 - 1) = "1", OFFSET($A$1, 381 - 1, 60 - 1) = "1" ), 1, IF( AND( OFFSET($A$1, 381 - 1, 59 - 1) = "1", OFFSET($A$1, 381 - 1, 60 - 1) = "0" ), 2, IF( AND( OFFSET($A$1, 381 - 1, 59 - 1) = "0", OFFSET($A$1, 381 - 1, 60 - 1) = "1" ), 3, 4 ) ) )</f>
        <v>4</v>
      </c>
      <c r="BK381" s="3">
        <v>6.6350710900473939E-2</v>
      </c>
      <c r="BL381" s="3" t="str">
        <f>"1"</f>
        <v>1</v>
      </c>
      <c r="BM381" t="str">
        <f ca="1">IF((OFFSET($A$1, 381 - 1, 63 - 1)) &gt;= (OFFSET($A$1, 135 - 1, 7 - 1)), "1","0")</f>
        <v>0</v>
      </c>
      <c r="BN381">
        <f ca="1" xml:space="preserve"> IF( AND( OFFSET($A$1, 381 - 1, 64 - 1) = "1", OFFSET($A$1, 381 - 1, 65 - 1) = "1" ), 1, IF( AND( OFFSET($A$1, 381 - 1, 64 - 1) = "1", OFFSET($A$1, 381 - 1, 65 - 1) = "0" ), 2, IF( AND( OFFSET($A$1, 381 - 1, 64 - 1) = "0", OFFSET($A$1, 381 - 1, 65 - 1) = "1" ), 3, 4 ) ) )</f>
        <v>2</v>
      </c>
    </row>
    <row r="382" spans="58:66" x14ac:dyDescent="0.2">
      <c r="BF382" s="3">
        <v>0</v>
      </c>
      <c r="BG382" s="3" t="str">
        <f t="shared" si="39"/>
        <v>0</v>
      </c>
      <c r="BH382" t="str">
        <f ca="1">IF((OFFSET($A$1, 382 - 1, 58 - 1)) &gt;= (OFFSET($A$1, 96 - 1, 7 - 1)), "1","0")</f>
        <v>0</v>
      </c>
      <c r="BI382">
        <f ca="1" xml:space="preserve"> IF( AND( OFFSET($A$1, 382 - 1, 59 - 1) = "1", OFFSET($A$1, 382 - 1, 60 - 1) = "1" ), 1, IF( AND( OFFSET($A$1, 382 - 1, 59 - 1) = "1", OFFSET($A$1, 382 - 1, 60 - 1) = "0" ), 2, IF( AND( OFFSET($A$1, 382 - 1, 59 - 1) = "0", OFFSET($A$1, 382 - 1, 60 - 1) = "1" ), 3, 4 ) ) )</f>
        <v>4</v>
      </c>
      <c r="BK382" s="3">
        <v>6.6350710900473939E-2</v>
      </c>
      <c r="BL382" s="3" t="str">
        <f>"0"</f>
        <v>0</v>
      </c>
      <c r="BM382" t="str">
        <f ca="1">IF((OFFSET($A$1, 382 - 1, 63 - 1)) &gt;= (OFFSET($A$1, 135 - 1, 7 - 1)), "1","0")</f>
        <v>0</v>
      </c>
      <c r="BN382">
        <f ca="1" xml:space="preserve"> IF( AND( OFFSET($A$1, 382 - 1, 64 - 1) = "1", OFFSET($A$1, 382 - 1, 65 - 1) = "1" ), 1, IF( AND( OFFSET($A$1, 382 - 1, 64 - 1) = "1", OFFSET($A$1, 382 - 1, 65 - 1) = "0" ), 2, IF( AND( OFFSET($A$1, 382 - 1, 64 - 1) = "0", OFFSET($A$1, 382 - 1, 65 - 1) = "1" ), 3, 4 ) ) )</f>
        <v>4</v>
      </c>
    </row>
    <row r="383" spans="58:66" x14ac:dyDescent="0.2">
      <c r="BF383" s="3">
        <v>0</v>
      </c>
      <c r="BG383" s="3" t="str">
        <f t="shared" si="39"/>
        <v>0</v>
      </c>
      <c r="BH383" t="str">
        <f ca="1">IF((OFFSET($A$1, 383 - 1, 58 - 1)) &gt;= (OFFSET($A$1, 96 - 1, 7 - 1)), "1","0")</f>
        <v>0</v>
      </c>
      <c r="BI383">
        <f ca="1" xml:space="preserve"> IF( AND( OFFSET($A$1, 383 - 1, 59 - 1) = "1", OFFSET($A$1, 383 - 1, 60 - 1) = "1" ), 1, IF( AND( OFFSET($A$1, 383 - 1, 59 - 1) = "1", OFFSET($A$1, 383 - 1, 60 - 1) = "0" ), 2, IF( AND( OFFSET($A$1, 383 - 1, 59 - 1) = "0", OFFSET($A$1, 383 - 1, 60 - 1) = "1" ), 3, 4 ) ) )</f>
        <v>4</v>
      </c>
      <c r="BK383" s="3">
        <v>6.6350710900473939E-2</v>
      </c>
      <c r="BL383" s="3" t="str">
        <f>"0"</f>
        <v>0</v>
      </c>
      <c r="BM383" t="str">
        <f ca="1">IF((OFFSET($A$1, 383 - 1, 63 - 1)) &gt;= (OFFSET($A$1, 135 - 1, 7 - 1)), "1","0")</f>
        <v>0</v>
      </c>
      <c r="BN383">
        <f ca="1" xml:space="preserve"> IF( AND( OFFSET($A$1, 383 - 1, 64 - 1) = "1", OFFSET($A$1, 383 - 1, 65 - 1) = "1" ), 1, IF( AND( OFFSET($A$1, 383 - 1, 64 - 1) = "1", OFFSET($A$1, 383 - 1, 65 - 1) = "0" ), 2, IF( AND( OFFSET($A$1, 383 - 1, 64 - 1) = "0", OFFSET($A$1, 383 - 1, 65 - 1) = "1" ), 3, 4 ) ) )</f>
        <v>4</v>
      </c>
    </row>
    <row r="384" spans="58:66" x14ac:dyDescent="0.2">
      <c r="BF384" s="3">
        <v>0.90579710144927539</v>
      </c>
      <c r="BG384" s="3" t="str">
        <f>"1"</f>
        <v>1</v>
      </c>
      <c r="BH384" t="str">
        <f ca="1">IF((OFFSET($A$1, 384 - 1, 58 - 1)) &gt;= (OFFSET($A$1, 96 - 1, 7 - 1)), "1","0")</f>
        <v>1</v>
      </c>
      <c r="BI384">
        <f ca="1" xml:space="preserve"> IF( AND( OFFSET($A$1, 384 - 1, 59 - 1) = "1", OFFSET($A$1, 384 - 1, 60 - 1) = "1" ), 1, IF( AND( OFFSET($A$1, 384 - 1, 59 - 1) = "1", OFFSET($A$1, 384 - 1, 60 - 1) = "0" ), 2, IF( AND( OFFSET($A$1, 384 - 1, 59 - 1) = "0", OFFSET($A$1, 384 - 1, 60 - 1) = "1" ), 3, 4 ) ) )</f>
        <v>1</v>
      </c>
      <c r="BK384" s="3">
        <v>2.5316455696202531E-2</v>
      </c>
      <c r="BL384" s="3" t="str">
        <f>"0"</f>
        <v>0</v>
      </c>
      <c r="BM384" t="str">
        <f ca="1">IF((OFFSET($A$1, 384 - 1, 63 - 1)) &gt;= (OFFSET($A$1, 135 - 1, 7 - 1)), "1","0")</f>
        <v>0</v>
      </c>
      <c r="BN384">
        <f ca="1" xml:space="preserve"> IF( AND( OFFSET($A$1, 384 - 1, 64 - 1) = "1", OFFSET($A$1, 384 - 1, 65 - 1) = "1" ), 1, IF( AND( OFFSET($A$1, 384 - 1, 64 - 1) = "1", OFFSET($A$1, 384 - 1, 65 - 1) = "0" ), 2, IF( AND( OFFSET($A$1, 384 - 1, 64 - 1) = "0", OFFSET($A$1, 384 - 1, 65 - 1) = "1" ), 3, 4 ) ) )</f>
        <v>4</v>
      </c>
    </row>
    <row r="385" spans="58:66" x14ac:dyDescent="0.2">
      <c r="BF385" s="3">
        <v>0</v>
      </c>
      <c r="BG385" s="3" t="str">
        <f t="shared" ref="BG385:BG392" si="40">"0"</f>
        <v>0</v>
      </c>
      <c r="BH385" t="str">
        <f ca="1">IF((OFFSET($A$1, 385 - 1, 58 - 1)) &gt;= (OFFSET($A$1, 96 - 1, 7 - 1)), "1","0")</f>
        <v>0</v>
      </c>
      <c r="BI385">
        <f ca="1" xml:space="preserve"> IF( AND( OFFSET($A$1, 385 - 1, 59 - 1) = "1", OFFSET($A$1, 385 - 1, 60 - 1) = "1" ), 1, IF( AND( OFFSET($A$1, 385 - 1, 59 - 1) = "1", OFFSET($A$1, 385 - 1, 60 - 1) = "0" ), 2, IF( AND( OFFSET($A$1, 385 - 1, 59 - 1) = "0", OFFSET($A$1, 385 - 1, 60 - 1) = "1" ), 3, 4 ) ) )</f>
        <v>4</v>
      </c>
      <c r="BK385" s="3">
        <v>0.36</v>
      </c>
      <c r="BL385" s="3" t="str">
        <f>"0"</f>
        <v>0</v>
      </c>
      <c r="BM385" t="str">
        <f ca="1">IF((OFFSET($A$1, 385 - 1, 63 - 1)) &gt;= (OFFSET($A$1, 135 - 1, 7 - 1)), "1","0")</f>
        <v>0</v>
      </c>
      <c r="BN385">
        <f ca="1" xml:space="preserve"> IF( AND( OFFSET($A$1, 385 - 1, 64 - 1) = "1", OFFSET($A$1, 385 - 1, 65 - 1) = "1" ), 1, IF( AND( OFFSET($A$1, 385 - 1, 64 - 1) = "1", OFFSET($A$1, 385 - 1, 65 - 1) = "0" ), 2, IF( AND( OFFSET($A$1, 385 - 1, 64 - 1) = "0", OFFSET($A$1, 385 - 1, 65 - 1) = "1" ), 3, 4 ) ) )</f>
        <v>4</v>
      </c>
    </row>
    <row r="386" spans="58:66" x14ac:dyDescent="0.2">
      <c r="BF386" s="3">
        <v>0</v>
      </c>
      <c r="BG386" s="3" t="str">
        <f t="shared" si="40"/>
        <v>0</v>
      </c>
      <c r="BH386" t="str">
        <f ca="1">IF((OFFSET($A$1, 386 - 1, 58 - 1)) &gt;= (OFFSET($A$1, 96 - 1, 7 - 1)), "1","0")</f>
        <v>0</v>
      </c>
      <c r="BI386">
        <f ca="1" xml:space="preserve"> IF( AND( OFFSET($A$1, 386 - 1, 59 - 1) = "1", OFFSET($A$1, 386 - 1, 60 - 1) = "1" ), 1, IF( AND( OFFSET($A$1, 386 - 1, 59 - 1) = "1", OFFSET($A$1, 386 - 1, 60 - 1) = "0" ), 2, IF( AND( OFFSET($A$1, 386 - 1, 59 - 1) = "0", OFFSET($A$1, 386 - 1, 60 - 1) = "1" ), 3, 4 ) ) )</f>
        <v>4</v>
      </c>
      <c r="BK386" s="3">
        <v>6.6350710900473939E-2</v>
      </c>
      <c r="BL386" s="3" t="str">
        <f>"0"</f>
        <v>0</v>
      </c>
      <c r="BM386" t="str">
        <f ca="1">IF((OFFSET($A$1, 386 - 1, 63 - 1)) &gt;= (OFFSET($A$1, 135 - 1, 7 - 1)), "1","0")</f>
        <v>0</v>
      </c>
      <c r="BN386">
        <f ca="1" xml:space="preserve"> IF( AND( OFFSET($A$1, 386 - 1, 64 - 1) = "1", OFFSET($A$1, 386 - 1, 65 - 1) = "1" ), 1, IF( AND( OFFSET($A$1, 386 - 1, 64 - 1) = "1", OFFSET($A$1, 386 - 1, 65 - 1) = "0" ), 2, IF( AND( OFFSET($A$1, 386 - 1, 64 - 1) = "0", OFFSET($A$1, 386 - 1, 65 - 1) = "1" ), 3, 4 ) ) )</f>
        <v>4</v>
      </c>
    </row>
    <row r="387" spans="58:66" x14ac:dyDescent="0.2">
      <c r="BF387" s="3">
        <v>0</v>
      </c>
      <c r="BG387" s="3" t="str">
        <f t="shared" si="40"/>
        <v>0</v>
      </c>
      <c r="BH387" t="str">
        <f ca="1">IF((OFFSET($A$1, 387 - 1, 58 - 1)) &gt;= (OFFSET($A$1, 96 - 1, 7 - 1)), "1","0")</f>
        <v>0</v>
      </c>
      <c r="BI387">
        <f ca="1" xml:space="preserve"> IF( AND( OFFSET($A$1, 387 - 1, 59 - 1) = "1", OFFSET($A$1, 387 - 1, 60 - 1) = "1" ), 1, IF( AND( OFFSET($A$1, 387 - 1, 59 - 1) = "1", OFFSET($A$1, 387 - 1, 60 - 1) = "0" ), 2, IF( AND( OFFSET($A$1, 387 - 1, 59 - 1) = "0", OFFSET($A$1, 387 - 1, 60 - 1) = "1" ), 3, 4 ) ) )</f>
        <v>4</v>
      </c>
      <c r="BK387" s="3">
        <v>6.6350710900473939E-2</v>
      </c>
      <c r="BL387" s="3" t="str">
        <f>"1"</f>
        <v>1</v>
      </c>
      <c r="BM387" t="str">
        <f ca="1">IF((OFFSET($A$1, 387 - 1, 63 - 1)) &gt;= (OFFSET($A$1, 135 - 1, 7 - 1)), "1","0")</f>
        <v>0</v>
      </c>
      <c r="BN387">
        <f ca="1" xml:space="preserve"> IF( AND( OFFSET($A$1, 387 - 1, 64 - 1) = "1", OFFSET($A$1, 387 - 1, 65 - 1) = "1" ), 1, IF( AND( OFFSET($A$1, 387 - 1, 64 - 1) = "1", OFFSET($A$1, 387 - 1, 65 - 1) = "0" ), 2, IF( AND( OFFSET($A$1, 387 - 1, 64 - 1) = "0", OFFSET($A$1, 387 - 1, 65 - 1) = "1" ), 3, 4 ) ) )</f>
        <v>2</v>
      </c>
    </row>
    <row r="388" spans="58:66" x14ac:dyDescent="0.2">
      <c r="BF388" s="3">
        <v>4.3478260869565216E-2</v>
      </c>
      <c r="BG388" s="3" t="str">
        <f t="shared" si="40"/>
        <v>0</v>
      </c>
      <c r="BH388" t="str">
        <f ca="1">IF((OFFSET($A$1, 388 - 1, 58 - 1)) &gt;= (OFFSET($A$1, 96 - 1, 7 - 1)), "1","0")</f>
        <v>0</v>
      </c>
      <c r="BI388">
        <f ca="1" xml:space="preserve"> IF( AND( OFFSET($A$1, 388 - 1, 59 - 1) = "1", OFFSET($A$1, 388 - 1, 60 - 1) = "1" ), 1, IF( AND( OFFSET($A$1, 388 - 1, 59 - 1) = "1", OFFSET($A$1, 388 - 1, 60 - 1) = "0" ), 2, IF( AND( OFFSET($A$1, 388 - 1, 59 - 1) = "0", OFFSET($A$1, 388 - 1, 60 - 1) = "1" ), 3, 4 ) ) )</f>
        <v>4</v>
      </c>
      <c r="BK388" s="3">
        <v>0.38775510204081637</v>
      </c>
      <c r="BL388" s="3" t="str">
        <f>"1"</f>
        <v>1</v>
      </c>
      <c r="BM388" t="str">
        <f ca="1">IF((OFFSET($A$1, 388 - 1, 63 - 1)) &gt;= (OFFSET($A$1, 135 - 1, 7 - 1)), "1","0")</f>
        <v>0</v>
      </c>
      <c r="BN388">
        <f ca="1" xml:space="preserve"> IF( AND( OFFSET($A$1, 388 - 1, 64 - 1) = "1", OFFSET($A$1, 388 - 1, 65 - 1) = "1" ), 1, IF( AND( OFFSET($A$1, 388 - 1, 64 - 1) = "1", OFFSET($A$1, 388 - 1, 65 - 1) = "0" ), 2, IF( AND( OFFSET($A$1, 388 - 1, 64 - 1) = "0", OFFSET($A$1, 388 - 1, 65 - 1) = "1" ), 3, 4 ) ) )</f>
        <v>2</v>
      </c>
    </row>
    <row r="389" spans="58:66" x14ac:dyDescent="0.2">
      <c r="BF389" s="3">
        <v>0</v>
      </c>
      <c r="BG389" s="3" t="str">
        <f t="shared" si="40"/>
        <v>0</v>
      </c>
      <c r="BH389" t="str">
        <f ca="1">IF((OFFSET($A$1, 389 - 1, 58 - 1)) &gt;= (OFFSET($A$1, 96 - 1, 7 - 1)), "1","0")</f>
        <v>0</v>
      </c>
      <c r="BI389">
        <f ca="1" xml:space="preserve"> IF( AND( OFFSET($A$1, 389 - 1, 59 - 1) = "1", OFFSET($A$1, 389 - 1, 60 - 1) = "1" ), 1, IF( AND( OFFSET($A$1, 389 - 1, 59 - 1) = "1", OFFSET($A$1, 389 - 1, 60 - 1) = "0" ), 2, IF( AND( OFFSET($A$1, 389 - 1, 59 - 1) = "0", OFFSET($A$1, 389 - 1, 60 - 1) = "1" ), 3, 4 ) ) )</f>
        <v>4</v>
      </c>
      <c r="BK389" s="3">
        <v>6.6350710900473939E-2</v>
      </c>
      <c r="BL389" s="3" t="str">
        <f>"1"</f>
        <v>1</v>
      </c>
      <c r="BM389" t="str">
        <f ca="1">IF((OFFSET($A$1, 389 - 1, 63 - 1)) &gt;= (OFFSET($A$1, 135 - 1, 7 - 1)), "1","0")</f>
        <v>0</v>
      </c>
      <c r="BN389">
        <f ca="1" xml:space="preserve"> IF( AND( OFFSET($A$1, 389 - 1, 64 - 1) = "1", OFFSET($A$1, 389 - 1, 65 - 1) = "1" ), 1, IF( AND( OFFSET($A$1, 389 - 1, 64 - 1) = "1", OFFSET($A$1, 389 - 1, 65 - 1) = "0" ), 2, IF( AND( OFFSET($A$1, 389 - 1, 64 - 1) = "0", OFFSET($A$1, 389 - 1, 65 - 1) = "1" ), 3, 4 ) ) )</f>
        <v>2</v>
      </c>
    </row>
    <row r="390" spans="58:66" x14ac:dyDescent="0.2">
      <c r="BF390" s="3">
        <v>0</v>
      </c>
      <c r="BG390" s="3" t="str">
        <f t="shared" si="40"/>
        <v>0</v>
      </c>
      <c r="BH390" t="str">
        <f ca="1">IF((OFFSET($A$1, 390 - 1, 58 - 1)) &gt;= (OFFSET($A$1, 96 - 1, 7 - 1)), "1","0")</f>
        <v>0</v>
      </c>
      <c r="BI390">
        <f ca="1" xml:space="preserve"> IF( AND( OFFSET($A$1, 390 - 1, 59 - 1) = "1", OFFSET($A$1, 390 - 1, 60 - 1) = "1" ), 1, IF( AND( OFFSET($A$1, 390 - 1, 59 - 1) = "1", OFFSET($A$1, 390 - 1, 60 - 1) = "0" ), 2, IF( AND( OFFSET($A$1, 390 - 1, 59 - 1) = "0", OFFSET($A$1, 390 - 1, 60 - 1) = "1" ), 3, 4 ) ) )</f>
        <v>4</v>
      </c>
      <c r="BK390" s="3">
        <v>0.36</v>
      </c>
      <c r="BL390" s="3" t="str">
        <f>"0"</f>
        <v>0</v>
      </c>
      <c r="BM390" t="str">
        <f ca="1">IF((OFFSET($A$1, 390 - 1, 63 - 1)) &gt;= (OFFSET($A$1, 135 - 1, 7 - 1)), "1","0")</f>
        <v>0</v>
      </c>
      <c r="BN390">
        <f ca="1" xml:space="preserve"> IF( AND( OFFSET($A$1, 390 - 1, 64 - 1) = "1", OFFSET($A$1, 390 - 1, 65 - 1) = "1" ), 1, IF( AND( OFFSET($A$1, 390 - 1, 64 - 1) = "1", OFFSET($A$1, 390 - 1, 65 - 1) = "0" ), 2, IF( AND( OFFSET($A$1, 390 - 1, 64 - 1) = "0", OFFSET($A$1, 390 - 1, 65 - 1) = "1" ), 3, 4 ) ) )</f>
        <v>4</v>
      </c>
    </row>
    <row r="391" spans="58:66" x14ac:dyDescent="0.2">
      <c r="BF391" s="3">
        <v>3.7037037037037042E-2</v>
      </c>
      <c r="BG391" s="3" t="str">
        <f t="shared" si="40"/>
        <v>0</v>
      </c>
      <c r="BH391" t="str">
        <f ca="1">IF((OFFSET($A$1, 391 - 1, 58 - 1)) &gt;= (OFFSET($A$1, 96 - 1, 7 - 1)), "1","0")</f>
        <v>0</v>
      </c>
      <c r="BI391">
        <f ca="1" xml:space="preserve"> IF( AND( OFFSET($A$1, 391 - 1, 59 - 1) = "1", OFFSET($A$1, 391 - 1, 60 - 1) = "1" ), 1, IF( AND( OFFSET($A$1, 391 - 1, 59 - 1) = "1", OFFSET($A$1, 391 - 1, 60 - 1) = "0" ), 2, IF( AND( OFFSET($A$1, 391 - 1, 59 - 1) = "0", OFFSET($A$1, 391 - 1, 60 - 1) = "1" ), 3, 4 ) ) )</f>
        <v>4</v>
      </c>
      <c r="BK391" s="3">
        <v>0.90579710144927539</v>
      </c>
      <c r="BL391" s="3" t="str">
        <f>"1"</f>
        <v>1</v>
      </c>
      <c r="BM391" t="str">
        <f ca="1">IF((OFFSET($A$1, 391 - 1, 63 - 1)) &gt;= (OFFSET($A$1, 135 - 1, 7 - 1)), "1","0")</f>
        <v>1</v>
      </c>
      <c r="BN391">
        <f ca="1" xml:space="preserve"> IF( AND( OFFSET($A$1, 391 - 1, 64 - 1) = "1", OFFSET($A$1, 391 - 1, 65 - 1) = "1" ), 1, IF( AND( OFFSET($A$1, 391 - 1, 64 - 1) = "1", OFFSET($A$1, 391 - 1, 65 - 1) = "0" ), 2, IF( AND( OFFSET($A$1, 391 - 1, 64 - 1) = "0", OFFSET($A$1, 391 - 1, 65 - 1) = "1" ), 3, 4 ) ) )</f>
        <v>1</v>
      </c>
    </row>
    <row r="392" spans="58:66" x14ac:dyDescent="0.2">
      <c r="BF392" s="3">
        <v>0</v>
      </c>
      <c r="BG392" s="3" t="str">
        <f t="shared" si="40"/>
        <v>0</v>
      </c>
      <c r="BH392" t="str">
        <f ca="1">IF((OFFSET($A$1, 392 - 1, 58 - 1)) &gt;= (OFFSET($A$1, 96 - 1, 7 - 1)), "1","0")</f>
        <v>0</v>
      </c>
      <c r="BI392">
        <f ca="1" xml:space="preserve"> IF( AND( OFFSET($A$1, 392 - 1, 59 - 1) = "1", OFFSET($A$1, 392 - 1, 60 - 1) = "1" ), 1, IF( AND( OFFSET($A$1, 392 - 1, 59 - 1) = "1", OFFSET($A$1, 392 - 1, 60 - 1) = "0" ), 2, IF( AND( OFFSET($A$1, 392 - 1, 59 - 1) = "0", OFFSET($A$1, 392 - 1, 60 - 1) = "1" ), 3, 4 ) ) )</f>
        <v>4</v>
      </c>
      <c r="BK392" s="3">
        <v>2.5316455696202531E-2</v>
      </c>
      <c r="BL392" s="3" t="str">
        <f t="shared" ref="BL392:BL397" si="41">"0"</f>
        <v>0</v>
      </c>
      <c r="BM392" t="str">
        <f ca="1">IF((OFFSET($A$1, 392 - 1, 63 - 1)) &gt;= (OFFSET($A$1, 135 - 1, 7 - 1)), "1","0")</f>
        <v>0</v>
      </c>
      <c r="BN392">
        <f ca="1" xml:space="preserve"> IF( AND( OFFSET($A$1, 392 - 1, 64 - 1) = "1", OFFSET($A$1, 392 - 1, 65 - 1) = "1" ), 1, IF( AND( OFFSET($A$1, 392 - 1, 64 - 1) = "1", OFFSET($A$1, 392 - 1, 65 - 1) = "0" ), 2, IF( AND( OFFSET($A$1, 392 - 1, 64 - 1) = "0", OFFSET($A$1, 392 - 1, 65 - 1) = "1" ), 3, 4 ) ) )</f>
        <v>4</v>
      </c>
    </row>
    <row r="393" spans="58:66" x14ac:dyDescent="0.2">
      <c r="BF393" s="3">
        <v>0.36</v>
      </c>
      <c r="BG393" s="3" t="str">
        <f>"1"</f>
        <v>1</v>
      </c>
      <c r="BH393" t="str">
        <f ca="1">IF((OFFSET($A$1, 393 - 1, 58 - 1)) &gt;= (OFFSET($A$1, 96 - 1, 7 - 1)), "1","0")</f>
        <v>0</v>
      </c>
      <c r="BI393">
        <f ca="1" xml:space="preserve"> IF( AND( OFFSET($A$1, 393 - 1, 59 - 1) = "1", OFFSET($A$1, 393 - 1, 60 - 1) = "1" ), 1, IF( AND( OFFSET($A$1, 393 - 1, 59 - 1) = "1", OFFSET($A$1, 393 - 1, 60 - 1) = "0" ), 2, IF( AND( OFFSET($A$1, 393 - 1, 59 - 1) = "0", OFFSET($A$1, 393 - 1, 60 - 1) = "1" ), 3, 4 ) ) )</f>
        <v>2</v>
      </c>
      <c r="BK393" s="3">
        <v>6.6350710900473939E-2</v>
      </c>
      <c r="BL393" s="3" t="str">
        <f t="shared" si="41"/>
        <v>0</v>
      </c>
      <c r="BM393" t="str">
        <f ca="1">IF((OFFSET($A$1, 393 - 1, 63 - 1)) &gt;= (OFFSET($A$1, 135 - 1, 7 - 1)), "1","0")</f>
        <v>0</v>
      </c>
      <c r="BN393">
        <f ca="1" xml:space="preserve"> IF( AND( OFFSET($A$1, 393 - 1, 64 - 1) = "1", OFFSET($A$1, 393 - 1, 65 - 1) = "1" ), 1, IF( AND( OFFSET($A$1, 393 - 1, 64 - 1) = "1", OFFSET($A$1, 393 - 1, 65 - 1) = "0" ), 2, IF( AND( OFFSET($A$1, 393 - 1, 64 - 1) = "0", OFFSET($A$1, 393 - 1, 65 - 1) = "1" ), 3, 4 ) ) )</f>
        <v>4</v>
      </c>
    </row>
    <row r="394" spans="58:66" x14ac:dyDescent="0.2">
      <c r="BF394" s="3">
        <v>0</v>
      </c>
      <c r="BG394" s="3" t="str">
        <f t="shared" ref="BG394:BG401" si="42">"0"</f>
        <v>0</v>
      </c>
      <c r="BH394" t="str">
        <f ca="1">IF((OFFSET($A$1, 394 - 1, 58 - 1)) &gt;= (OFFSET($A$1, 96 - 1, 7 - 1)), "1","0")</f>
        <v>0</v>
      </c>
      <c r="BI394">
        <f ca="1" xml:space="preserve"> IF( AND( OFFSET($A$1, 394 - 1, 59 - 1) = "1", OFFSET($A$1, 394 - 1, 60 - 1) = "1" ), 1, IF( AND( OFFSET($A$1, 394 - 1, 59 - 1) = "1", OFFSET($A$1, 394 - 1, 60 - 1) = "0" ), 2, IF( AND( OFFSET($A$1, 394 - 1, 59 - 1) = "0", OFFSET($A$1, 394 - 1, 60 - 1) = "1" ), 3, 4 ) ) )</f>
        <v>4</v>
      </c>
      <c r="BK394" s="3">
        <v>6.6350710900473939E-2</v>
      </c>
      <c r="BL394" s="3" t="str">
        <f t="shared" si="41"/>
        <v>0</v>
      </c>
      <c r="BM394" t="str">
        <f ca="1">IF((OFFSET($A$1, 394 - 1, 63 - 1)) &gt;= (OFFSET($A$1, 135 - 1, 7 - 1)), "1","0")</f>
        <v>0</v>
      </c>
      <c r="BN394">
        <f ca="1" xml:space="preserve"> IF( AND( OFFSET($A$1, 394 - 1, 64 - 1) = "1", OFFSET($A$1, 394 - 1, 65 - 1) = "1" ), 1, IF( AND( OFFSET($A$1, 394 - 1, 64 - 1) = "1", OFFSET($A$1, 394 - 1, 65 - 1) = "0" ), 2, IF( AND( OFFSET($A$1, 394 - 1, 64 - 1) = "0", OFFSET($A$1, 394 - 1, 65 - 1) = "1" ), 3, 4 ) ) )</f>
        <v>4</v>
      </c>
    </row>
    <row r="395" spans="58:66" x14ac:dyDescent="0.2">
      <c r="BF395" s="3">
        <v>0</v>
      </c>
      <c r="BG395" s="3" t="str">
        <f t="shared" si="42"/>
        <v>0</v>
      </c>
      <c r="BH395" t="str">
        <f ca="1">IF((OFFSET($A$1, 395 - 1, 58 - 1)) &gt;= (OFFSET($A$1, 96 - 1, 7 - 1)), "1","0")</f>
        <v>0</v>
      </c>
      <c r="BI395">
        <f ca="1" xml:space="preserve"> IF( AND( OFFSET($A$1, 395 - 1, 59 - 1) = "1", OFFSET($A$1, 395 - 1, 60 - 1) = "1" ), 1, IF( AND( OFFSET($A$1, 395 - 1, 59 - 1) = "1", OFFSET($A$1, 395 - 1, 60 - 1) = "0" ), 2, IF( AND( OFFSET($A$1, 395 - 1, 59 - 1) = "0", OFFSET($A$1, 395 - 1, 60 - 1) = "1" ), 3, 4 ) ) )</f>
        <v>4</v>
      </c>
      <c r="BK395" s="3">
        <v>0.36</v>
      </c>
      <c r="BL395" s="3" t="str">
        <f t="shared" si="41"/>
        <v>0</v>
      </c>
      <c r="BM395" t="str">
        <f ca="1">IF((OFFSET($A$1, 395 - 1, 63 - 1)) &gt;= (OFFSET($A$1, 135 - 1, 7 - 1)), "1","0")</f>
        <v>0</v>
      </c>
      <c r="BN395">
        <f ca="1" xml:space="preserve"> IF( AND( OFFSET($A$1, 395 - 1, 64 - 1) = "1", OFFSET($A$1, 395 - 1, 65 - 1) = "1" ), 1, IF( AND( OFFSET($A$1, 395 - 1, 64 - 1) = "1", OFFSET($A$1, 395 - 1, 65 - 1) = "0" ), 2, IF( AND( OFFSET($A$1, 395 - 1, 64 - 1) = "0", OFFSET($A$1, 395 - 1, 65 - 1) = "1" ), 3, 4 ) ) )</f>
        <v>4</v>
      </c>
    </row>
    <row r="396" spans="58:66" x14ac:dyDescent="0.2">
      <c r="BF396" s="3">
        <v>0</v>
      </c>
      <c r="BG396" s="3" t="str">
        <f t="shared" si="42"/>
        <v>0</v>
      </c>
      <c r="BH396" t="str">
        <f ca="1">IF((OFFSET($A$1, 396 - 1, 58 - 1)) &gt;= (OFFSET($A$1, 96 - 1, 7 - 1)), "1","0")</f>
        <v>0</v>
      </c>
      <c r="BI396">
        <f ca="1" xml:space="preserve"> IF( AND( OFFSET($A$1, 396 - 1, 59 - 1) = "1", OFFSET($A$1, 396 - 1, 60 - 1) = "1" ), 1, IF( AND( OFFSET($A$1, 396 - 1, 59 - 1) = "1", OFFSET($A$1, 396 - 1, 60 - 1) = "0" ), 2, IF( AND( OFFSET($A$1, 396 - 1, 59 - 1) = "0", OFFSET($A$1, 396 - 1, 60 - 1) = "1" ), 3, 4 ) ) )</f>
        <v>4</v>
      </c>
      <c r="BK396" s="3">
        <v>6.6350710900473939E-2</v>
      </c>
      <c r="BL396" s="3" t="str">
        <f t="shared" si="41"/>
        <v>0</v>
      </c>
      <c r="BM396" t="str">
        <f ca="1">IF((OFFSET($A$1, 396 - 1, 63 - 1)) &gt;= (OFFSET($A$1, 135 - 1, 7 - 1)), "1","0")</f>
        <v>0</v>
      </c>
      <c r="BN396">
        <f ca="1" xml:space="preserve"> IF( AND( OFFSET($A$1, 396 - 1, 64 - 1) = "1", OFFSET($A$1, 396 - 1, 65 - 1) = "1" ), 1, IF( AND( OFFSET($A$1, 396 - 1, 64 - 1) = "1", OFFSET($A$1, 396 - 1, 65 - 1) = "0" ), 2, IF( AND( OFFSET($A$1, 396 - 1, 64 - 1) = "0", OFFSET($A$1, 396 - 1, 65 - 1) = "1" ), 3, 4 ) ) )</f>
        <v>4</v>
      </c>
    </row>
    <row r="397" spans="58:66" x14ac:dyDescent="0.2">
      <c r="BF397" s="3">
        <v>0</v>
      </c>
      <c r="BG397" s="3" t="str">
        <f t="shared" si="42"/>
        <v>0</v>
      </c>
      <c r="BH397" t="str">
        <f ca="1">IF((OFFSET($A$1, 397 - 1, 58 - 1)) &gt;= (OFFSET($A$1, 96 - 1, 7 - 1)), "1","0")</f>
        <v>0</v>
      </c>
      <c r="BI397">
        <f ca="1" xml:space="preserve"> IF( AND( OFFSET($A$1, 397 - 1, 59 - 1) = "1", OFFSET($A$1, 397 - 1, 60 - 1) = "1" ), 1, IF( AND( OFFSET($A$1, 397 - 1, 59 - 1) = "1", OFFSET($A$1, 397 - 1, 60 - 1) = "0" ), 2, IF( AND( OFFSET($A$1, 397 - 1, 59 - 1) = "0", OFFSET($A$1, 397 - 1, 60 - 1) = "1" ), 3, 4 ) ) )</f>
        <v>4</v>
      </c>
      <c r="BK397" s="3">
        <v>6.6350710900473939E-2</v>
      </c>
      <c r="BL397" s="3" t="str">
        <f t="shared" si="41"/>
        <v>0</v>
      </c>
      <c r="BM397" t="str">
        <f ca="1">IF((OFFSET($A$1, 397 - 1, 63 - 1)) &gt;= (OFFSET($A$1, 135 - 1, 7 - 1)), "1","0")</f>
        <v>0</v>
      </c>
      <c r="BN397">
        <f ca="1" xml:space="preserve"> IF( AND( OFFSET($A$1, 397 - 1, 64 - 1) = "1", OFFSET($A$1, 397 - 1, 65 - 1) = "1" ), 1, IF( AND( OFFSET($A$1, 397 - 1, 64 - 1) = "1", OFFSET($A$1, 397 - 1, 65 - 1) = "0" ), 2, IF( AND( OFFSET($A$1, 397 - 1, 64 - 1) = "0", OFFSET($A$1, 397 - 1, 65 - 1) = "1" ), 3, 4 ) ) )</f>
        <v>4</v>
      </c>
    </row>
    <row r="398" spans="58:66" x14ac:dyDescent="0.2">
      <c r="BF398" s="3">
        <v>0.36</v>
      </c>
      <c r="BG398" s="3" t="str">
        <f t="shared" si="42"/>
        <v>0</v>
      </c>
      <c r="BH398" t="str">
        <f ca="1">IF((OFFSET($A$1, 398 - 1, 58 - 1)) &gt;= (OFFSET($A$1, 96 - 1, 7 - 1)), "1","0")</f>
        <v>0</v>
      </c>
      <c r="BI398">
        <f ca="1" xml:space="preserve"> IF( AND( OFFSET($A$1, 398 - 1, 59 - 1) = "1", OFFSET($A$1, 398 - 1, 60 - 1) = "1" ), 1, IF( AND( OFFSET($A$1, 398 - 1, 59 - 1) = "1", OFFSET($A$1, 398 - 1, 60 - 1) = "0" ), 2, IF( AND( OFFSET($A$1, 398 - 1, 59 - 1) = "0", OFFSET($A$1, 398 - 1, 60 - 1) = "1" ), 3, 4 ) ) )</f>
        <v>4</v>
      </c>
      <c r="BK398" s="3">
        <v>6.6350710900473939E-2</v>
      </c>
      <c r="BL398" s="3" t="str">
        <f>"1"</f>
        <v>1</v>
      </c>
      <c r="BM398" t="str">
        <f ca="1">IF((OFFSET($A$1, 398 - 1, 63 - 1)) &gt;= (OFFSET($A$1, 135 - 1, 7 - 1)), "1","0")</f>
        <v>0</v>
      </c>
      <c r="BN398">
        <f ca="1" xml:space="preserve"> IF( AND( OFFSET($A$1, 398 - 1, 64 - 1) = "1", OFFSET($A$1, 398 - 1, 65 - 1) = "1" ), 1, IF( AND( OFFSET($A$1, 398 - 1, 64 - 1) = "1", OFFSET($A$1, 398 - 1, 65 - 1) = "0" ), 2, IF( AND( OFFSET($A$1, 398 - 1, 64 - 1) = "0", OFFSET($A$1, 398 - 1, 65 - 1) = "1" ), 3, 4 ) ) )</f>
        <v>2</v>
      </c>
    </row>
    <row r="399" spans="58:66" x14ac:dyDescent="0.2">
      <c r="BF399" s="3">
        <v>0</v>
      </c>
      <c r="BG399" s="3" t="str">
        <f t="shared" si="42"/>
        <v>0</v>
      </c>
      <c r="BH399" t="str">
        <f ca="1">IF((OFFSET($A$1, 399 - 1, 58 - 1)) &gt;= (OFFSET($A$1, 96 - 1, 7 - 1)), "1","0")</f>
        <v>0</v>
      </c>
      <c r="BI399">
        <f ca="1" xml:space="preserve"> IF( AND( OFFSET($A$1, 399 - 1, 59 - 1) = "1", OFFSET($A$1, 399 - 1, 60 - 1) = "1" ), 1, IF( AND( OFFSET($A$1, 399 - 1, 59 - 1) = "1", OFFSET($A$1, 399 - 1, 60 - 1) = "0" ), 2, IF( AND( OFFSET($A$1, 399 - 1, 59 - 1) = "0", OFFSET($A$1, 399 - 1, 60 - 1) = "1" ), 3, 4 ) ) )</f>
        <v>4</v>
      </c>
      <c r="BK399" s="3">
        <v>6.6350710900473939E-2</v>
      </c>
      <c r="BL399" s="3" t="str">
        <f>"0"</f>
        <v>0</v>
      </c>
      <c r="BM399" t="str">
        <f ca="1">IF((OFFSET($A$1, 399 - 1, 63 - 1)) &gt;= (OFFSET($A$1, 135 - 1, 7 - 1)), "1","0")</f>
        <v>0</v>
      </c>
      <c r="BN399">
        <f ca="1" xml:space="preserve"> IF( AND( OFFSET($A$1, 399 - 1, 64 - 1) = "1", OFFSET($A$1, 399 - 1, 65 - 1) = "1" ), 1, IF( AND( OFFSET($A$1, 399 - 1, 64 - 1) = "1", OFFSET($A$1, 399 - 1, 65 - 1) = "0" ), 2, IF( AND( OFFSET($A$1, 399 - 1, 64 - 1) = "0", OFFSET($A$1, 399 - 1, 65 - 1) = "1" ), 3, 4 ) ) )</f>
        <v>4</v>
      </c>
    </row>
    <row r="400" spans="58:66" x14ac:dyDescent="0.2">
      <c r="BF400" s="3">
        <v>0</v>
      </c>
      <c r="BG400" s="3" t="str">
        <f t="shared" si="42"/>
        <v>0</v>
      </c>
      <c r="BH400" t="str">
        <f ca="1">IF((OFFSET($A$1, 400 - 1, 58 - 1)) &gt;= (OFFSET($A$1, 96 - 1, 7 - 1)), "1","0")</f>
        <v>0</v>
      </c>
      <c r="BI400">
        <f ca="1" xml:space="preserve"> IF( AND( OFFSET($A$1, 400 - 1, 59 - 1) = "1", OFFSET($A$1, 400 - 1, 60 - 1) = "1" ), 1, IF( AND( OFFSET($A$1, 400 - 1, 59 - 1) = "1", OFFSET($A$1, 400 - 1, 60 - 1) = "0" ), 2, IF( AND( OFFSET($A$1, 400 - 1, 59 - 1) = "0", OFFSET($A$1, 400 - 1, 60 - 1) = "1" ), 3, 4 ) ) )</f>
        <v>4</v>
      </c>
      <c r="BK400" s="3">
        <v>6.6350710900473939E-2</v>
      </c>
      <c r="BL400" s="3" t="str">
        <f>"1"</f>
        <v>1</v>
      </c>
      <c r="BM400" t="str">
        <f ca="1">IF((OFFSET($A$1, 400 - 1, 63 - 1)) &gt;= (OFFSET($A$1, 135 - 1, 7 - 1)), "1","0")</f>
        <v>0</v>
      </c>
      <c r="BN400">
        <f ca="1" xml:space="preserve"> IF( AND( OFFSET($A$1, 400 - 1, 64 - 1) = "1", OFFSET($A$1, 400 - 1, 65 - 1) = "1" ), 1, IF( AND( OFFSET($A$1, 400 - 1, 64 - 1) = "1", OFFSET($A$1, 400 - 1, 65 - 1) = "0" ), 2, IF( AND( OFFSET($A$1, 400 - 1, 64 - 1) = "0", OFFSET($A$1, 400 - 1, 65 - 1) = "1" ), 3, 4 ) ) )</f>
        <v>2</v>
      </c>
    </row>
    <row r="401" spans="58:66" x14ac:dyDescent="0.2">
      <c r="BF401" s="3">
        <v>0.34722222222222221</v>
      </c>
      <c r="BG401" s="3" t="str">
        <f t="shared" si="42"/>
        <v>0</v>
      </c>
      <c r="BH401" t="str">
        <f ca="1">IF((OFFSET($A$1, 401 - 1, 58 - 1)) &gt;= (OFFSET($A$1, 96 - 1, 7 - 1)), "1","0")</f>
        <v>0</v>
      </c>
      <c r="BI401">
        <f ca="1" xml:space="preserve"> IF( AND( OFFSET($A$1, 401 - 1, 59 - 1) = "1", OFFSET($A$1, 401 - 1, 60 - 1) = "1" ), 1, IF( AND( OFFSET($A$1, 401 - 1, 59 - 1) = "1", OFFSET($A$1, 401 - 1, 60 - 1) = "0" ), 2, IF( AND( OFFSET($A$1, 401 - 1, 59 - 1) = "0", OFFSET($A$1, 401 - 1, 60 - 1) = "1" ), 3, 4 ) ) )</f>
        <v>4</v>
      </c>
      <c r="BK401" s="3">
        <v>6.6350710900473939E-2</v>
      </c>
      <c r="BL401" s="3" t="str">
        <f t="shared" ref="BL401:BL414" si="43">"0"</f>
        <v>0</v>
      </c>
      <c r="BM401" t="str">
        <f ca="1">IF((OFFSET($A$1, 401 - 1, 63 - 1)) &gt;= (OFFSET($A$1, 135 - 1, 7 - 1)), "1","0")</f>
        <v>0</v>
      </c>
      <c r="BN401">
        <f ca="1" xml:space="preserve"> IF( AND( OFFSET($A$1, 401 - 1, 64 - 1) = "1", OFFSET($A$1, 401 - 1, 65 - 1) = "1" ), 1, IF( AND( OFFSET($A$1, 401 - 1, 64 - 1) = "1", OFFSET($A$1, 401 - 1, 65 - 1) = "0" ), 2, IF( AND( OFFSET($A$1, 401 - 1, 64 - 1) = "0", OFFSET($A$1, 401 - 1, 65 - 1) = "1" ), 3, 4 ) ) )</f>
        <v>4</v>
      </c>
    </row>
    <row r="402" spans="58:66" x14ac:dyDescent="0.2">
      <c r="BF402" s="3">
        <v>0.34722222222222221</v>
      </c>
      <c r="BG402" s="3" t="str">
        <f>"1"</f>
        <v>1</v>
      </c>
      <c r="BH402" t="str">
        <f ca="1">IF((OFFSET($A$1, 402 - 1, 58 - 1)) &gt;= (OFFSET($A$1, 96 - 1, 7 - 1)), "1","0")</f>
        <v>0</v>
      </c>
      <c r="BI402">
        <f ca="1" xml:space="preserve"> IF( AND( OFFSET($A$1, 402 - 1, 59 - 1) = "1", OFFSET($A$1, 402 - 1, 60 - 1) = "1" ), 1, IF( AND( OFFSET($A$1, 402 - 1, 59 - 1) = "1", OFFSET($A$1, 402 - 1, 60 - 1) = "0" ), 2, IF( AND( OFFSET($A$1, 402 - 1, 59 - 1) = "0", OFFSET($A$1, 402 - 1, 60 - 1) = "1" ), 3, 4 ) ) )</f>
        <v>2</v>
      </c>
      <c r="BK402" s="3">
        <v>6.6350710900473939E-2</v>
      </c>
      <c r="BL402" s="3" t="str">
        <f t="shared" si="43"/>
        <v>0</v>
      </c>
      <c r="BM402" t="str">
        <f ca="1">IF((OFFSET($A$1, 402 - 1, 63 - 1)) &gt;= (OFFSET($A$1, 135 - 1, 7 - 1)), "1","0")</f>
        <v>0</v>
      </c>
      <c r="BN402">
        <f ca="1" xml:space="preserve"> IF( AND( OFFSET($A$1, 402 - 1, 64 - 1) = "1", OFFSET($A$1, 402 - 1, 65 - 1) = "1" ), 1, IF( AND( OFFSET($A$1, 402 - 1, 64 - 1) = "1", OFFSET($A$1, 402 - 1, 65 - 1) = "0" ), 2, IF( AND( OFFSET($A$1, 402 - 1, 64 - 1) = "0", OFFSET($A$1, 402 - 1, 65 - 1) = "1" ), 3, 4 ) ) )</f>
        <v>4</v>
      </c>
    </row>
    <row r="403" spans="58:66" x14ac:dyDescent="0.2">
      <c r="BF403" s="3">
        <v>0.36</v>
      </c>
      <c r="BG403" s="3" t="str">
        <f>"0"</f>
        <v>0</v>
      </c>
      <c r="BH403" t="str">
        <f ca="1">IF((OFFSET($A$1, 403 - 1, 58 - 1)) &gt;= (OFFSET($A$1, 96 - 1, 7 - 1)), "1","0")</f>
        <v>0</v>
      </c>
      <c r="BI403">
        <f ca="1" xml:space="preserve"> IF( AND( OFFSET($A$1, 403 - 1, 59 - 1) = "1", OFFSET($A$1, 403 - 1, 60 - 1) = "1" ), 1, IF( AND( OFFSET($A$1, 403 - 1, 59 - 1) = "1", OFFSET($A$1, 403 - 1, 60 - 1) = "0" ), 2, IF( AND( OFFSET($A$1, 403 - 1, 59 - 1) = "0", OFFSET($A$1, 403 - 1, 60 - 1) = "1" ), 3, 4 ) ) )</f>
        <v>4</v>
      </c>
      <c r="BK403" s="3">
        <v>2.5316455696202531E-2</v>
      </c>
      <c r="BL403" s="3" t="str">
        <f t="shared" si="43"/>
        <v>0</v>
      </c>
      <c r="BM403" t="str">
        <f ca="1">IF((OFFSET($A$1, 403 - 1, 63 - 1)) &gt;= (OFFSET($A$1, 135 - 1, 7 - 1)), "1","0")</f>
        <v>0</v>
      </c>
      <c r="BN403">
        <f ca="1" xml:space="preserve"> IF( AND( OFFSET($A$1, 403 - 1, 64 - 1) = "1", OFFSET($A$1, 403 - 1, 65 - 1) = "1" ), 1, IF( AND( OFFSET($A$1, 403 - 1, 64 - 1) = "1", OFFSET($A$1, 403 - 1, 65 - 1) = "0" ), 2, IF( AND( OFFSET($A$1, 403 - 1, 64 - 1) = "0", OFFSET($A$1, 403 - 1, 65 - 1) = "1" ), 3, 4 ) ) )</f>
        <v>4</v>
      </c>
    </row>
    <row r="404" spans="58:66" x14ac:dyDescent="0.2">
      <c r="BF404" s="3">
        <v>0.08</v>
      </c>
      <c r="BG404" s="3" t="str">
        <f>"0"</f>
        <v>0</v>
      </c>
      <c r="BH404" t="str">
        <f ca="1">IF((OFFSET($A$1, 404 - 1, 58 - 1)) &gt;= (OFFSET($A$1, 96 - 1, 7 - 1)), "1","0")</f>
        <v>0</v>
      </c>
      <c r="BI404">
        <f ca="1" xml:space="preserve"> IF( AND( OFFSET($A$1, 404 - 1, 59 - 1) = "1", OFFSET($A$1, 404 - 1, 60 - 1) = "1" ), 1, IF( AND( OFFSET($A$1, 404 - 1, 59 - 1) = "1", OFFSET($A$1, 404 - 1, 60 - 1) = "0" ), 2, IF( AND( OFFSET($A$1, 404 - 1, 59 - 1) = "0", OFFSET($A$1, 404 - 1, 60 - 1) = "1" ), 3, 4 ) ) )</f>
        <v>4</v>
      </c>
      <c r="BK404" s="3">
        <v>2.5316455696202531E-2</v>
      </c>
      <c r="BL404" s="3" t="str">
        <f t="shared" si="43"/>
        <v>0</v>
      </c>
      <c r="BM404" t="str">
        <f ca="1">IF((OFFSET($A$1, 404 - 1, 63 - 1)) &gt;= (OFFSET($A$1, 135 - 1, 7 - 1)), "1","0")</f>
        <v>0</v>
      </c>
      <c r="BN404">
        <f ca="1" xml:space="preserve"> IF( AND( OFFSET($A$1, 404 - 1, 64 - 1) = "1", OFFSET($A$1, 404 - 1, 65 - 1) = "1" ), 1, IF( AND( OFFSET($A$1, 404 - 1, 64 - 1) = "1", OFFSET($A$1, 404 - 1, 65 - 1) = "0" ), 2, IF( AND( OFFSET($A$1, 404 - 1, 64 - 1) = "0", OFFSET($A$1, 404 - 1, 65 - 1) = "1" ), 3, 4 ) ) )</f>
        <v>4</v>
      </c>
    </row>
    <row r="405" spans="58:66" x14ac:dyDescent="0.2">
      <c r="BF405" s="3">
        <v>0</v>
      </c>
      <c r="BG405" s="3" t="str">
        <f>"0"</f>
        <v>0</v>
      </c>
      <c r="BH405" t="str">
        <f ca="1">IF((OFFSET($A$1, 405 - 1, 58 - 1)) &gt;= (OFFSET($A$1, 96 - 1, 7 - 1)), "1","0")</f>
        <v>0</v>
      </c>
      <c r="BI405">
        <f ca="1" xml:space="preserve"> IF( AND( OFFSET($A$1, 405 - 1, 59 - 1) = "1", OFFSET($A$1, 405 - 1, 60 - 1) = "1" ), 1, IF( AND( OFFSET($A$1, 405 - 1, 59 - 1) = "1", OFFSET($A$1, 405 - 1, 60 - 1) = "0" ), 2, IF( AND( OFFSET($A$1, 405 - 1, 59 - 1) = "0", OFFSET($A$1, 405 - 1, 60 - 1) = "1" ), 3, 4 ) ) )</f>
        <v>4</v>
      </c>
      <c r="BK405" s="3">
        <v>6.6350710900473939E-2</v>
      </c>
      <c r="BL405" s="3" t="str">
        <f t="shared" si="43"/>
        <v>0</v>
      </c>
      <c r="BM405" t="str">
        <f ca="1">IF((OFFSET($A$1, 405 - 1, 63 - 1)) &gt;= (OFFSET($A$1, 135 - 1, 7 - 1)), "1","0")</f>
        <v>0</v>
      </c>
      <c r="BN405">
        <f ca="1" xml:space="preserve"> IF( AND( OFFSET($A$1, 405 - 1, 64 - 1) = "1", OFFSET($A$1, 405 - 1, 65 - 1) = "1" ), 1, IF( AND( OFFSET($A$1, 405 - 1, 64 - 1) = "1", OFFSET($A$1, 405 - 1, 65 - 1) = "0" ), 2, IF( AND( OFFSET($A$1, 405 - 1, 64 - 1) = "0", OFFSET($A$1, 405 - 1, 65 - 1) = "1" ), 3, 4 ) ) )</f>
        <v>4</v>
      </c>
    </row>
    <row r="406" spans="58:66" x14ac:dyDescent="0.2">
      <c r="BF406" s="3">
        <v>0.47692307692307689</v>
      </c>
      <c r="BG406" s="3" t="str">
        <f>"1"</f>
        <v>1</v>
      </c>
      <c r="BH406" t="str">
        <f ca="1">IF((OFFSET($A$1, 406 - 1, 58 - 1)) &gt;= (OFFSET($A$1, 96 - 1, 7 - 1)), "1","0")</f>
        <v>0</v>
      </c>
      <c r="BI406">
        <f ca="1" xml:space="preserve"> IF( AND( OFFSET($A$1, 406 - 1, 59 - 1) = "1", OFFSET($A$1, 406 - 1, 60 - 1) = "1" ), 1, IF( AND( OFFSET($A$1, 406 - 1, 59 - 1) = "1", OFFSET($A$1, 406 - 1, 60 - 1) = "0" ), 2, IF( AND( OFFSET($A$1, 406 - 1, 59 - 1) = "0", OFFSET($A$1, 406 - 1, 60 - 1) = "1" ), 3, 4 ) ) )</f>
        <v>2</v>
      </c>
      <c r="BK406" s="3">
        <v>0.36</v>
      </c>
      <c r="BL406" s="3" t="str">
        <f t="shared" si="43"/>
        <v>0</v>
      </c>
      <c r="BM406" t="str">
        <f ca="1">IF((OFFSET($A$1, 406 - 1, 63 - 1)) &gt;= (OFFSET($A$1, 135 - 1, 7 - 1)), "1","0")</f>
        <v>0</v>
      </c>
      <c r="BN406">
        <f ca="1" xml:space="preserve"> IF( AND( OFFSET($A$1, 406 - 1, 64 - 1) = "1", OFFSET($A$1, 406 - 1, 65 - 1) = "1" ), 1, IF( AND( OFFSET($A$1, 406 - 1, 64 - 1) = "1", OFFSET($A$1, 406 - 1, 65 - 1) = "0" ), 2, IF( AND( OFFSET($A$1, 406 - 1, 64 - 1) = "0", OFFSET($A$1, 406 - 1, 65 - 1) = "1" ), 3, 4 ) ) )</f>
        <v>4</v>
      </c>
    </row>
    <row r="407" spans="58:66" x14ac:dyDescent="0.2">
      <c r="BF407" s="3">
        <v>0</v>
      </c>
      <c r="BG407" s="3" t="str">
        <f>"0"</f>
        <v>0</v>
      </c>
      <c r="BH407" t="str">
        <f ca="1">IF((OFFSET($A$1, 407 - 1, 58 - 1)) &gt;= (OFFSET($A$1, 96 - 1, 7 - 1)), "1","0")</f>
        <v>0</v>
      </c>
      <c r="BI407">
        <f ca="1" xml:space="preserve"> IF( AND( OFFSET($A$1, 407 - 1, 59 - 1) = "1", OFFSET($A$1, 407 - 1, 60 - 1) = "1" ), 1, IF( AND( OFFSET($A$1, 407 - 1, 59 - 1) = "1", OFFSET($A$1, 407 - 1, 60 - 1) = "0" ), 2, IF( AND( OFFSET($A$1, 407 - 1, 59 - 1) = "0", OFFSET($A$1, 407 - 1, 60 - 1) = "1" ), 3, 4 ) ) )</f>
        <v>4</v>
      </c>
      <c r="BK407" s="3">
        <v>6.6350710900473939E-2</v>
      </c>
      <c r="BL407" s="3" t="str">
        <f t="shared" si="43"/>
        <v>0</v>
      </c>
      <c r="BM407" t="str">
        <f ca="1">IF((OFFSET($A$1, 407 - 1, 63 - 1)) &gt;= (OFFSET($A$1, 135 - 1, 7 - 1)), "1","0")</f>
        <v>0</v>
      </c>
      <c r="BN407">
        <f ca="1" xml:space="preserve"> IF( AND( OFFSET($A$1, 407 - 1, 64 - 1) = "1", OFFSET($A$1, 407 - 1, 65 - 1) = "1" ), 1, IF( AND( OFFSET($A$1, 407 - 1, 64 - 1) = "1", OFFSET($A$1, 407 - 1, 65 - 1) = "0" ), 2, IF( AND( OFFSET($A$1, 407 - 1, 64 - 1) = "0", OFFSET($A$1, 407 - 1, 65 - 1) = "1" ), 3, 4 ) ) )</f>
        <v>4</v>
      </c>
    </row>
    <row r="408" spans="58:66" x14ac:dyDescent="0.2">
      <c r="BF408" s="3">
        <v>0</v>
      </c>
      <c r="BG408" s="3" t="str">
        <f>"0"</f>
        <v>0</v>
      </c>
      <c r="BH408" t="str">
        <f ca="1">IF((OFFSET($A$1, 408 - 1, 58 - 1)) &gt;= (OFFSET($A$1, 96 - 1, 7 - 1)), "1","0")</f>
        <v>0</v>
      </c>
      <c r="BI408">
        <f ca="1" xml:space="preserve"> IF( AND( OFFSET($A$1, 408 - 1, 59 - 1) = "1", OFFSET($A$1, 408 - 1, 60 - 1) = "1" ), 1, IF( AND( OFFSET($A$1, 408 - 1, 59 - 1) = "1", OFFSET($A$1, 408 - 1, 60 - 1) = "0" ), 2, IF( AND( OFFSET($A$1, 408 - 1, 59 - 1) = "0", OFFSET($A$1, 408 - 1, 60 - 1) = "1" ), 3, 4 ) ) )</f>
        <v>4</v>
      </c>
      <c r="BK408" s="3">
        <v>6.6350710900473939E-2</v>
      </c>
      <c r="BL408" s="3" t="str">
        <f t="shared" si="43"/>
        <v>0</v>
      </c>
      <c r="BM408" t="str">
        <f ca="1">IF((OFFSET($A$1, 408 - 1, 63 - 1)) &gt;= (OFFSET($A$1, 135 - 1, 7 - 1)), "1","0")</f>
        <v>0</v>
      </c>
      <c r="BN408">
        <f ca="1" xml:space="preserve"> IF( AND( OFFSET($A$1, 408 - 1, 64 - 1) = "1", OFFSET($A$1, 408 - 1, 65 - 1) = "1" ), 1, IF( AND( OFFSET($A$1, 408 - 1, 64 - 1) = "1", OFFSET($A$1, 408 - 1, 65 - 1) = "0" ), 2, IF( AND( OFFSET($A$1, 408 - 1, 64 - 1) = "0", OFFSET($A$1, 408 - 1, 65 - 1) = "1" ), 3, 4 ) ) )</f>
        <v>4</v>
      </c>
    </row>
    <row r="409" spans="58:66" x14ac:dyDescent="0.2">
      <c r="BF409" s="3">
        <v>0.1081081081081081</v>
      </c>
      <c r="BG409" s="3" t="str">
        <f>"0"</f>
        <v>0</v>
      </c>
      <c r="BH409" t="str">
        <f ca="1">IF((OFFSET($A$1, 409 - 1, 58 - 1)) &gt;= (OFFSET($A$1, 96 - 1, 7 - 1)), "1","0")</f>
        <v>0</v>
      </c>
      <c r="BI409">
        <f ca="1" xml:space="preserve"> IF( AND( OFFSET($A$1, 409 - 1, 59 - 1) = "1", OFFSET($A$1, 409 - 1, 60 - 1) = "1" ), 1, IF( AND( OFFSET($A$1, 409 - 1, 59 - 1) = "1", OFFSET($A$1, 409 - 1, 60 - 1) = "0" ), 2, IF( AND( OFFSET($A$1, 409 - 1, 59 - 1) = "0", OFFSET($A$1, 409 - 1, 60 - 1) = "1" ), 3, 4 ) ) )</f>
        <v>4</v>
      </c>
      <c r="BK409" s="3">
        <v>0.36</v>
      </c>
      <c r="BL409" s="3" t="str">
        <f t="shared" si="43"/>
        <v>0</v>
      </c>
      <c r="BM409" t="str">
        <f ca="1">IF((OFFSET($A$1, 409 - 1, 63 - 1)) &gt;= (OFFSET($A$1, 135 - 1, 7 - 1)), "1","0")</f>
        <v>0</v>
      </c>
      <c r="BN409">
        <f ca="1" xml:space="preserve"> IF( AND( OFFSET($A$1, 409 - 1, 64 - 1) = "1", OFFSET($A$1, 409 - 1, 65 - 1) = "1" ), 1, IF( AND( OFFSET($A$1, 409 - 1, 64 - 1) = "1", OFFSET($A$1, 409 - 1, 65 - 1) = "0" ), 2, IF( AND( OFFSET($A$1, 409 - 1, 64 - 1) = "0", OFFSET($A$1, 409 - 1, 65 - 1) = "1" ), 3, 4 ) ) )</f>
        <v>4</v>
      </c>
    </row>
    <row r="410" spans="58:66" x14ac:dyDescent="0.2">
      <c r="BF410" s="3">
        <v>0.90579710144927539</v>
      </c>
      <c r="BG410" s="3" t="str">
        <f>"1"</f>
        <v>1</v>
      </c>
      <c r="BH410" t="str">
        <f ca="1">IF((OFFSET($A$1, 410 - 1, 58 - 1)) &gt;= (OFFSET($A$1, 96 - 1, 7 - 1)), "1","0")</f>
        <v>1</v>
      </c>
      <c r="BI410">
        <f ca="1" xml:space="preserve"> IF( AND( OFFSET($A$1, 410 - 1, 59 - 1) = "1", OFFSET($A$1, 410 - 1, 60 - 1) = "1" ), 1, IF( AND( OFFSET($A$1, 410 - 1, 59 - 1) = "1", OFFSET($A$1, 410 - 1, 60 - 1) = "0" ), 2, IF( AND( OFFSET($A$1, 410 - 1, 59 - 1) = "0", OFFSET($A$1, 410 - 1, 60 - 1) = "1" ), 3, 4 ) ) )</f>
        <v>1</v>
      </c>
      <c r="BK410" s="3">
        <v>6.6350710900473939E-2</v>
      </c>
      <c r="BL410" s="3" t="str">
        <f t="shared" si="43"/>
        <v>0</v>
      </c>
      <c r="BM410" t="str">
        <f ca="1">IF((OFFSET($A$1, 410 - 1, 63 - 1)) &gt;= (OFFSET($A$1, 135 - 1, 7 - 1)), "1","0")</f>
        <v>0</v>
      </c>
      <c r="BN410">
        <f ca="1" xml:space="preserve"> IF( AND( OFFSET($A$1, 410 - 1, 64 - 1) = "1", OFFSET($A$1, 410 - 1, 65 - 1) = "1" ), 1, IF( AND( OFFSET($A$1, 410 - 1, 64 - 1) = "1", OFFSET($A$1, 410 - 1, 65 - 1) = "0" ), 2, IF( AND( OFFSET($A$1, 410 - 1, 64 - 1) = "0", OFFSET($A$1, 410 - 1, 65 - 1) = "1" ), 3, 4 ) ) )</f>
        <v>4</v>
      </c>
    </row>
    <row r="411" spans="58:66" x14ac:dyDescent="0.2">
      <c r="BF411" s="3">
        <v>0</v>
      </c>
      <c r="BG411" s="3" t="str">
        <f t="shared" ref="BG411:BG419" si="44">"0"</f>
        <v>0</v>
      </c>
      <c r="BH411" t="str">
        <f ca="1">IF((OFFSET($A$1, 411 - 1, 58 - 1)) &gt;= (OFFSET($A$1, 96 - 1, 7 - 1)), "1","0")</f>
        <v>0</v>
      </c>
      <c r="BI411">
        <f ca="1" xml:space="preserve"> IF( AND( OFFSET($A$1, 411 - 1, 59 - 1) = "1", OFFSET($A$1, 411 - 1, 60 - 1) = "1" ), 1, IF( AND( OFFSET($A$1, 411 - 1, 59 - 1) = "1", OFFSET($A$1, 411 - 1, 60 - 1) = "0" ), 2, IF( AND( OFFSET($A$1, 411 - 1, 59 - 1) = "0", OFFSET($A$1, 411 - 1, 60 - 1) = "1" ), 3, 4 ) ) )</f>
        <v>4</v>
      </c>
      <c r="BK411" s="3">
        <v>6.6350710900473939E-2</v>
      </c>
      <c r="BL411" s="3" t="str">
        <f t="shared" si="43"/>
        <v>0</v>
      </c>
      <c r="BM411" t="str">
        <f ca="1">IF((OFFSET($A$1, 411 - 1, 63 - 1)) &gt;= (OFFSET($A$1, 135 - 1, 7 - 1)), "1","0")</f>
        <v>0</v>
      </c>
      <c r="BN411">
        <f ca="1" xml:space="preserve"> IF( AND( OFFSET($A$1, 411 - 1, 64 - 1) = "1", OFFSET($A$1, 411 - 1, 65 - 1) = "1" ), 1, IF( AND( OFFSET($A$1, 411 - 1, 64 - 1) = "1", OFFSET($A$1, 411 - 1, 65 - 1) = "0" ), 2, IF( AND( OFFSET($A$1, 411 - 1, 64 - 1) = "0", OFFSET($A$1, 411 - 1, 65 - 1) = "1" ), 3, 4 ) ) )</f>
        <v>4</v>
      </c>
    </row>
    <row r="412" spans="58:66" x14ac:dyDescent="0.2">
      <c r="BF412" s="3">
        <v>3.7037037037037042E-2</v>
      </c>
      <c r="BG412" s="3" t="str">
        <f t="shared" si="44"/>
        <v>0</v>
      </c>
      <c r="BH412" t="str">
        <f ca="1">IF((OFFSET($A$1, 412 - 1, 58 - 1)) &gt;= (OFFSET($A$1, 96 - 1, 7 - 1)), "1","0")</f>
        <v>0</v>
      </c>
      <c r="BI412">
        <f ca="1" xml:space="preserve"> IF( AND( OFFSET($A$1, 412 - 1, 59 - 1) = "1", OFFSET($A$1, 412 - 1, 60 - 1) = "1" ), 1, IF( AND( OFFSET($A$1, 412 - 1, 59 - 1) = "1", OFFSET($A$1, 412 - 1, 60 - 1) = "0" ), 2, IF( AND( OFFSET($A$1, 412 - 1, 59 - 1) = "0", OFFSET($A$1, 412 - 1, 60 - 1) = "1" ), 3, 4 ) ) )</f>
        <v>4</v>
      </c>
      <c r="BK412" s="3">
        <v>6.6350710900473939E-2</v>
      </c>
      <c r="BL412" s="3" t="str">
        <f t="shared" si="43"/>
        <v>0</v>
      </c>
      <c r="BM412" t="str">
        <f ca="1">IF((OFFSET($A$1, 412 - 1, 63 - 1)) &gt;= (OFFSET($A$1, 135 - 1, 7 - 1)), "1","0")</f>
        <v>0</v>
      </c>
      <c r="BN412">
        <f ca="1" xml:space="preserve"> IF( AND( OFFSET($A$1, 412 - 1, 64 - 1) = "1", OFFSET($A$1, 412 - 1, 65 - 1) = "1" ), 1, IF( AND( OFFSET($A$1, 412 - 1, 64 - 1) = "1", OFFSET($A$1, 412 - 1, 65 - 1) = "0" ), 2, IF( AND( OFFSET($A$1, 412 - 1, 64 - 1) = "0", OFFSET($A$1, 412 - 1, 65 - 1) = "1" ), 3, 4 ) ) )</f>
        <v>4</v>
      </c>
    </row>
    <row r="413" spans="58:66" x14ac:dyDescent="0.2">
      <c r="BF413" s="3">
        <v>0</v>
      </c>
      <c r="BG413" s="3" t="str">
        <f t="shared" si="44"/>
        <v>0</v>
      </c>
      <c r="BH413" t="str">
        <f ca="1">IF((OFFSET($A$1, 413 - 1, 58 - 1)) &gt;= (OFFSET($A$1, 96 - 1, 7 - 1)), "1","0")</f>
        <v>0</v>
      </c>
      <c r="BI413">
        <f ca="1" xml:space="preserve"> IF( AND( OFFSET($A$1, 413 - 1, 59 - 1) = "1", OFFSET($A$1, 413 - 1, 60 - 1) = "1" ), 1, IF( AND( OFFSET($A$1, 413 - 1, 59 - 1) = "1", OFFSET($A$1, 413 - 1, 60 - 1) = "0" ), 2, IF( AND( OFFSET($A$1, 413 - 1, 59 - 1) = "0", OFFSET($A$1, 413 - 1, 60 - 1) = "1" ), 3, 4 ) ) )</f>
        <v>4</v>
      </c>
      <c r="BK413" s="3">
        <v>6.6350710900473939E-2</v>
      </c>
      <c r="BL413" s="3" t="str">
        <f t="shared" si="43"/>
        <v>0</v>
      </c>
      <c r="BM413" t="str">
        <f ca="1">IF((OFFSET($A$1, 413 - 1, 63 - 1)) &gt;= (OFFSET($A$1, 135 - 1, 7 - 1)), "1","0")</f>
        <v>0</v>
      </c>
      <c r="BN413">
        <f ca="1" xml:space="preserve"> IF( AND( OFFSET($A$1, 413 - 1, 64 - 1) = "1", OFFSET($A$1, 413 - 1, 65 - 1) = "1" ), 1, IF( AND( OFFSET($A$1, 413 - 1, 64 - 1) = "1", OFFSET($A$1, 413 - 1, 65 - 1) = "0" ), 2, IF( AND( OFFSET($A$1, 413 - 1, 64 - 1) = "0", OFFSET($A$1, 413 - 1, 65 - 1) = "1" ), 3, 4 ) ) )</f>
        <v>4</v>
      </c>
    </row>
    <row r="414" spans="58:66" x14ac:dyDescent="0.2">
      <c r="BF414" s="3">
        <v>0.36</v>
      </c>
      <c r="BG414" s="3" t="str">
        <f t="shared" si="44"/>
        <v>0</v>
      </c>
      <c r="BH414" t="str">
        <f ca="1">IF((OFFSET($A$1, 414 - 1, 58 - 1)) &gt;= (OFFSET($A$1, 96 - 1, 7 - 1)), "1","0")</f>
        <v>0</v>
      </c>
      <c r="BI414">
        <f ca="1" xml:space="preserve"> IF( AND( OFFSET($A$1, 414 - 1, 59 - 1) = "1", OFFSET($A$1, 414 - 1, 60 - 1) = "1" ), 1, IF( AND( OFFSET($A$1, 414 - 1, 59 - 1) = "1", OFFSET($A$1, 414 - 1, 60 - 1) = "0" ), 2, IF( AND( OFFSET($A$1, 414 - 1, 59 - 1) = "0", OFFSET($A$1, 414 - 1, 60 - 1) = "1" ), 3, 4 ) ) )</f>
        <v>4</v>
      </c>
      <c r="BK414" s="3">
        <v>6.6350710900473939E-2</v>
      </c>
      <c r="BL414" s="3" t="str">
        <f t="shared" si="43"/>
        <v>0</v>
      </c>
      <c r="BM414" t="str">
        <f ca="1">IF((OFFSET($A$1, 414 - 1, 63 - 1)) &gt;= (OFFSET($A$1, 135 - 1, 7 - 1)), "1","0")</f>
        <v>0</v>
      </c>
      <c r="BN414">
        <f ca="1" xml:space="preserve"> IF( AND( OFFSET($A$1, 414 - 1, 64 - 1) = "1", OFFSET($A$1, 414 - 1, 65 - 1) = "1" ), 1, IF( AND( OFFSET($A$1, 414 - 1, 64 - 1) = "1", OFFSET($A$1, 414 - 1, 65 - 1) = "0" ), 2, IF( AND( OFFSET($A$1, 414 - 1, 64 - 1) = "0", OFFSET($A$1, 414 - 1, 65 - 1) = "1" ), 3, 4 ) ) )</f>
        <v>4</v>
      </c>
    </row>
    <row r="415" spans="58:66" x14ac:dyDescent="0.2">
      <c r="BF415" s="3">
        <v>0.47692307692307689</v>
      </c>
      <c r="BG415" s="3" t="str">
        <f t="shared" si="44"/>
        <v>0</v>
      </c>
      <c r="BH415" t="str">
        <f ca="1">IF((OFFSET($A$1, 415 - 1, 58 - 1)) &gt;= (OFFSET($A$1, 96 - 1, 7 - 1)), "1","0")</f>
        <v>0</v>
      </c>
      <c r="BI415">
        <f ca="1" xml:space="preserve"> IF( AND( OFFSET($A$1, 415 - 1, 59 - 1) = "1", OFFSET($A$1, 415 - 1, 60 - 1) = "1" ), 1, IF( AND( OFFSET($A$1, 415 - 1, 59 - 1) = "1", OFFSET($A$1, 415 - 1, 60 - 1) = "0" ), 2, IF( AND( OFFSET($A$1, 415 - 1, 59 - 1) = "0", OFFSET($A$1, 415 - 1, 60 - 1) = "1" ), 3, 4 ) ) )</f>
        <v>4</v>
      </c>
      <c r="BK415" s="3">
        <v>0.90579710144927539</v>
      </c>
      <c r="BL415" s="3" t="str">
        <f>"1"</f>
        <v>1</v>
      </c>
      <c r="BM415" t="str">
        <f ca="1">IF((OFFSET($A$1, 415 - 1, 63 - 1)) &gt;= (OFFSET($A$1, 135 - 1, 7 - 1)), "1","0")</f>
        <v>1</v>
      </c>
      <c r="BN415">
        <f ca="1" xml:space="preserve"> IF( AND( OFFSET($A$1, 415 - 1, 64 - 1) = "1", OFFSET($A$1, 415 - 1, 65 - 1) = "1" ), 1, IF( AND( OFFSET($A$1, 415 - 1, 64 - 1) = "1", OFFSET($A$1, 415 - 1, 65 - 1) = "0" ), 2, IF( AND( OFFSET($A$1, 415 - 1, 64 - 1) = "0", OFFSET($A$1, 415 - 1, 65 - 1) = "1" ), 3, 4 ) ) )</f>
        <v>1</v>
      </c>
    </row>
    <row r="416" spans="58:66" x14ac:dyDescent="0.2">
      <c r="BF416" s="3">
        <v>0</v>
      </c>
      <c r="BG416" s="3" t="str">
        <f t="shared" si="44"/>
        <v>0</v>
      </c>
      <c r="BH416" t="str">
        <f ca="1">IF((OFFSET($A$1, 416 - 1, 58 - 1)) &gt;= (OFFSET($A$1, 96 - 1, 7 - 1)), "1","0")</f>
        <v>0</v>
      </c>
      <c r="BI416">
        <f ca="1" xml:space="preserve"> IF( AND( OFFSET($A$1, 416 - 1, 59 - 1) = "1", OFFSET($A$1, 416 - 1, 60 - 1) = "1" ), 1, IF( AND( OFFSET($A$1, 416 - 1, 59 - 1) = "1", OFFSET($A$1, 416 - 1, 60 - 1) = "0" ), 2, IF( AND( OFFSET($A$1, 416 - 1, 59 - 1) = "0", OFFSET($A$1, 416 - 1, 60 - 1) = "1" ), 3, 4 ) ) )</f>
        <v>4</v>
      </c>
      <c r="BK416" s="3">
        <v>0.38775510204081637</v>
      </c>
      <c r="BL416" s="3" t="str">
        <f t="shared" ref="BL416:BL431" si="45">"0"</f>
        <v>0</v>
      </c>
      <c r="BM416" t="str">
        <f ca="1">IF((OFFSET($A$1, 416 - 1, 63 - 1)) &gt;= (OFFSET($A$1, 135 - 1, 7 - 1)), "1","0")</f>
        <v>0</v>
      </c>
      <c r="BN416">
        <f ca="1" xml:space="preserve"> IF( AND( OFFSET($A$1, 416 - 1, 64 - 1) = "1", OFFSET($A$1, 416 - 1, 65 - 1) = "1" ), 1, IF( AND( OFFSET($A$1, 416 - 1, 64 - 1) = "1", OFFSET($A$1, 416 - 1, 65 - 1) = "0" ), 2, IF( AND( OFFSET($A$1, 416 - 1, 64 - 1) = "0", OFFSET($A$1, 416 - 1, 65 - 1) = "1" ), 3, 4 ) ) )</f>
        <v>4</v>
      </c>
    </row>
    <row r="417" spans="58:66" x14ac:dyDescent="0.2">
      <c r="BF417" s="3">
        <v>3.7037037037037042E-2</v>
      </c>
      <c r="BG417" s="3" t="str">
        <f t="shared" si="44"/>
        <v>0</v>
      </c>
      <c r="BH417" t="str">
        <f ca="1">IF((OFFSET($A$1, 417 - 1, 58 - 1)) &gt;= (OFFSET($A$1, 96 - 1, 7 - 1)), "1","0")</f>
        <v>0</v>
      </c>
      <c r="BI417">
        <f ca="1" xml:space="preserve"> IF( AND( OFFSET($A$1, 417 - 1, 59 - 1) = "1", OFFSET($A$1, 417 - 1, 60 - 1) = "1" ), 1, IF( AND( OFFSET($A$1, 417 - 1, 59 - 1) = "1", OFFSET($A$1, 417 - 1, 60 - 1) = "0" ), 2, IF( AND( OFFSET($A$1, 417 - 1, 59 - 1) = "0", OFFSET($A$1, 417 - 1, 60 - 1) = "1" ), 3, 4 ) ) )</f>
        <v>4</v>
      </c>
      <c r="BK417" s="3">
        <v>6.6350710900473939E-2</v>
      </c>
      <c r="BL417" s="3" t="str">
        <f t="shared" si="45"/>
        <v>0</v>
      </c>
      <c r="BM417" t="str">
        <f ca="1">IF((OFFSET($A$1, 417 - 1, 63 - 1)) &gt;= (OFFSET($A$1, 135 - 1, 7 - 1)), "1","0")</f>
        <v>0</v>
      </c>
      <c r="BN417">
        <f ca="1" xml:space="preserve"> IF( AND( OFFSET($A$1, 417 - 1, 64 - 1) = "1", OFFSET($A$1, 417 - 1, 65 - 1) = "1" ), 1, IF( AND( OFFSET($A$1, 417 - 1, 64 - 1) = "1", OFFSET($A$1, 417 - 1, 65 - 1) = "0" ), 2, IF( AND( OFFSET($A$1, 417 - 1, 64 - 1) = "0", OFFSET($A$1, 417 - 1, 65 - 1) = "1" ), 3, 4 ) ) )</f>
        <v>4</v>
      </c>
    </row>
    <row r="418" spans="58:66" x14ac:dyDescent="0.2">
      <c r="BF418" s="3">
        <v>0.34722222222222221</v>
      </c>
      <c r="BG418" s="3" t="str">
        <f t="shared" si="44"/>
        <v>0</v>
      </c>
      <c r="BH418" t="str">
        <f ca="1">IF((OFFSET($A$1, 418 - 1, 58 - 1)) &gt;= (OFFSET($A$1, 96 - 1, 7 - 1)), "1","0")</f>
        <v>0</v>
      </c>
      <c r="BI418">
        <f ca="1" xml:space="preserve"> IF( AND( OFFSET($A$1, 418 - 1, 59 - 1) = "1", OFFSET($A$1, 418 - 1, 60 - 1) = "1" ), 1, IF( AND( OFFSET($A$1, 418 - 1, 59 - 1) = "1", OFFSET($A$1, 418 - 1, 60 - 1) = "0" ), 2, IF( AND( OFFSET($A$1, 418 - 1, 59 - 1) = "0", OFFSET($A$1, 418 - 1, 60 - 1) = "1" ), 3, 4 ) ) )</f>
        <v>4</v>
      </c>
      <c r="BK418" s="3">
        <v>6.6350710900473939E-2</v>
      </c>
      <c r="BL418" s="3" t="str">
        <f t="shared" si="45"/>
        <v>0</v>
      </c>
      <c r="BM418" t="str">
        <f ca="1">IF((OFFSET($A$1, 418 - 1, 63 - 1)) &gt;= (OFFSET($A$1, 135 - 1, 7 - 1)), "1","0")</f>
        <v>0</v>
      </c>
      <c r="BN418">
        <f ca="1" xml:space="preserve"> IF( AND( OFFSET($A$1, 418 - 1, 64 - 1) = "1", OFFSET($A$1, 418 - 1, 65 - 1) = "1" ), 1, IF( AND( OFFSET($A$1, 418 - 1, 64 - 1) = "1", OFFSET($A$1, 418 - 1, 65 - 1) = "0" ), 2, IF( AND( OFFSET($A$1, 418 - 1, 64 - 1) = "0", OFFSET($A$1, 418 - 1, 65 - 1) = "1" ), 3, 4 ) ) )</f>
        <v>4</v>
      </c>
    </row>
    <row r="419" spans="58:66" x14ac:dyDescent="0.2">
      <c r="BF419" s="3">
        <v>3.7037037037037042E-2</v>
      </c>
      <c r="BG419" s="3" t="str">
        <f t="shared" si="44"/>
        <v>0</v>
      </c>
      <c r="BH419" t="str">
        <f ca="1">IF((OFFSET($A$1, 419 - 1, 58 - 1)) &gt;= (OFFSET($A$1, 96 - 1, 7 - 1)), "1","0")</f>
        <v>0</v>
      </c>
      <c r="BI419">
        <f ca="1" xml:space="preserve"> IF( AND( OFFSET($A$1, 419 - 1, 59 - 1) = "1", OFFSET($A$1, 419 - 1, 60 - 1) = "1" ), 1, IF( AND( OFFSET($A$1, 419 - 1, 59 - 1) = "1", OFFSET($A$1, 419 - 1, 60 - 1) = "0" ), 2, IF( AND( OFFSET($A$1, 419 - 1, 59 - 1) = "0", OFFSET($A$1, 419 - 1, 60 - 1) = "1" ), 3, 4 ) ) )</f>
        <v>4</v>
      </c>
      <c r="BK419" s="3">
        <v>6.6350710900473939E-2</v>
      </c>
      <c r="BL419" s="3" t="str">
        <f t="shared" si="45"/>
        <v>0</v>
      </c>
      <c r="BM419" t="str">
        <f ca="1">IF((OFFSET($A$1, 419 - 1, 63 - 1)) &gt;= (OFFSET($A$1, 135 - 1, 7 - 1)), "1","0")</f>
        <v>0</v>
      </c>
      <c r="BN419">
        <f ca="1" xml:space="preserve"> IF( AND( OFFSET($A$1, 419 - 1, 64 - 1) = "1", OFFSET($A$1, 419 - 1, 65 - 1) = "1" ), 1, IF( AND( OFFSET($A$1, 419 - 1, 64 - 1) = "1", OFFSET($A$1, 419 - 1, 65 - 1) = "0" ), 2, IF( AND( OFFSET($A$1, 419 - 1, 64 - 1) = "0", OFFSET($A$1, 419 - 1, 65 - 1) = "1" ), 3, 4 ) ) )</f>
        <v>4</v>
      </c>
    </row>
    <row r="420" spans="58:66" x14ac:dyDescent="0.2">
      <c r="BF420" s="3">
        <v>0.90579710144927539</v>
      </c>
      <c r="BG420" s="3" t="str">
        <f>"1"</f>
        <v>1</v>
      </c>
      <c r="BH420" t="str">
        <f ca="1">IF((OFFSET($A$1, 420 - 1, 58 - 1)) &gt;= (OFFSET($A$1, 96 - 1, 7 - 1)), "1","0")</f>
        <v>1</v>
      </c>
      <c r="BI420">
        <f ca="1" xml:space="preserve"> IF( AND( OFFSET($A$1, 420 - 1, 59 - 1) = "1", OFFSET($A$1, 420 - 1, 60 - 1) = "1" ), 1, IF( AND( OFFSET($A$1, 420 - 1, 59 - 1) = "1", OFFSET($A$1, 420 - 1, 60 - 1) = "0" ), 2, IF( AND( OFFSET($A$1, 420 - 1, 59 - 1) = "0", OFFSET($A$1, 420 - 1, 60 - 1) = "1" ), 3, 4 ) ) )</f>
        <v>1</v>
      </c>
      <c r="BK420" s="3">
        <v>6.6350710900473939E-2</v>
      </c>
      <c r="BL420" s="3" t="str">
        <f t="shared" si="45"/>
        <v>0</v>
      </c>
      <c r="BM420" t="str">
        <f ca="1">IF((OFFSET($A$1, 420 - 1, 63 - 1)) &gt;= (OFFSET($A$1, 135 - 1, 7 - 1)), "1","0")</f>
        <v>0</v>
      </c>
      <c r="BN420">
        <f ca="1" xml:space="preserve"> IF( AND( OFFSET($A$1, 420 - 1, 64 - 1) = "1", OFFSET($A$1, 420 - 1, 65 - 1) = "1" ), 1, IF( AND( OFFSET($A$1, 420 - 1, 64 - 1) = "1", OFFSET($A$1, 420 - 1, 65 - 1) = "0" ), 2, IF( AND( OFFSET($A$1, 420 - 1, 64 - 1) = "0", OFFSET($A$1, 420 - 1, 65 - 1) = "1" ), 3, 4 ) ) )</f>
        <v>4</v>
      </c>
    </row>
    <row r="421" spans="58:66" x14ac:dyDescent="0.2">
      <c r="BF421" s="3">
        <v>0</v>
      </c>
      <c r="BG421" s="3" t="str">
        <f>"0"</f>
        <v>0</v>
      </c>
      <c r="BH421" t="str">
        <f ca="1">IF((OFFSET($A$1, 421 - 1, 58 - 1)) &gt;= (OFFSET($A$1, 96 - 1, 7 - 1)), "1","0")</f>
        <v>0</v>
      </c>
      <c r="BI421">
        <f ca="1" xml:space="preserve"> IF( AND( OFFSET($A$1, 421 - 1, 59 - 1) = "1", OFFSET($A$1, 421 - 1, 60 - 1) = "1" ), 1, IF( AND( OFFSET($A$1, 421 - 1, 59 - 1) = "1", OFFSET($A$1, 421 - 1, 60 - 1) = "0" ), 2, IF( AND( OFFSET($A$1, 421 - 1, 59 - 1) = "0", OFFSET($A$1, 421 - 1, 60 - 1) = "1" ), 3, 4 ) ) )</f>
        <v>4</v>
      </c>
      <c r="BK421" s="3">
        <v>6.6350710900473939E-2</v>
      </c>
      <c r="BL421" s="3" t="str">
        <f t="shared" si="45"/>
        <v>0</v>
      </c>
      <c r="BM421" t="str">
        <f ca="1">IF((OFFSET($A$1, 421 - 1, 63 - 1)) &gt;= (OFFSET($A$1, 135 - 1, 7 - 1)), "1","0")</f>
        <v>0</v>
      </c>
      <c r="BN421">
        <f ca="1" xml:space="preserve"> IF( AND( OFFSET($A$1, 421 - 1, 64 - 1) = "1", OFFSET($A$1, 421 - 1, 65 - 1) = "1" ), 1, IF( AND( OFFSET($A$1, 421 - 1, 64 - 1) = "1", OFFSET($A$1, 421 - 1, 65 - 1) = "0" ), 2, IF( AND( OFFSET($A$1, 421 - 1, 64 - 1) = "0", OFFSET($A$1, 421 - 1, 65 - 1) = "1" ), 3, 4 ) ) )</f>
        <v>4</v>
      </c>
    </row>
    <row r="422" spans="58:66" x14ac:dyDescent="0.2">
      <c r="BF422" s="3">
        <v>0.47692307692307689</v>
      </c>
      <c r="BG422" s="3" t="str">
        <f>"0"</f>
        <v>0</v>
      </c>
      <c r="BH422" t="str">
        <f ca="1">IF((OFFSET($A$1, 422 - 1, 58 - 1)) &gt;= (OFFSET($A$1, 96 - 1, 7 - 1)), "1","0")</f>
        <v>0</v>
      </c>
      <c r="BI422">
        <f ca="1" xml:space="preserve"> IF( AND( OFFSET($A$1, 422 - 1, 59 - 1) = "1", OFFSET($A$1, 422 - 1, 60 - 1) = "1" ), 1, IF( AND( OFFSET($A$1, 422 - 1, 59 - 1) = "1", OFFSET($A$1, 422 - 1, 60 - 1) = "0" ), 2, IF( AND( OFFSET($A$1, 422 - 1, 59 - 1) = "0", OFFSET($A$1, 422 - 1, 60 - 1) = "1" ), 3, 4 ) ) )</f>
        <v>4</v>
      </c>
      <c r="BK422" s="3">
        <v>6.6350710900473939E-2</v>
      </c>
      <c r="BL422" s="3" t="str">
        <f t="shared" si="45"/>
        <v>0</v>
      </c>
      <c r="BM422" t="str">
        <f ca="1">IF((OFFSET($A$1, 422 - 1, 63 - 1)) &gt;= (OFFSET($A$1, 135 - 1, 7 - 1)), "1","0")</f>
        <v>0</v>
      </c>
      <c r="BN422">
        <f ca="1" xml:space="preserve"> IF( AND( OFFSET($A$1, 422 - 1, 64 - 1) = "1", OFFSET($A$1, 422 - 1, 65 - 1) = "1" ), 1, IF( AND( OFFSET($A$1, 422 - 1, 64 - 1) = "1", OFFSET($A$1, 422 - 1, 65 - 1) = "0" ), 2, IF( AND( OFFSET($A$1, 422 - 1, 64 - 1) = "0", OFFSET($A$1, 422 - 1, 65 - 1) = "1" ), 3, 4 ) ) )</f>
        <v>4</v>
      </c>
    </row>
    <row r="423" spans="58:66" x14ac:dyDescent="0.2">
      <c r="BF423" s="3">
        <v>0.90579710144927539</v>
      </c>
      <c r="BG423" s="3" t="str">
        <f>"1"</f>
        <v>1</v>
      </c>
      <c r="BH423" t="str">
        <f ca="1">IF((OFFSET($A$1, 423 - 1, 58 - 1)) &gt;= (OFFSET($A$1, 96 - 1, 7 - 1)), "1","0")</f>
        <v>1</v>
      </c>
      <c r="BI423">
        <f ca="1" xml:space="preserve"> IF( AND( OFFSET($A$1, 423 - 1, 59 - 1) = "1", OFFSET($A$1, 423 - 1, 60 - 1) = "1" ), 1, IF( AND( OFFSET($A$1, 423 - 1, 59 - 1) = "1", OFFSET($A$1, 423 - 1, 60 - 1) = "0" ), 2, IF( AND( OFFSET($A$1, 423 - 1, 59 - 1) = "0", OFFSET($A$1, 423 - 1, 60 - 1) = "1" ), 3, 4 ) ) )</f>
        <v>1</v>
      </c>
      <c r="BK423" s="3">
        <v>6.6350710900473939E-2</v>
      </c>
      <c r="BL423" s="3" t="str">
        <f t="shared" si="45"/>
        <v>0</v>
      </c>
      <c r="BM423" t="str">
        <f ca="1">IF((OFFSET($A$1, 423 - 1, 63 - 1)) &gt;= (OFFSET($A$1, 135 - 1, 7 - 1)), "1","0")</f>
        <v>0</v>
      </c>
      <c r="BN423">
        <f ca="1" xml:space="preserve"> IF( AND( OFFSET($A$1, 423 - 1, 64 - 1) = "1", OFFSET($A$1, 423 - 1, 65 - 1) = "1" ), 1, IF( AND( OFFSET($A$1, 423 - 1, 64 - 1) = "1", OFFSET($A$1, 423 - 1, 65 - 1) = "0" ), 2, IF( AND( OFFSET($A$1, 423 - 1, 64 - 1) = "0", OFFSET($A$1, 423 - 1, 65 - 1) = "1" ), 3, 4 ) ) )</f>
        <v>4</v>
      </c>
    </row>
    <row r="424" spans="58:66" x14ac:dyDescent="0.2">
      <c r="BF424" s="3">
        <v>0</v>
      </c>
      <c r="BG424" s="3" t="str">
        <f>"0"</f>
        <v>0</v>
      </c>
      <c r="BH424" t="str">
        <f ca="1">IF((OFFSET($A$1, 424 - 1, 58 - 1)) &gt;= (OFFSET($A$1, 96 - 1, 7 - 1)), "1","0")</f>
        <v>0</v>
      </c>
      <c r="BI424">
        <f ca="1" xml:space="preserve"> IF( AND( OFFSET($A$1, 424 - 1, 59 - 1) = "1", OFFSET($A$1, 424 - 1, 60 - 1) = "1" ), 1, IF( AND( OFFSET($A$1, 424 - 1, 59 - 1) = "1", OFFSET($A$1, 424 - 1, 60 - 1) = "0" ), 2, IF( AND( OFFSET($A$1, 424 - 1, 59 - 1) = "0", OFFSET($A$1, 424 - 1, 60 - 1) = "1" ), 3, 4 ) ) )</f>
        <v>4</v>
      </c>
      <c r="BK424" s="3">
        <v>6.6350710900473939E-2</v>
      </c>
      <c r="BL424" s="3" t="str">
        <f t="shared" si="45"/>
        <v>0</v>
      </c>
      <c r="BM424" t="str">
        <f ca="1">IF((OFFSET($A$1, 424 - 1, 63 - 1)) &gt;= (OFFSET($A$1, 135 - 1, 7 - 1)), "1","0")</f>
        <v>0</v>
      </c>
      <c r="BN424">
        <f ca="1" xml:space="preserve"> IF( AND( OFFSET($A$1, 424 - 1, 64 - 1) = "1", OFFSET($A$1, 424 - 1, 65 - 1) = "1" ), 1, IF( AND( OFFSET($A$1, 424 - 1, 64 - 1) = "1", OFFSET($A$1, 424 - 1, 65 - 1) = "0" ), 2, IF( AND( OFFSET($A$1, 424 - 1, 64 - 1) = "0", OFFSET($A$1, 424 - 1, 65 - 1) = "1" ), 3, 4 ) ) )</f>
        <v>4</v>
      </c>
    </row>
    <row r="425" spans="58:66" x14ac:dyDescent="0.2">
      <c r="BF425" s="3">
        <v>0.36</v>
      </c>
      <c r="BG425" s="3" t="str">
        <f>"0"</f>
        <v>0</v>
      </c>
      <c r="BH425" t="str">
        <f ca="1">IF((OFFSET($A$1, 425 - 1, 58 - 1)) &gt;= (OFFSET($A$1, 96 - 1, 7 - 1)), "1","0")</f>
        <v>0</v>
      </c>
      <c r="BI425">
        <f ca="1" xml:space="preserve"> IF( AND( OFFSET($A$1, 425 - 1, 59 - 1) = "1", OFFSET($A$1, 425 - 1, 60 - 1) = "1" ), 1, IF( AND( OFFSET($A$1, 425 - 1, 59 - 1) = "1", OFFSET($A$1, 425 - 1, 60 - 1) = "0" ), 2, IF( AND( OFFSET($A$1, 425 - 1, 59 - 1) = "0", OFFSET($A$1, 425 - 1, 60 - 1) = "1" ), 3, 4 ) ) )</f>
        <v>4</v>
      </c>
      <c r="BK425" s="3">
        <v>6.6350710900473939E-2</v>
      </c>
      <c r="BL425" s="3" t="str">
        <f t="shared" si="45"/>
        <v>0</v>
      </c>
      <c r="BM425" t="str">
        <f ca="1">IF((OFFSET($A$1, 425 - 1, 63 - 1)) &gt;= (OFFSET($A$1, 135 - 1, 7 - 1)), "1","0")</f>
        <v>0</v>
      </c>
      <c r="BN425">
        <f ca="1" xml:space="preserve"> IF( AND( OFFSET($A$1, 425 - 1, 64 - 1) = "1", OFFSET($A$1, 425 - 1, 65 - 1) = "1" ), 1, IF( AND( OFFSET($A$1, 425 - 1, 64 - 1) = "1", OFFSET($A$1, 425 - 1, 65 - 1) = "0" ), 2, IF( AND( OFFSET($A$1, 425 - 1, 64 - 1) = "0", OFFSET($A$1, 425 - 1, 65 - 1) = "1" ), 3, 4 ) ) )</f>
        <v>4</v>
      </c>
    </row>
    <row r="426" spans="58:66" x14ac:dyDescent="0.2">
      <c r="BF426" s="3">
        <v>3.7037037037037042E-2</v>
      </c>
      <c r="BG426" s="3" t="str">
        <f>"0"</f>
        <v>0</v>
      </c>
      <c r="BH426" t="str">
        <f ca="1">IF((OFFSET($A$1, 426 - 1, 58 - 1)) &gt;= (OFFSET($A$1, 96 - 1, 7 - 1)), "1","0")</f>
        <v>0</v>
      </c>
      <c r="BI426">
        <f ca="1" xml:space="preserve"> IF( AND( OFFSET($A$1, 426 - 1, 59 - 1) = "1", OFFSET($A$1, 426 - 1, 60 - 1) = "1" ), 1, IF( AND( OFFSET($A$1, 426 - 1, 59 - 1) = "1", OFFSET($A$1, 426 - 1, 60 - 1) = "0" ), 2, IF( AND( OFFSET($A$1, 426 - 1, 59 - 1) = "0", OFFSET($A$1, 426 - 1, 60 - 1) = "1" ), 3, 4 ) ) )</f>
        <v>4</v>
      </c>
      <c r="BK426" s="3">
        <v>6.6350710900473939E-2</v>
      </c>
      <c r="BL426" s="3" t="str">
        <f t="shared" si="45"/>
        <v>0</v>
      </c>
      <c r="BM426" t="str">
        <f ca="1">IF((OFFSET($A$1, 426 - 1, 63 - 1)) &gt;= (OFFSET($A$1, 135 - 1, 7 - 1)), "1","0")</f>
        <v>0</v>
      </c>
      <c r="BN426">
        <f ca="1" xml:space="preserve"> IF( AND( OFFSET($A$1, 426 - 1, 64 - 1) = "1", OFFSET($A$1, 426 - 1, 65 - 1) = "1" ), 1, IF( AND( OFFSET($A$1, 426 - 1, 64 - 1) = "1", OFFSET($A$1, 426 - 1, 65 - 1) = "0" ), 2, IF( AND( OFFSET($A$1, 426 - 1, 64 - 1) = "0", OFFSET($A$1, 426 - 1, 65 - 1) = "1" ), 3, 4 ) ) )</f>
        <v>4</v>
      </c>
    </row>
    <row r="427" spans="58:66" x14ac:dyDescent="0.2">
      <c r="BF427" s="3">
        <v>0.47692307692307689</v>
      </c>
      <c r="BG427" s="3" t="str">
        <f>"1"</f>
        <v>1</v>
      </c>
      <c r="BH427" t="str">
        <f ca="1">IF((OFFSET($A$1, 427 - 1, 58 - 1)) &gt;= (OFFSET($A$1, 96 - 1, 7 - 1)), "1","0")</f>
        <v>0</v>
      </c>
      <c r="BI427">
        <f ca="1" xml:space="preserve"> IF( AND( OFFSET($A$1, 427 - 1, 59 - 1) = "1", OFFSET($A$1, 427 - 1, 60 - 1) = "1" ), 1, IF( AND( OFFSET($A$1, 427 - 1, 59 - 1) = "1", OFFSET($A$1, 427 - 1, 60 - 1) = "0" ), 2, IF( AND( OFFSET($A$1, 427 - 1, 59 - 1) = "0", OFFSET($A$1, 427 - 1, 60 - 1) = "1" ), 3, 4 ) ) )</f>
        <v>2</v>
      </c>
      <c r="BK427" s="3">
        <v>2.5316455696202531E-2</v>
      </c>
      <c r="BL427" s="3" t="str">
        <f t="shared" si="45"/>
        <v>0</v>
      </c>
      <c r="BM427" t="str">
        <f ca="1">IF((OFFSET($A$1, 427 - 1, 63 - 1)) &gt;= (OFFSET($A$1, 135 - 1, 7 - 1)), "1","0")</f>
        <v>0</v>
      </c>
      <c r="BN427">
        <f ca="1" xml:space="preserve"> IF( AND( OFFSET($A$1, 427 - 1, 64 - 1) = "1", OFFSET($A$1, 427 - 1, 65 - 1) = "1" ), 1, IF( AND( OFFSET($A$1, 427 - 1, 64 - 1) = "1", OFFSET($A$1, 427 - 1, 65 - 1) = "0" ), 2, IF( AND( OFFSET($A$1, 427 - 1, 64 - 1) = "0", OFFSET($A$1, 427 - 1, 65 - 1) = "1" ), 3, 4 ) ) )</f>
        <v>4</v>
      </c>
    </row>
    <row r="428" spans="58:66" x14ac:dyDescent="0.2">
      <c r="BF428" s="3">
        <v>0.36</v>
      </c>
      <c r="BG428" s="3" t="str">
        <f t="shared" ref="BG428:BG435" si="46">"0"</f>
        <v>0</v>
      </c>
      <c r="BH428" t="str">
        <f ca="1">IF((OFFSET($A$1, 428 - 1, 58 - 1)) &gt;= (OFFSET($A$1, 96 - 1, 7 - 1)), "1","0")</f>
        <v>0</v>
      </c>
      <c r="BI428">
        <f ca="1" xml:space="preserve"> IF( AND( OFFSET($A$1, 428 - 1, 59 - 1) = "1", OFFSET($A$1, 428 - 1, 60 - 1) = "1" ), 1, IF( AND( OFFSET($A$1, 428 - 1, 59 - 1) = "1", OFFSET($A$1, 428 - 1, 60 - 1) = "0" ), 2, IF( AND( OFFSET($A$1, 428 - 1, 59 - 1) = "0", OFFSET($A$1, 428 - 1, 60 - 1) = "1" ), 3, 4 ) ) )</f>
        <v>4</v>
      </c>
      <c r="BK428" s="3">
        <v>6.6350710900473939E-2</v>
      </c>
      <c r="BL428" s="3" t="str">
        <f t="shared" si="45"/>
        <v>0</v>
      </c>
      <c r="BM428" t="str">
        <f ca="1">IF((OFFSET($A$1, 428 - 1, 63 - 1)) &gt;= (OFFSET($A$1, 135 - 1, 7 - 1)), "1","0")</f>
        <v>0</v>
      </c>
      <c r="BN428">
        <f ca="1" xml:space="preserve"> IF( AND( OFFSET($A$1, 428 - 1, 64 - 1) = "1", OFFSET($A$1, 428 - 1, 65 - 1) = "1" ), 1, IF( AND( OFFSET($A$1, 428 - 1, 64 - 1) = "1", OFFSET($A$1, 428 - 1, 65 - 1) = "0" ), 2, IF( AND( OFFSET($A$1, 428 - 1, 64 - 1) = "0", OFFSET($A$1, 428 - 1, 65 - 1) = "1" ), 3, 4 ) ) )</f>
        <v>4</v>
      </c>
    </row>
    <row r="429" spans="58:66" x14ac:dyDescent="0.2">
      <c r="BF429" s="3">
        <v>0.36</v>
      </c>
      <c r="BG429" s="3" t="str">
        <f t="shared" si="46"/>
        <v>0</v>
      </c>
      <c r="BH429" t="str">
        <f ca="1">IF((OFFSET($A$1, 429 - 1, 58 - 1)) &gt;= (OFFSET($A$1, 96 - 1, 7 - 1)), "1","0")</f>
        <v>0</v>
      </c>
      <c r="BI429">
        <f ca="1" xml:space="preserve"> IF( AND( OFFSET($A$1, 429 - 1, 59 - 1) = "1", OFFSET($A$1, 429 - 1, 60 - 1) = "1" ), 1, IF( AND( OFFSET($A$1, 429 - 1, 59 - 1) = "1", OFFSET($A$1, 429 - 1, 60 - 1) = "0" ), 2, IF( AND( OFFSET($A$1, 429 - 1, 59 - 1) = "0", OFFSET($A$1, 429 - 1, 60 - 1) = "1" ), 3, 4 ) ) )</f>
        <v>4</v>
      </c>
      <c r="BK429" s="3">
        <v>6.6350710900473939E-2</v>
      </c>
      <c r="BL429" s="3" t="str">
        <f t="shared" si="45"/>
        <v>0</v>
      </c>
      <c r="BM429" t="str">
        <f ca="1">IF((OFFSET($A$1, 429 - 1, 63 - 1)) &gt;= (OFFSET($A$1, 135 - 1, 7 - 1)), "1","0")</f>
        <v>0</v>
      </c>
      <c r="BN429">
        <f ca="1" xml:space="preserve"> IF( AND( OFFSET($A$1, 429 - 1, 64 - 1) = "1", OFFSET($A$1, 429 - 1, 65 - 1) = "1" ), 1, IF( AND( OFFSET($A$1, 429 - 1, 64 - 1) = "1", OFFSET($A$1, 429 - 1, 65 - 1) = "0" ), 2, IF( AND( OFFSET($A$1, 429 - 1, 64 - 1) = "0", OFFSET($A$1, 429 - 1, 65 - 1) = "1" ), 3, 4 ) ) )</f>
        <v>4</v>
      </c>
    </row>
    <row r="430" spans="58:66" x14ac:dyDescent="0.2">
      <c r="BF430" s="3">
        <v>0</v>
      </c>
      <c r="BG430" s="3" t="str">
        <f t="shared" si="46"/>
        <v>0</v>
      </c>
      <c r="BH430" t="str">
        <f ca="1">IF((OFFSET($A$1, 430 - 1, 58 - 1)) &gt;= (OFFSET($A$1, 96 - 1, 7 - 1)), "1","0")</f>
        <v>0</v>
      </c>
      <c r="BI430">
        <f ca="1" xml:space="preserve"> IF( AND( OFFSET($A$1, 430 - 1, 59 - 1) = "1", OFFSET($A$1, 430 - 1, 60 - 1) = "1" ), 1, IF( AND( OFFSET($A$1, 430 - 1, 59 - 1) = "1", OFFSET($A$1, 430 - 1, 60 - 1) = "0" ), 2, IF( AND( OFFSET($A$1, 430 - 1, 59 - 1) = "0", OFFSET($A$1, 430 - 1, 60 - 1) = "1" ), 3, 4 ) ) )</f>
        <v>4</v>
      </c>
      <c r="BK430" s="3">
        <v>6.6350710900473939E-2</v>
      </c>
      <c r="BL430" s="3" t="str">
        <f t="shared" si="45"/>
        <v>0</v>
      </c>
      <c r="BM430" t="str">
        <f ca="1">IF((OFFSET($A$1, 430 - 1, 63 - 1)) &gt;= (OFFSET($A$1, 135 - 1, 7 - 1)), "1","0")</f>
        <v>0</v>
      </c>
      <c r="BN430">
        <f ca="1" xml:space="preserve"> IF( AND( OFFSET($A$1, 430 - 1, 64 - 1) = "1", OFFSET($A$1, 430 - 1, 65 - 1) = "1" ), 1, IF( AND( OFFSET($A$1, 430 - 1, 64 - 1) = "1", OFFSET($A$1, 430 - 1, 65 - 1) = "0" ), 2, IF( AND( OFFSET($A$1, 430 - 1, 64 - 1) = "0", OFFSET($A$1, 430 - 1, 65 - 1) = "1" ), 3, 4 ) ) )</f>
        <v>4</v>
      </c>
    </row>
    <row r="431" spans="58:66" x14ac:dyDescent="0.2">
      <c r="BF431" s="3">
        <v>0</v>
      </c>
      <c r="BG431" s="3" t="str">
        <f t="shared" si="46"/>
        <v>0</v>
      </c>
      <c r="BH431" t="str">
        <f ca="1">IF((OFFSET($A$1, 431 - 1, 58 - 1)) &gt;= (OFFSET($A$1, 96 - 1, 7 - 1)), "1","0")</f>
        <v>0</v>
      </c>
      <c r="BI431">
        <f ca="1" xml:space="preserve"> IF( AND( OFFSET($A$1, 431 - 1, 59 - 1) = "1", OFFSET($A$1, 431 - 1, 60 - 1) = "1" ), 1, IF( AND( OFFSET($A$1, 431 - 1, 59 - 1) = "1", OFFSET($A$1, 431 - 1, 60 - 1) = "0" ), 2, IF( AND( OFFSET($A$1, 431 - 1, 59 - 1) = "0", OFFSET($A$1, 431 - 1, 60 - 1) = "1" ), 3, 4 ) ) )</f>
        <v>4</v>
      </c>
      <c r="BK431" s="3">
        <v>6.6350710900473939E-2</v>
      </c>
      <c r="BL431" s="3" t="str">
        <f t="shared" si="45"/>
        <v>0</v>
      </c>
      <c r="BM431" t="str">
        <f ca="1">IF((OFFSET($A$1, 431 - 1, 63 - 1)) &gt;= (OFFSET($A$1, 135 - 1, 7 - 1)), "1","0")</f>
        <v>0</v>
      </c>
      <c r="BN431">
        <f ca="1" xml:space="preserve"> IF( AND( OFFSET($A$1, 431 - 1, 64 - 1) = "1", OFFSET($A$1, 431 - 1, 65 - 1) = "1" ), 1, IF( AND( OFFSET($A$1, 431 - 1, 64 - 1) = "1", OFFSET($A$1, 431 - 1, 65 - 1) = "0" ), 2, IF( AND( OFFSET($A$1, 431 - 1, 64 - 1) = "0", OFFSET($A$1, 431 - 1, 65 - 1) = "1" ), 3, 4 ) ) )</f>
        <v>4</v>
      </c>
    </row>
    <row r="432" spans="58:66" x14ac:dyDescent="0.2">
      <c r="BF432" s="3">
        <v>3.7037037037037042E-2</v>
      </c>
      <c r="BG432" s="3" t="str">
        <f t="shared" si="46"/>
        <v>0</v>
      </c>
      <c r="BH432" t="str">
        <f ca="1">IF((OFFSET($A$1, 432 - 1, 58 - 1)) &gt;= (OFFSET($A$1, 96 - 1, 7 - 1)), "1","0")</f>
        <v>0</v>
      </c>
      <c r="BI432">
        <f ca="1" xml:space="preserve"> IF( AND( OFFSET($A$1, 432 - 1, 59 - 1) = "1", OFFSET($A$1, 432 - 1, 60 - 1) = "1" ), 1, IF( AND( OFFSET($A$1, 432 - 1, 59 - 1) = "1", OFFSET($A$1, 432 - 1, 60 - 1) = "0" ), 2, IF( AND( OFFSET($A$1, 432 - 1, 59 - 1) = "0", OFFSET($A$1, 432 - 1, 60 - 1) = "1" ), 3, 4 ) ) )</f>
        <v>4</v>
      </c>
      <c r="BK432" s="3">
        <v>6.6350710900473939E-2</v>
      </c>
      <c r="BL432" s="3" t="str">
        <f>"1"</f>
        <v>1</v>
      </c>
      <c r="BM432" t="str">
        <f ca="1">IF((OFFSET($A$1, 432 - 1, 63 - 1)) &gt;= (OFFSET($A$1, 135 - 1, 7 - 1)), "1","0")</f>
        <v>0</v>
      </c>
      <c r="BN432">
        <f ca="1" xml:space="preserve"> IF( AND( OFFSET($A$1, 432 - 1, 64 - 1) = "1", OFFSET($A$1, 432 - 1, 65 - 1) = "1" ), 1, IF( AND( OFFSET($A$1, 432 - 1, 64 - 1) = "1", OFFSET($A$1, 432 - 1, 65 - 1) = "0" ), 2, IF( AND( OFFSET($A$1, 432 - 1, 64 - 1) = "0", OFFSET($A$1, 432 - 1, 65 - 1) = "1" ), 3, 4 ) ) )</f>
        <v>2</v>
      </c>
    </row>
    <row r="433" spans="58:66" x14ac:dyDescent="0.2">
      <c r="BF433" s="3">
        <v>0</v>
      </c>
      <c r="BG433" s="3" t="str">
        <f t="shared" si="46"/>
        <v>0</v>
      </c>
      <c r="BH433" t="str">
        <f ca="1">IF((OFFSET($A$1, 433 - 1, 58 - 1)) &gt;= (OFFSET($A$1, 96 - 1, 7 - 1)), "1","0")</f>
        <v>0</v>
      </c>
      <c r="BI433">
        <f ca="1" xml:space="preserve"> IF( AND( OFFSET($A$1, 433 - 1, 59 - 1) = "1", OFFSET($A$1, 433 - 1, 60 - 1) = "1" ), 1, IF( AND( OFFSET($A$1, 433 - 1, 59 - 1) = "1", OFFSET($A$1, 433 - 1, 60 - 1) = "0" ), 2, IF( AND( OFFSET($A$1, 433 - 1, 59 - 1) = "0", OFFSET($A$1, 433 - 1, 60 - 1) = "1" ), 3, 4 ) ) )</f>
        <v>4</v>
      </c>
      <c r="BK433" s="3">
        <v>6.6350710900473939E-2</v>
      </c>
      <c r="BL433" s="3" t="str">
        <f>"0"</f>
        <v>0</v>
      </c>
      <c r="BM433" t="str">
        <f ca="1">IF((OFFSET($A$1, 433 - 1, 63 - 1)) &gt;= (OFFSET($A$1, 135 - 1, 7 - 1)), "1","0")</f>
        <v>0</v>
      </c>
      <c r="BN433">
        <f ca="1" xml:space="preserve"> IF( AND( OFFSET($A$1, 433 - 1, 64 - 1) = "1", OFFSET($A$1, 433 - 1, 65 - 1) = "1" ), 1, IF( AND( OFFSET($A$1, 433 - 1, 64 - 1) = "1", OFFSET($A$1, 433 - 1, 65 - 1) = "0" ), 2, IF( AND( OFFSET($A$1, 433 - 1, 64 - 1) = "0", OFFSET($A$1, 433 - 1, 65 - 1) = "1" ), 3, 4 ) ) )</f>
        <v>4</v>
      </c>
    </row>
    <row r="434" spans="58:66" x14ac:dyDescent="0.2">
      <c r="BF434" s="3">
        <v>0</v>
      </c>
      <c r="BG434" s="3" t="str">
        <f t="shared" si="46"/>
        <v>0</v>
      </c>
      <c r="BH434" t="str">
        <f ca="1">IF((OFFSET($A$1, 434 - 1, 58 - 1)) &gt;= (OFFSET($A$1, 96 - 1, 7 - 1)), "1","0")</f>
        <v>0</v>
      </c>
      <c r="BI434">
        <f ca="1" xml:space="preserve"> IF( AND( OFFSET($A$1, 434 - 1, 59 - 1) = "1", OFFSET($A$1, 434 - 1, 60 - 1) = "1" ), 1, IF( AND( OFFSET($A$1, 434 - 1, 59 - 1) = "1", OFFSET($A$1, 434 - 1, 60 - 1) = "0" ), 2, IF( AND( OFFSET($A$1, 434 - 1, 59 - 1) = "0", OFFSET($A$1, 434 - 1, 60 - 1) = "1" ), 3, 4 ) ) )</f>
        <v>4</v>
      </c>
      <c r="BK434" s="3">
        <v>6.6350710900473939E-2</v>
      </c>
      <c r="BL434" s="3" t="str">
        <f>"0"</f>
        <v>0</v>
      </c>
      <c r="BM434" t="str">
        <f ca="1">IF((OFFSET($A$1, 434 - 1, 63 - 1)) &gt;= (OFFSET($A$1, 135 - 1, 7 - 1)), "1","0")</f>
        <v>0</v>
      </c>
      <c r="BN434">
        <f ca="1" xml:space="preserve"> IF( AND( OFFSET($A$1, 434 - 1, 64 - 1) = "1", OFFSET($A$1, 434 - 1, 65 - 1) = "1" ), 1, IF( AND( OFFSET($A$1, 434 - 1, 64 - 1) = "1", OFFSET($A$1, 434 - 1, 65 - 1) = "0" ), 2, IF( AND( OFFSET($A$1, 434 - 1, 64 - 1) = "0", OFFSET($A$1, 434 - 1, 65 - 1) = "1" ), 3, 4 ) ) )</f>
        <v>4</v>
      </c>
    </row>
    <row r="435" spans="58:66" x14ac:dyDescent="0.2">
      <c r="BF435" s="3">
        <v>0</v>
      </c>
      <c r="BG435" s="3" t="str">
        <f t="shared" si="46"/>
        <v>0</v>
      </c>
      <c r="BH435" t="str">
        <f ca="1">IF((OFFSET($A$1, 435 - 1, 58 - 1)) &gt;= (OFFSET($A$1, 96 - 1, 7 - 1)), "1","0")</f>
        <v>0</v>
      </c>
      <c r="BI435">
        <f ca="1" xml:space="preserve"> IF( AND( OFFSET($A$1, 435 - 1, 59 - 1) = "1", OFFSET($A$1, 435 - 1, 60 - 1) = "1" ), 1, IF( AND( OFFSET($A$1, 435 - 1, 59 - 1) = "1", OFFSET($A$1, 435 - 1, 60 - 1) = "0" ), 2, IF( AND( OFFSET($A$1, 435 - 1, 59 - 1) = "0", OFFSET($A$1, 435 - 1, 60 - 1) = "1" ), 3, 4 ) ) )</f>
        <v>4</v>
      </c>
      <c r="BK435" s="3">
        <v>6.6350710900473939E-2</v>
      </c>
      <c r="BL435" s="3" t="str">
        <f>"0"</f>
        <v>0</v>
      </c>
      <c r="BM435" t="str">
        <f ca="1">IF((OFFSET($A$1, 435 - 1, 63 - 1)) &gt;= (OFFSET($A$1, 135 - 1, 7 - 1)), "1","0")</f>
        <v>0</v>
      </c>
      <c r="BN435">
        <f ca="1" xml:space="preserve"> IF( AND( OFFSET($A$1, 435 - 1, 64 - 1) = "1", OFFSET($A$1, 435 - 1, 65 - 1) = "1" ), 1, IF( AND( OFFSET($A$1, 435 - 1, 64 - 1) = "1", OFFSET($A$1, 435 - 1, 65 - 1) = "0" ), 2, IF( AND( OFFSET($A$1, 435 - 1, 64 - 1) = "0", OFFSET($A$1, 435 - 1, 65 - 1) = "1" ), 3, 4 ) ) )</f>
        <v>4</v>
      </c>
    </row>
    <row r="436" spans="58:66" x14ac:dyDescent="0.2">
      <c r="BF436" s="3">
        <v>0.34722222222222221</v>
      </c>
      <c r="BG436" s="3" t="str">
        <f>"1"</f>
        <v>1</v>
      </c>
      <c r="BH436" t="str">
        <f ca="1">IF((OFFSET($A$1, 436 - 1, 58 - 1)) &gt;= (OFFSET($A$1, 96 - 1, 7 - 1)), "1","0")</f>
        <v>0</v>
      </c>
      <c r="BI436">
        <f ca="1" xml:space="preserve"> IF( AND( OFFSET($A$1, 436 - 1, 59 - 1) = "1", OFFSET($A$1, 436 - 1, 60 - 1) = "1" ), 1, IF( AND( OFFSET($A$1, 436 - 1, 59 - 1) = "1", OFFSET($A$1, 436 - 1, 60 - 1) = "0" ), 2, IF( AND( OFFSET($A$1, 436 - 1, 59 - 1) = "0", OFFSET($A$1, 436 - 1, 60 - 1) = "1" ), 3, 4 ) ) )</f>
        <v>2</v>
      </c>
      <c r="BK436" s="3">
        <v>6.6350710900473939E-2</v>
      </c>
      <c r="BL436" s="3" t="str">
        <f>"1"</f>
        <v>1</v>
      </c>
      <c r="BM436" t="str">
        <f ca="1">IF((OFFSET($A$1, 436 - 1, 63 - 1)) &gt;= (OFFSET($A$1, 135 - 1, 7 - 1)), "1","0")</f>
        <v>0</v>
      </c>
      <c r="BN436">
        <f ca="1" xml:space="preserve"> IF( AND( OFFSET($A$1, 436 - 1, 64 - 1) = "1", OFFSET($A$1, 436 - 1, 65 - 1) = "1" ), 1, IF( AND( OFFSET($A$1, 436 - 1, 64 - 1) = "1", OFFSET($A$1, 436 - 1, 65 - 1) = "0" ), 2, IF( AND( OFFSET($A$1, 436 - 1, 64 - 1) = "0", OFFSET($A$1, 436 - 1, 65 - 1) = "1" ), 3, 4 ) ) )</f>
        <v>2</v>
      </c>
    </row>
    <row r="437" spans="58:66" x14ac:dyDescent="0.2">
      <c r="BF437" s="3">
        <v>3.7037037037037042E-2</v>
      </c>
      <c r="BG437" s="3" t="str">
        <f>"0"</f>
        <v>0</v>
      </c>
      <c r="BH437" t="str">
        <f ca="1">IF((OFFSET($A$1, 437 - 1, 58 - 1)) &gt;= (OFFSET($A$1, 96 - 1, 7 - 1)), "1","0")</f>
        <v>0</v>
      </c>
      <c r="BI437">
        <f ca="1" xml:space="preserve"> IF( AND( OFFSET($A$1, 437 - 1, 59 - 1) = "1", OFFSET($A$1, 437 - 1, 60 - 1) = "1" ), 1, IF( AND( OFFSET($A$1, 437 - 1, 59 - 1) = "1", OFFSET($A$1, 437 - 1, 60 - 1) = "0" ), 2, IF( AND( OFFSET($A$1, 437 - 1, 59 - 1) = "0", OFFSET($A$1, 437 - 1, 60 - 1) = "1" ), 3, 4 ) ) )</f>
        <v>4</v>
      </c>
      <c r="BK437" s="3">
        <v>2.5316455696202531E-2</v>
      </c>
      <c r="BL437" s="3" t="str">
        <f>"0"</f>
        <v>0</v>
      </c>
      <c r="BM437" t="str">
        <f ca="1">IF((OFFSET($A$1, 437 - 1, 63 - 1)) &gt;= (OFFSET($A$1, 135 - 1, 7 - 1)), "1","0")</f>
        <v>0</v>
      </c>
      <c r="BN437">
        <f ca="1" xml:space="preserve"> IF( AND( OFFSET($A$1, 437 - 1, 64 - 1) = "1", OFFSET($A$1, 437 - 1, 65 - 1) = "1" ), 1, IF( AND( OFFSET($A$1, 437 - 1, 64 - 1) = "1", OFFSET($A$1, 437 - 1, 65 - 1) = "0" ), 2, IF( AND( OFFSET($A$1, 437 - 1, 64 - 1) = "0", OFFSET($A$1, 437 - 1, 65 - 1) = "1" ), 3, 4 ) ) )</f>
        <v>4</v>
      </c>
    </row>
    <row r="438" spans="58:66" x14ac:dyDescent="0.2">
      <c r="BF438" s="3">
        <v>0</v>
      </c>
      <c r="BG438" s="3" t="str">
        <f>"0"</f>
        <v>0</v>
      </c>
      <c r="BH438" t="str">
        <f ca="1">IF((OFFSET($A$1, 438 - 1, 58 - 1)) &gt;= (OFFSET($A$1, 96 - 1, 7 - 1)), "1","0")</f>
        <v>0</v>
      </c>
      <c r="BI438">
        <f ca="1" xml:space="preserve"> IF( AND( OFFSET($A$1, 438 - 1, 59 - 1) = "1", OFFSET($A$1, 438 - 1, 60 - 1) = "1" ), 1, IF( AND( OFFSET($A$1, 438 - 1, 59 - 1) = "1", OFFSET($A$1, 438 - 1, 60 - 1) = "0" ), 2, IF( AND( OFFSET($A$1, 438 - 1, 59 - 1) = "0", OFFSET($A$1, 438 - 1, 60 - 1) = "1" ), 3, 4 ) ) )</f>
        <v>4</v>
      </c>
      <c r="BK438" s="3">
        <v>2.5316455696202531E-2</v>
      </c>
      <c r="BL438" s="3" t="str">
        <f>"0"</f>
        <v>0</v>
      </c>
      <c r="BM438" t="str">
        <f ca="1">IF((OFFSET($A$1, 438 - 1, 63 - 1)) &gt;= (OFFSET($A$1, 135 - 1, 7 - 1)), "1","0")</f>
        <v>0</v>
      </c>
      <c r="BN438">
        <f ca="1" xml:space="preserve"> IF( AND( OFFSET($A$1, 438 - 1, 64 - 1) = "1", OFFSET($A$1, 438 - 1, 65 - 1) = "1" ), 1, IF( AND( OFFSET($A$1, 438 - 1, 64 - 1) = "1", OFFSET($A$1, 438 - 1, 65 - 1) = "0" ), 2, IF( AND( OFFSET($A$1, 438 - 1, 64 - 1) = "0", OFFSET($A$1, 438 - 1, 65 - 1) = "1" ), 3, 4 ) ) )</f>
        <v>4</v>
      </c>
    </row>
    <row r="439" spans="58:66" x14ac:dyDescent="0.2">
      <c r="BF439" s="3">
        <v>0</v>
      </c>
      <c r="BG439" s="3" t="str">
        <f>"0"</f>
        <v>0</v>
      </c>
      <c r="BH439" t="str">
        <f ca="1">IF((OFFSET($A$1, 439 - 1, 58 - 1)) &gt;= (OFFSET($A$1, 96 - 1, 7 - 1)), "1","0")</f>
        <v>0</v>
      </c>
      <c r="BI439">
        <f ca="1" xml:space="preserve"> IF( AND( OFFSET($A$1, 439 - 1, 59 - 1) = "1", OFFSET($A$1, 439 - 1, 60 - 1) = "1" ), 1, IF( AND( OFFSET($A$1, 439 - 1, 59 - 1) = "1", OFFSET($A$1, 439 - 1, 60 - 1) = "0" ), 2, IF( AND( OFFSET($A$1, 439 - 1, 59 - 1) = "0", OFFSET($A$1, 439 - 1, 60 - 1) = "1" ), 3, 4 ) ) )</f>
        <v>4</v>
      </c>
      <c r="BK439" s="3">
        <v>6.6350710900473939E-2</v>
      </c>
      <c r="BL439" s="3" t="str">
        <f>"1"</f>
        <v>1</v>
      </c>
      <c r="BM439" t="str">
        <f ca="1">IF((OFFSET($A$1, 439 - 1, 63 - 1)) &gt;= (OFFSET($A$1, 135 - 1, 7 - 1)), "1","0")</f>
        <v>0</v>
      </c>
      <c r="BN439">
        <f ca="1" xml:space="preserve"> IF( AND( OFFSET($A$1, 439 - 1, 64 - 1) = "1", OFFSET($A$1, 439 - 1, 65 - 1) = "1" ), 1, IF( AND( OFFSET($A$1, 439 - 1, 64 - 1) = "1", OFFSET($A$1, 439 - 1, 65 - 1) = "0" ), 2, IF( AND( OFFSET($A$1, 439 - 1, 64 - 1) = "0", OFFSET($A$1, 439 - 1, 65 - 1) = "1" ), 3, 4 ) ) )</f>
        <v>2</v>
      </c>
    </row>
    <row r="440" spans="58:66" x14ac:dyDescent="0.2">
      <c r="BF440" s="3">
        <v>0.36</v>
      </c>
      <c r="BG440" s="3" t="str">
        <f>"0"</f>
        <v>0</v>
      </c>
      <c r="BH440" t="str">
        <f ca="1">IF((OFFSET($A$1, 440 - 1, 58 - 1)) &gt;= (OFFSET($A$1, 96 - 1, 7 - 1)), "1","0")</f>
        <v>0</v>
      </c>
      <c r="BI440">
        <f ca="1" xml:space="preserve"> IF( AND( OFFSET($A$1, 440 - 1, 59 - 1) = "1", OFFSET($A$1, 440 - 1, 60 - 1) = "1" ), 1, IF( AND( OFFSET($A$1, 440 - 1, 59 - 1) = "1", OFFSET($A$1, 440 - 1, 60 - 1) = "0" ), 2, IF( AND( OFFSET($A$1, 440 - 1, 59 - 1) = "0", OFFSET($A$1, 440 - 1, 60 - 1) = "1" ), 3, 4 ) ) )</f>
        <v>4</v>
      </c>
      <c r="BK440" s="3">
        <v>0.90579710144927539</v>
      </c>
      <c r="BL440" s="3" t="str">
        <f>"1"</f>
        <v>1</v>
      </c>
      <c r="BM440" t="str">
        <f ca="1">IF((OFFSET($A$1, 440 - 1, 63 - 1)) &gt;= (OFFSET($A$1, 135 - 1, 7 - 1)), "1","0")</f>
        <v>1</v>
      </c>
      <c r="BN440">
        <f ca="1" xml:space="preserve"> IF( AND( OFFSET($A$1, 440 - 1, 64 - 1) = "1", OFFSET($A$1, 440 - 1, 65 - 1) = "1" ), 1, IF( AND( OFFSET($A$1, 440 - 1, 64 - 1) = "1", OFFSET($A$1, 440 - 1, 65 - 1) = "0" ), 2, IF( AND( OFFSET($A$1, 440 - 1, 64 - 1) = "0", OFFSET($A$1, 440 - 1, 65 - 1) = "1" ), 3, 4 ) ) )</f>
        <v>1</v>
      </c>
    </row>
    <row r="441" spans="58:66" x14ac:dyDescent="0.2">
      <c r="BF441" s="3">
        <v>0.90579710144927539</v>
      </c>
      <c r="BG441" s="3" t="str">
        <f>"1"</f>
        <v>1</v>
      </c>
      <c r="BH441" t="str">
        <f ca="1">IF((OFFSET($A$1, 441 - 1, 58 - 1)) &gt;= (OFFSET($A$1, 96 - 1, 7 - 1)), "1","0")</f>
        <v>1</v>
      </c>
      <c r="BI441">
        <f ca="1" xml:space="preserve"> IF( AND( OFFSET($A$1, 441 - 1, 59 - 1) = "1", OFFSET($A$1, 441 - 1, 60 - 1) = "1" ), 1, IF( AND( OFFSET($A$1, 441 - 1, 59 - 1) = "1", OFFSET($A$1, 441 - 1, 60 - 1) = "0" ), 2, IF( AND( OFFSET($A$1, 441 - 1, 59 - 1) = "0", OFFSET($A$1, 441 - 1, 60 - 1) = "1" ), 3, 4 ) ) )</f>
        <v>1</v>
      </c>
      <c r="BK441" s="3">
        <v>6.6350710900473939E-2</v>
      </c>
      <c r="BL441" s="3" t="str">
        <f>"0"</f>
        <v>0</v>
      </c>
      <c r="BM441" t="str">
        <f ca="1">IF((OFFSET($A$1, 441 - 1, 63 - 1)) &gt;= (OFFSET($A$1, 135 - 1, 7 - 1)), "1","0")</f>
        <v>0</v>
      </c>
      <c r="BN441">
        <f ca="1" xml:space="preserve"> IF( AND( OFFSET($A$1, 441 - 1, 64 - 1) = "1", OFFSET($A$1, 441 - 1, 65 - 1) = "1" ), 1, IF( AND( OFFSET($A$1, 441 - 1, 64 - 1) = "1", OFFSET($A$1, 441 - 1, 65 - 1) = "0" ), 2, IF( AND( OFFSET($A$1, 441 - 1, 64 - 1) = "0", OFFSET($A$1, 441 - 1, 65 - 1) = "1" ), 3, 4 ) ) )</f>
        <v>4</v>
      </c>
    </row>
    <row r="442" spans="58:66" x14ac:dyDescent="0.2">
      <c r="BF442" s="3">
        <v>0.47692307692307689</v>
      </c>
      <c r="BG442" s="3" t="str">
        <f>"1"</f>
        <v>1</v>
      </c>
      <c r="BH442" t="str">
        <f ca="1">IF((OFFSET($A$1, 442 - 1, 58 - 1)) &gt;= (OFFSET($A$1, 96 - 1, 7 - 1)), "1","0")</f>
        <v>0</v>
      </c>
      <c r="BI442">
        <f ca="1" xml:space="preserve"> IF( AND( OFFSET($A$1, 442 - 1, 59 - 1) = "1", OFFSET($A$1, 442 - 1, 60 - 1) = "1" ), 1, IF( AND( OFFSET($A$1, 442 - 1, 59 - 1) = "1", OFFSET($A$1, 442 - 1, 60 - 1) = "0" ), 2, IF( AND( OFFSET($A$1, 442 - 1, 59 - 1) = "0", OFFSET($A$1, 442 - 1, 60 - 1) = "1" ), 3, 4 ) ) )</f>
        <v>2</v>
      </c>
      <c r="BK442" s="3">
        <v>0.90579710144927539</v>
      </c>
      <c r="BL442" s="3" t="str">
        <f>"1"</f>
        <v>1</v>
      </c>
      <c r="BM442" t="str">
        <f ca="1">IF((OFFSET($A$1, 442 - 1, 63 - 1)) &gt;= (OFFSET($A$1, 135 - 1, 7 - 1)), "1","0")</f>
        <v>1</v>
      </c>
      <c r="BN442">
        <f ca="1" xml:space="preserve"> IF( AND( OFFSET($A$1, 442 - 1, 64 - 1) = "1", OFFSET($A$1, 442 - 1, 65 - 1) = "1" ), 1, IF( AND( OFFSET($A$1, 442 - 1, 64 - 1) = "1", OFFSET($A$1, 442 - 1, 65 - 1) = "0" ), 2, IF( AND( OFFSET($A$1, 442 - 1, 64 - 1) = "0", OFFSET($A$1, 442 - 1, 65 - 1) = "1" ), 3, 4 ) ) )</f>
        <v>1</v>
      </c>
    </row>
    <row r="443" spans="58:66" x14ac:dyDescent="0.2">
      <c r="BF443" s="3">
        <v>0.08</v>
      </c>
      <c r="BG443" s="3" t="str">
        <f>"0"</f>
        <v>0</v>
      </c>
      <c r="BH443" t="str">
        <f ca="1">IF((OFFSET($A$1, 443 - 1, 58 - 1)) &gt;= (OFFSET($A$1, 96 - 1, 7 - 1)), "1","0")</f>
        <v>0</v>
      </c>
      <c r="BI443">
        <f ca="1" xml:space="preserve"> IF( AND( OFFSET($A$1, 443 - 1, 59 - 1) = "1", OFFSET($A$1, 443 - 1, 60 - 1) = "1" ), 1, IF( AND( OFFSET($A$1, 443 - 1, 59 - 1) = "1", OFFSET($A$1, 443 - 1, 60 - 1) = "0" ), 2, IF( AND( OFFSET($A$1, 443 - 1, 59 - 1) = "0", OFFSET($A$1, 443 - 1, 60 - 1) = "1" ), 3, 4 ) ) )</f>
        <v>4</v>
      </c>
      <c r="BK443" s="3">
        <v>6.6350710900473939E-2</v>
      </c>
      <c r="BL443" s="3" t="str">
        <f>"0"</f>
        <v>0</v>
      </c>
      <c r="BM443" t="str">
        <f ca="1">IF((OFFSET($A$1, 443 - 1, 63 - 1)) &gt;= (OFFSET($A$1, 135 - 1, 7 - 1)), "1","0")</f>
        <v>0</v>
      </c>
      <c r="BN443">
        <f ca="1" xml:space="preserve"> IF( AND( OFFSET($A$1, 443 - 1, 64 - 1) = "1", OFFSET($A$1, 443 - 1, 65 - 1) = "1" ), 1, IF( AND( OFFSET($A$1, 443 - 1, 64 - 1) = "1", OFFSET($A$1, 443 - 1, 65 - 1) = "0" ), 2, IF( AND( OFFSET($A$1, 443 - 1, 64 - 1) = "0", OFFSET($A$1, 443 - 1, 65 - 1) = "1" ), 3, 4 ) ) )</f>
        <v>4</v>
      </c>
    </row>
    <row r="444" spans="58:66" x14ac:dyDescent="0.2">
      <c r="BF444" s="3">
        <v>0</v>
      </c>
      <c r="BG444" s="3" t="str">
        <f>"0"</f>
        <v>0</v>
      </c>
      <c r="BH444" t="str">
        <f ca="1">IF((OFFSET($A$1, 444 - 1, 58 - 1)) &gt;= (OFFSET($A$1, 96 - 1, 7 - 1)), "1","0")</f>
        <v>0</v>
      </c>
      <c r="BI444">
        <f ca="1" xml:space="preserve"> IF( AND( OFFSET($A$1, 444 - 1, 59 - 1) = "1", OFFSET($A$1, 444 - 1, 60 - 1) = "1" ), 1, IF( AND( OFFSET($A$1, 444 - 1, 59 - 1) = "1", OFFSET($A$1, 444 - 1, 60 - 1) = "0" ), 2, IF( AND( OFFSET($A$1, 444 - 1, 59 - 1) = "0", OFFSET($A$1, 444 - 1, 60 - 1) = "1" ), 3, 4 ) ) )</f>
        <v>4</v>
      </c>
      <c r="BK444" s="3">
        <v>6.6350710900473939E-2</v>
      </c>
      <c r="BL444" s="3" t="str">
        <f>"1"</f>
        <v>1</v>
      </c>
      <c r="BM444" t="str">
        <f ca="1">IF((OFFSET($A$1, 444 - 1, 63 - 1)) &gt;= (OFFSET($A$1, 135 - 1, 7 - 1)), "1","0")</f>
        <v>0</v>
      </c>
      <c r="BN444">
        <f ca="1" xml:space="preserve"> IF( AND( OFFSET($A$1, 444 - 1, 64 - 1) = "1", OFFSET($A$1, 444 - 1, 65 - 1) = "1" ), 1, IF( AND( OFFSET($A$1, 444 - 1, 64 - 1) = "1", OFFSET($A$1, 444 - 1, 65 - 1) = "0" ), 2, IF( AND( OFFSET($A$1, 444 - 1, 64 - 1) = "0", OFFSET($A$1, 444 - 1, 65 - 1) = "1" ), 3, 4 ) ) )</f>
        <v>2</v>
      </c>
    </row>
    <row r="445" spans="58:66" x14ac:dyDescent="0.2">
      <c r="BF445" s="3">
        <v>0.34722222222222221</v>
      </c>
      <c r="BG445" s="3" t="str">
        <f>"1"</f>
        <v>1</v>
      </c>
      <c r="BH445" t="str">
        <f ca="1">IF((OFFSET($A$1, 445 - 1, 58 - 1)) &gt;= (OFFSET($A$1, 96 - 1, 7 - 1)), "1","0")</f>
        <v>0</v>
      </c>
      <c r="BI445">
        <f ca="1" xml:space="preserve"> IF( AND( OFFSET($A$1, 445 - 1, 59 - 1) = "1", OFFSET($A$1, 445 - 1, 60 - 1) = "1" ), 1, IF( AND( OFFSET($A$1, 445 - 1, 59 - 1) = "1", OFFSET($A$1, 445 - 1, 60 - 1) = "0" ), 2, IF( AND( OFFSET($A$1, 445 - 1, 59 - 1) = "0", OFFSET($A$1, 445 - 1, 60 - 1) = "1" ), 3, 4 ) ) )</f>
        <v>2</v>
      </c>
      <c r="BK445" s="3">
        <v>6.6350710900473939E-2</v>
      </c>
      <c r="BL445" s="3" t="str">
        <f t="shared" ref="BL445:BL452" si="47">"0"</f>
        <v>0</v>
      </c>
      <c r="BM445" t="str">
        <f ca="1">IF((OFFSET($A$1, 445 - 1, 63 - 1)) &gt;= (OFFSET($A$1, 135 - 1, 7 - 1)), "1","0")</f>
        <v>0</v>
      </c>
      <c r="BN445">
        <f ca="1" xml:space="preserve"> IF( AND( OFFSET($A$1, 445 - 1, 64 - 1) = "1", OFFSET($A$1, 445 - 1, 65 - 1) = "1" ), 1, IF( AND( OFFSET($A$1, 445 - 1, 64 - 1) = "1", OFFSET($A$1, 445 - 1, 65 - 1) = "0" ), 2, IF( AND( OFFSET($A$1, 445 - 1, 64 - 1) = "0", OFFSET($A$1, 445 - 1, 65 - 1) = "1" ), 3, 4 ) ) )</f>
        <v>4</v>
      </c>
    </row>
    <row r="446" spans="58:66" x14ac:dyDescent="0.2">
      <c r="BF446" s="3">
        <v>0</v>
      </c>
      <c r="BG446" s="3" t="str">
        <f>"0"</f>
        <v>0</v>
      </c>
      <c r="BH446" t="str">
        <f ca="1">IF((OFFSET($A$1, 446 - 1, 58 - 1)) &gt;= (OFFSET($A$1, 96 - 1, 7 - 1)), "1","0")</f>
        <v>0</v>
      </c>
      <c r="BI446">
        <f ca="1" xml:space="preserve"> IF( AND( OFFSET($A$1, 446 - 1, 59 - 1) = "1", OFFSET($A$1, 446 - 1, 60 - 1) = "1" ), 1, IF( AND( OFFSET($A$1, 446 - 1, 59 - 1) = "1", OFFSET($A$1, 446 - 1, 60 - 1) = "0" ), 2, IF( AND( OFFSET($A$1, 446 - 1, 59 - 1) = "0", OFFSET($A$1, 446 - 1, 60 - 1) = "1" ), 3, 4 ) ) )</f>
        <v>4</v>
      </c>
      <c r="BK446" s="3">
        <v>6.6350710900473939E-2</v>
      </c>
      <c r="BL446" s="3" t="str">
        <f t="shared" si="47"/>
        <v>0</v>
      </c>
      <c r="BM446" t="str">
        <f ca="1">IF((OFFSET($A$1, 446 - 1, 63 - 1)) &gt;= (OFFSET($A$1, 135 - 1, 7 - 1)), "1","0")</f>
        <v>0</v>
      </c>
      <c r="BN446">
        <f ca="1" xml:space="preserve"> IF( AND( OFFSET($A$1, 446 - 1, 64 - 1) = "1", OFFSET($A$1, 446 - 1, 65 - 1) = "1" ), 1, IF( AND( OFFSET($A$1, 446 - 1, 64 - 1) = "1", OFFSET($A$1, 446 - 1, 65 - 1) = "0" ), 2, IF( AND( OFFSET($A$1, 446 - 1, 64 - 1) = "0", OFFSET($A$1, 446 - 1, 65 - 1) = "1" ), 3, 4 ) ) )</f>
        <v>4</v>
      </c>
    </row>
    <row r="447" spans="58:66" x14ac:dyDescent="0.2">
      <c r="BF447" s="3">
        <v>0</v>
      </c>
      <c r="BG447" s="3" t="str">
        <f>"0"</f>
        <v>0</v>
      </c>
      <c r="BH447" t="str">
        <f ca="1">IF((OFFSET($A$1, 447 - 1, 58 - 1)) &gt;= (OFFSET($A$1, 96 - 1, 7 - 1)), "1","0")</f>
        <v>0</v>
      </c>
      <c r="BI447">
        <f ca="1" xml:space="preserve"> IF( AND( OFFSET($A$1, 447 - 1, 59 - 1) = "1", OFFSET($A$1, 447 - 1, 60 - 1) = "1" ), 1, IF( AND( OFFSET($A$1, 447 - 1, 59 - 1) = "1", OFFSET($A$1, 447 - 1, 60 - 1) = "0" ), 2, IF( AND( OFFSET($A$1, 447 - 1, 59 - 1) = "0", OFFSET($A$1, 447 - 1, 60 - 1) = "1" ), 3, 4 ) ) )</f>
        <v>4</v>
      </c>
      <c r="BK447" s="3">
        <v>6.6350710900473939E-2</v>
      </c>
      <c r="BL447" s="3" t="str">
        <f t="shared" si="47"/>
        <v>0</v>
      </c>
      <c r="BM447" t="str">
        <f ca="1">IF((OFFSET($A$1, 447 - 1, 63 - 1)) &gt;= (OFFSET($A$1, 135 - 1, 7 - 1)), "1","0")</f>
        <v>0</v>
      </c>
      <c r="BN447">
        <f ca="1" xml:space="preserve"> IF( AND( OFFSET($A$1, 447 - 1, 64 - 1) = "1", OFFSET($A$1, 447 - 1, 65 - 1) = "1" ), 1, IF( AND( OFFSET($A$1, 447 - 1, 64 - 1) = "1", OFFSET($A$1, 447 - 1, 65 - 1) = "0" ), 2, IF( AND( OFFSET($A$1, 447 - 1, 64 - 1) = "0", OFFSET($A$1, 447 - 1, 65 - 1) = "1" ), 3, 4 ) ) )</f>
        <v>4</v>
      </c>
    </row>
    <row r="448" spans="58:66" x14ac:dyDescent="0.2">
      <c r="BF448" s="3">
        <v>0.90579710144927539</v>
      </c>
      <c r="BG448" s="3" t="str">
        <f>"1"</f>
        <v>1</v>
      </c>
      <c r="BH448" t="str">
        <f ca="1">IF((OFFSET($A$1, 448 - 1, 58 - 1)) &gt;= (OFFSET($A$1, 96 - 1, 7 - 1)), "1","0")</f>
        <v>1</v>
      </c>
      <c r="BI448">
        <f ca="1" xml:space="preserve"> IF( AND( OFFSET($A$1, 448 - 1, 59 - 1) = "1", OFFSET($A$1, 448 - 1, 60 - 1) = "1" ), 1, IF( AND( OFFSET($A$1, 448 - 1, 59 - 1) = "1", OFFSET($A$1, 448 - 1, 60 - 1) = "0" ), 2, IF( AND( OFFSET($A$1, 448 - 1, 59 - 1) = "0", OFFSET($A$1, 448 - 1, 60 - 1) = "1" ), 3, 4 ) ) )</f>
        <v>1</v>
      </c>
      <c r="BK448" s="3">
        <v>6.6350710900473939E-2</v>
      </c>
      <c r="BL448" s="3" t="str">
        <f t="shared" si="47"/>
        <v>0</v>
      </c>
      <c r="BM448" t="str">
        <f ca="1">IF((OFFSET($A$1, 448 - 1, 63 - 1)) &gt;= (OFFSET($A$1, 135 - 1, 7 - 1)), "1","0")</f>
        <v>0</v>
      </c>
      <c r="BN448">
        <f ca="1" xml:space="preserve"> IF( AND( OFFSET($A$1, 448 - 1, 64 - 1) = "1", OFFSET($A$1, 448 - 1, 65 - 1) = "1" ), 1, IF( AND( OFFSET($A$1, 448 - 1, 64 - 1) = "1", OFFSET($A$1, 448 - 1, 65 - 1) = "0" ), 2, IF( AND( OFFSET($A$1, 448 - 1, 64 - 1) = "0", OFFSET($A$1, 448 - 1, 65 - 1) = "1" ), 3, 4 ) ) )</f>
        <v>4</v>
      </c>
    </row>
    <row r="449" spans="58:66" x14ac:dyDescent="0.2">
      <c r="BF449" s="3">
        <v>0.47692307692307689</v>
      </c>
      <c r="BG449" s="3" t="str">
        <f>"0"</f>
        <v>0</v>
      </c>
      <c r="BH449" t="str">
        <f ca="1">IF((OFFSET($A$1, 449 - 1, 58 - 1)) &gt;= (OFFSET($A$1, 96 - 1, 7 - 1)), "1","0")</f>
        <v>0</v>
      </c>
      <c r="BI449">
        <f ca="1" xml:space="preserve"> IF( AND( OFFSET($A$1, 449 - 1, 59 - 1) = "1", OFFSET($A$1, 449 - 1, 60 - 1) = "1" ), 1, IF( AND( OFFSET($A$1, 449 - 1, 59 - 1) = "1", OFFSET($A$1, 449 - 1, 60 - 1) = "0" ), 2, IF( AND( OFFSET($A$1, 449 - 1, 59 - 1) = "0", OFFSET($A$1, 449 - 1, 60 - 1) = "1" ), 3, 4 ) ) )</f>
        <v>4</v>
      </c>
      <c r="BK449" s="3">
        <v>6.6350710900473939E-2</v>
      </c>
      <c r="BL449" s="3" t="str">
        <f t="shared" si="47"/>
        <v>0</v>
      </c>
      <c r="BM449" t="str">
        <f ca="1">IF((OFFSET($A$1, 449 - 1, 63 - 1)) &gt;= (OFFSET($A$1, 135 - 1, 7 - 1)), "1","0")</f>
        <v>0</v>
      </c>
      <c r="BN449">
        <f ca="1" xml:space="preserve"> IF( AND( OFFSET($A$1, 449 - 1, 64 - 1) = "1", OFFSET($A$1, 449 - 1, 65 - 1) = "1" ), 1, IF( AND( OFFSET($A$1, 449 - 1, 64 - 1) = "1", OFFSET($A$1, 449 - 1, 65 - 1) = "0" ), 2, IF( AND( OFFSET($A$1, 449 - 1, 64 - 1) = "0", OFFSET($A$1, 449 - 1, 65 - 1) = "1" ), 3, 4 ) ) )</f>
        <v>4</v>
      </c>
    </row>
    <row r="450" spans="58:66" x14ac:dyDescent="0.2">
      <c r="BF450" s="3">
        <v>0</v>
      </c>
      <c r="BG450" s="3" t="str">
        <f>"0"</f>
        <v>0</v>
      </c>
      <c r="BH450" t="str">
        <f ca="1">IF((OFFSET($A$1, 450 - 1, 58 - 1)) &gt;= (OFFSET($A$1, 96 - 1, 7 - 1)), "1","0")</f>
        <v>0</v>
      </c>
      <c r="BI450">
        <f ca="1" xml:space="preserve"> IF( AND( OFFSET($A$1, 450 - 1, 59 - 1) = "1", OFFSET($A$1, 450 - 1, 60 - 1) = "1" ), 1, IF( AND( OFFSET($A$1, 450 - 1, 59 - 1) = "1", OFFSET($A$1, 450 - 1, 60 - 1) = "0" ), 2, IF( AND( OFFSET($A$1, 450 - 1, 59 - 1) = "0", OFFSET($A$1, 450 - 1, 60 - 1) = "1" ), 3, 4 ) ) )</f>
        <v>4</v>
      </c>
      <c r="BK450" s="3">
        <v>6.6350710900473939E-2</v>
      </c>
      <c r="BL450" s="3" t="str">
        <f t="shared" si="47"/>
        <v>0</v>
      </c>
      <c r="BM450" t="str">
        <f ca="1">IF((OFFSET($A$1, 450 - 1, 63 - 1)) &gt;= (OFFSET($A$1, 135 - 1, 7 - 1)), "1","0")</f>
        <v>0</v>
      </c>
      <c r="BN450">
        <f ca="1" xml:space="preserve"> IF( AND( OFFSET($A$1, 450 - 1, 64 - 1) = "1", OFFSET($A$1, 450 - 1, 65 - 1) = "1" ), 1, IF( AND( OFFSET($A$1, 450 - 1, 64 - 1) = "1", OFFSET($A$1, 450 - 1, 65 - 1) = "0" ), 2, IF( AND( OFFSET($A$1, 450 - 1, 64 - 1) = "0", OFFSET($A$1, 450 - 1, 65 - 1) = "1" ), 3, 4 ) ) )</f>
        <v>4</v>
      </c>
    </row>
    <row r="451" spans="58:66" x14ac:dyDescent="0.2">
      <c r="BF451" s="3">
        <v>0</v>
      </c>
      <c r="BG451" s="3" t="str">
        <f>"0"</f>
        <v>0</v>
      </c>
      <c r="BH451" t="str">
        <f ca="1">IF((OFFSET($A$1, 451 - 1, 58 - 1)) &gt;= (OFFSET($A$1, 96 - 1, 7 - 1)), "1","0")</f>
        <v>0</v>
      </c>
      <c r="BI451">
        <f ca="1" xml:space="preserve"> IF( AND( OFFSET($A$1, 451 - 1, 59 - 1) = "1", OFFSET($A$1, 451 - 1, 60 - 1) = "1" ), 1, IF( AND( OFFSET($A$1, 451 - 1, 59 - 1) = "1", OFFSET($A$1, 451 - 1, 60 - 1) = "0" ), 2, IF( AND( OFFSET($A$1, 451 - 1, 59 - 1) = "0", OFFSET($A$1, 451 - 1, 60 - 1) = "1" ), 3, 4 ) ) )</f>
        <v>4</v>
      </c>
      <c r="BK451" s="3">
        <v>0.36</v>
      </c>
      <c r="BL451" s="3" t="str">
        <f t="shared" si="47"/>
        <v>0</v>
      </c>
      <c r="BM451" t="str">
        <f ca="1">IF((OFFSET($A$1, 451 - 1, 63 - 1)) &gt;= (OFFSET($A$1, 135 - 1, 7 - 1)), "1","0")</f>
        <v>0</v>
      </c>
      <c r="BN451">
        <f ca="1" xml:space="preserve"> IF( AND( OFFSET($A$1, 451 - 1, 64 - 1) = "1", OFFSET($A$1, 451 - 1, 65 - 1) = "1" ), 1, IF( AND( OFFSET($A$1, 451 - 1, 64 - 1) = "1", OFFSET($A$1, 451 - 1, 65 - 1) = "0" ), 2, IF( AND( OFFSET($A$1, 451 - 1, 64 - 1) = "0", OFFSET($A$1, 451 - 1, 65 - 1) = "1" ), 3, 4 ) ) )</f>
        <v>4</v>
      </c>
    </row>
    <row r="452" spans="58:66" x14ac:dyDescent="0.2">
      <c r="BF452" s="3">
        <v>0.08</v>
      </c>
      <c r="BG452" s="3" t="str">
        <f>"0"</f>
        <v>0</v>
      </c>
      <c r="BH452" t="str">
        <f ca="1">IF((OFFSET($A$1, 452 - 1, 58 - 1)) &gt;= (OFFSET($A$1, 96 - 1, 7 - 1)), "1","0")</f>
        <v>0</v>
      </c>
      <c r="BI452">
        <f ca="1" xml:space="preserve"> IF( AND( OFFSET($A$1, 452 - 1, 59 - 1) = "1", OFFSET($A$1, 452 - 1, 60 - 1) = "1" ), 1, IF( AND( OFFSET($A$1, 452 - 1, 59 - 1) = "1", OFFSET($A$1, 452 - 1, 60 - 1) = "0" ), 2, IF( AND( OFFSET($A$1, 452 - 1, 59 - 1) = "0", OFFSET($A$1, 452 - 1, 60 - 1) = "1" ), 3, 4 ) ) )</f>
        <v>4</v>
      </c>
      <c r="BK452" s="3">
        <v>6.6350710900473939E-2</v>
      </c>
      <c r="BL452" s="3" t="str">
        <f t="shared" si="47"/>
        <v>0</v>
      </c>
      <c r="BM452" t="str">
        <f ca="1">IF((OFFSET($A$1, 452 - 1, 63 - 1)) &gt;= (OFFSET($A$1, 135 - 1, 7 - 1)), "1","0")</f>
        <v>0</v>
      </c>
      <c r="BN452">
        <f ca="1" xml:space="preserve"> IF( AND( OFFSET($A$1, 452 - 1, 64 - 1) = "1", OFFSET($A$1, 452 - 1, 65 - 1) = "1" ), 1, IF( AND( OFFSET($A$1, 452 - 1, 64 - 1) = "1", OFFSET($A$1, 452 - 1, 65 - 1) = "0" ), 2, IF( AND( OFFSET($A$1, 452 - 1, 64 - 1) = "0", OFFSET($A$1, 452 - 1, 65 - 1) = "1" ), 3, 4 ) ) )</f>
        <v>4</v>
      </c>
    </row>
    <row r="453" spans="58:66" x14ac:dyDescent="0.2">
      <c r="BF453" s="3">
        <v>0.38775510204081637</v>
      </c>
      <c r="BG453" s="3" t="str">
        <f>"1"</f>
        <v>1</v>
      </c>
      <c r="BH453" t="str">
        <f ca="1">IF((OFFSET($A$1, 453 - 1, 58 - 1)) &gt;= (OFFSET($A$1, 96 - 1, 7 - 1)), "1","0")</f>
        <v>0</v>
      </c>
      <c r="BI453">
        <f ca="1" xml:space="preserve"> IF( AND( OFFSET($A$1, 453 - 1, 59 - 1) = "1", OFFSET($A$1, 453 - 1, 60 - 1) = "1" ), 1, IF( AND( OFFSET($A$1, 453 - 1, 59 - 1) = "1", OFFSET($A$1, 453 - 1, 60 - 1) = "0" ), 2, IF( AND( OFFSET($A$1, 453 - 1, 59 - 1) = "0", OFFSET($A$1, 453 - 1, 60 - 1) = "1" ), 3, 4 ) ) )</f>
        <v>2</v>
      </c>
      <c r="BK453" s="3">
        <v>0.36</v>
      </c>
      <c r="BL453" s="3" t="str">
        <f>"1"</f>
        <v>1</v>
      </c>
      <c r="BM453" t="str">
        <f ca="1">IF((OFFSET($A$1, 453 - 1, 63 - 1)) &gt;= (OFFSET($A$1, 135 - 1, 7 - 1)), "1","0")</f>
        <v>0</v>
      </c>
      <c r="BN453">
        <f ca="1" xml:space="preserve"> IF( AND( OFFSET($A$1, 453 - 1, 64 - 1) = "1", OFFSET($A$1, 453 - 1, 65 - 1) = "1" ), 1, IF( AND( OFFSET($A$1, 453 - 1, 64 - 1) = "1", OFFSET($A$1, 453 - 1, 65 - 1) = "0" ), 2, IF( AND( OFFSET($A$1, 453 - 1, 64 - 1) = "0", OFFSET($A$1, 453 - 1, 65 - 1) = "1" ), 3, 4 ) ) )</f>
        <v>2</v>
      </c>
    </row>
    <row r="454" spans="58:66" x14ac:dyDescent="0.2">
      <c r="BF454" s="3">
        <v>0</v>
      </c>
      <c r="BG454" s="3" t="str">
        <f>"0"</f>
        <v>0</v>
      </c>
      <c r="BH454" t="str">
        <f ca="1">IF((OFFSET($A$1, 454 - 1, 58 - 1)) &gt;= (OFFSET($A$1, 96 - 1, 7 - 1)), "1","0")</f>
        <v>0</v>
      </c>
      <c r="BI454">
        <f ca="1" xml:space="preserve"> IF( AND( OFFSET($A$1, 454 - 1, 59 - 1) = "1", OFFSET($A$1, 454 - 1, 60 - 1) = "1" ), 1, IF( AND( OFFSET($A$1, 454 - 1, 59 - 1) = "1", OFFSET($A$1, 454 - 1, 60 - 1) = "0" ), 2, IF( AND( OFFSET($A$1, 454 - 1, 59 - 1) = "0", OFFSET($A$1, 454 - 1, 60 - 1) = "1" ), 3, 4 ) ) )</f>
        <v>4</v>
      </c>
      <c r="BK454" s="3">
        <v>6.6350710900473939E-2</v>
      </c>
      <c r="BL454" s="3" t="str">
        <f>"0"</f>
        <v>0</v>
      </c>
      <c r="BM454" t="str">
        <f ca="1">IF((OFFSET($A$1, 454 - 1, 63 - 1)) &gt;= (OFFSET($A$1, 135 - 1, 7 - 1)), "1","0")</f>
        <v>0</v>
      </c>
      <c r="BN454">
        <f ca="1" xml:space="preserve"> IF( AND( OFFSET($A$1, 454 - 1, 64 - 1) = "1", OFFSET($A$1, 454 - 1, 65 - 1) = "1" ), 1, IF( AND( OFFSET($A$1, 454 - 1, 64 - 1) = "1", OFFSET($A$1, 454 - 1, 65 - 1) = "0" ), 2, IF( AND( OFFSET($A$1, 454 - 1, 64 - 1) = "0", OFFSET($A$1, 454 - 1, 65 - 1) = "1" ), 3, 4 ) ) )</f>
        <v>4</v>
      </c>
    </row>
    <row r="455" spans="58:66" x14ac:dyDescent="0.2">
      <c r="BF455" s="3">
        <v>0</v>
      </c>
      <c r="BG455" s="3" t="str">
        <f>"0"</f>
        <v>0</v>
      </c>
      <c r="BH455" t="str">
        <f ca="1">IF((OFFSET($A$1, 455 - 1, 58 - 1)) &gt;= (OFFSET($A$1, 96 - 1, 7 - 1)), "1","0")</f>
        <v>0</v>
      </c>
      <c r="BI455">
        <f ca="1" xml:space="preserve"> IF( AND( OFFSET($A$1, 455 - 1, 59 - 1) = "1", OFFSET($A$1, 455 - 1, 60 - 1) = "1" ), 1, IF( AND( OFFSET($A$1, 455 - 1, 59 - 1) = "1", OFFSET($A$1, 455 - 1, 60 - 1) = "0" ), 2, IF( AND( OFFSET($A$1, 455 - 1, 59 - 1) = "0", OFFSET($A$1, 455 - 1, 60 - 1) = "1" ), 3, 4 ) ) )</f>
        <v>4</v>
      </c>
      <c r="BK455" s="3">
        <v>6.6350710900473939E-2</v>
      </c>
      <c r="BL455" s="3" t="str">
        <f>"0"</f>
        <v>0</v>
      </c>
      <c r="BM455" t="str">
        <f ca="1">IF((OFFSET($A$1, 455 - 1, 63 - 1)) &gt;= (OFFSET($A$1, 135 - 1, 7 - 1)), "1","0")</f>
        <v>0</v>
      </c>
      <c r="BN455">
        <f ca="1" xml:space="preserve"> IF( AND( OFFSET($A$1, 455 - 1, 64 - 1) = "1", OFFSET($A$1, 455 - 1, 65 - 1) = "1" ), 1, IF( AND( OFFSET($A$1, 455 - 1, 64 - 1) = "1", OFFSET($A$1, 455 - 1, 65 - 1) = "0" ), 2, IF( AND( OFFSET($A$1, 455 - 1, 64 - 1) = "0", OFFSET($A$1, 455 - 1, 65 - 1) = "1" ), 3, 4 ) ) )</f>
        <v>4</v>
      </c>
    </row>
    <row r="456" spans="58:66" x14ac:dyDescent="0.2">
      <c r="BF456" s="3">
        <v>0.90579710144927539</v>
      </c>
      <c r="BG456" s="3" t="str">
        <f>"1"</f>
        <v>1</v>
      </c>
      <c r="BH456" t="str">
        <f ca="1">IF((OFFSET($A$1, 456 - 1, 58 - 1)) &gt;= (OFFSET($A$1, 96 - 1, 7 - 1)), "1","0")</f>
        <v>1</v>
      </c>
      <c r="BI456">
        <f ca="1" xml:space="preserve"> IF( AND( OFFSET($A$1, 456 - 1, 59 - 1) = "1", OFFSET($A$1, 456 - 1, 60 - 1) = "1" ), 1, IF( AND( OFFSET($A$1, 456 - 1, 59 - 1) = "1", OFFSET($A$1, 456 - 1, 60 - 1) = "0" ), 2, IF( AND( OFFSET($A$1, 456 - 1, 59 - 1) = "0", OFFSET($A$1, 456 - 1, 60 - 1) = "1" ), 3, 4 ) ) )</f>
        <v>1</v>
      </c>
      <c r="BK456" s="3">
        <v>6.6350710900473939E-2</v>
      </c>
      <c r="BL456" s="3" t="str">
        <f>"0"</f>
        <v>0</v>
      </c>
      <c r="BM456" t="str">
        <f ca="1">IF((OFFSET($A$1, 456 - 1, 63 - 1)) &gt;= (OFFSET($A$1, 135 - 1, 7 - 1)), "1","0")</f>
        <v>0</v>
      </c>
      <c r="BN456">
        <f ca="1" xml:space="preserve"> IF( AND( OFFSET($A$1, 456 - 1, 64 - 1) = "1", OFFSET($A$1, 456 - 1, 65 - 1) = "1" ), 1, IF( AND( OFFSET($A$1, 456 - 1, 64 - 1) = "1", OFFSET($A$1, 456 - 1, 65 - 1) = "0" ), 2, IF( AND( OFFSET($A$1, 456 - 1, 64 - 1) = "0", OFFSET($A$1, 456 - 1, 65 - 1) = "1" ), 3, 4 ) ) )</f>
        <v>4</v>
      </c>
    </row>
    <row r="457" spans="58:66" x14ac:dyDescent="0.2">
      <c r="BF457" s="3">
        <v>0</v>
      </c>
      <c r="BG457" s="3" t="str">
        <f t="shared" ref="BG457:BG469" si="48">"0"</f>
        <v>0</v>
      </c>
      <c r="BH457" t="str">
        <f ca="1">IF((OFFSET($A$1, 457 - 1, 58 - 1)) &gt;= (OFFSET($A$1, 96 - 1, 7 - 1)), "1","0")</f>
        <v>0</v>
      </c>
      <c r="BI457">
        <f ca="1" xml:space="preserve"> IF( AND( OFFSET($A$1, 457 - 1, 59 - 1) = "1", OFFSET($A$1, 457 - 1, 60 - 1) = "1" ), 1, IF( AND( OFFSET($A$1, 457 - 1, 59 - 1) = "1", OFFSET($A$1, 457 - 1, 60 - 1) = "0" ), 2, IF( AND( OFFSET($A$1, 457 - 1, 59 - 1) = "0", OFFSET($A$1, 457 - 1, 60 - 1) = "1" ), 3, 4 ) ) )</f>
        <v>4</v>
      </c>
      <c r="BK457" s="3">
        <v>2.5316455696202531E-2</v>
      </c>
      <c r="BL457" s="3" t="str">
        <f>"0"</f>
        <v>0</v>
      </c>
      <c r="BM457" t="str">
        <f ca="1">IF((OFFSET($A$1, 457 - 1, 63 - 1)) &gt;= (OFFSET($A$1, 135 - 1, 7 - 1)), "1","0")</f>
        <v>0</v>
      </c>
      <c r="BN457">
        <f ca="1" xml:space="preserve"> IF( AND( OFFSET($A$1, 457 - 1, 64 - 1) = "1", OFFSET($A$1, 457 - 1, 65 - 1) = "1" ), 1, IF( AND( OFFSET($A$1, 457 - 1, 64 - 1) = "1", OFFSET($A$1, 457 - 1, 65 - 1) = "0" ), 2, IF( AND( OFFSET($A$1, 457 - 1, 64 - 1) = "0", OFFSET($A$1, 457 - 1, 65 - 1) = "1" ), 3, 4 ) ) )</f>
        <v>4</v>
      </c>
    </row>
    <row r="458" spans="58:66" x14ac:dyDescent="0.2">
      <c r="BF458" s="3">
        <v>0</v>
      </c>
      <c r="BG458" s="3" t="str">
        <f t="shared" si="48"/>
        <v>0</v>
      </c>
      <c r="BH458" t="str">
        <f ca="1">IF((OFFSET($A$1, 458 - 1, 58 - 1)) &gt;= (OFFSET($A$1, 96 - 1, 7 - 1)), "1","0")</f>
        <v>0</v>
      </c>
      <c r="BI458">
        <f ca="1" xml:space="preserve"> IF( AND( OFFSET($A$1, 458 - 1, 59 - 1) = "1", OFFSET($A$1, 458 - 1, 60 - 1) = "1" ), 1, IF( AND( OFFSET($A$1, 458 - 1, 59 - 1) = "1", OFFSET($A$1, 458 - 1, 60 - 1) = "0" ), 2, IF( AND( OFFSET($A$1, 458 - 1, 59 - 1) = "0", OFFSET($A$1, 458 - 1, 60 - 1) = "1" ), 3, 4 ) ) )</f>
        <v>4</v>
      </c>
      <c r="BK458" s="3">
        <v>6.6350710900473939E-2</v>
      </c>
      <c r="BL458" s="3" t="str">
        <f>"0"</f>
        <v>0</v>
      </c>
      <c r="BM458" t="str">
        <f ca="1">IF((OFFSET($A$1, 458 - 1, 63 - 1)) &gt;= (OFFSET($A$1, 135 - 1, 7 - 1)), "1","0")</f>
        <v>0</v>
      </c>
      <c r="BN458">
        <f ca="1" xml:space="preserve"> IF( AND( OFFSET($A$1, 458 - 1, 64 - 1) = "1", OFFSET($A$1, 458 - 1, 65 - 1) = "1" ), 1, IF( AND( OFFSET($A$1, 458 - 1, 64 - 1) = "1", OFFSET($A$1, 458 - 1, 65 - 1) = "0" ), 2, IF( AND( OFFSET($A$1, 458 - 1, 64 - 1) = "0", OFFSET($A$1, 458 - 1, 65 - 1) = "1" ), 3, 4 ) ) )</f>
        <v>4</v>
      </c>
    </row>
    <row r="459" spans="58:66" x14ac:dyDescent="0.2">
      <c r="BF459" s="3">
        <v>0</v>
      </c>
      <c r="BG459" s="3" t="str">
        <f t="shared" si="48"/>
        <v>0</v>
      </c>
      <c r="BH459" t="str">
        <f ca="1">IF((OFFSET($A$1, 459 - 1, 58 - 1)) &gt;= (OFFSET($A$1, 96 - 1, 7 - 1)), "1","0")</f>
        <v>0</v>
      </c>
      <c r="BI459">
        <f ca="1" xml:space="preserve"> IF( AND( OFFSET($A$1, 459 - 1, 59 - 1) = "1", OFFSET($A$1, 459 - 1, 60 - 1) = "1" ), 1, IF( AND( OFFSET($A$1, 459 - 1, 59 - 1) = "1", OFFSET($A$1, 459 - 1, 60 - 1) = "0" ), 2, IF( AND( OFFSET($A$1, 459 - 1, 59 - 1) = "0", OFFSET($A$1, 459 - 1, 60 - 1) = "1" ), 3, 4 ) ) )</f>
        <v>4</v>
      </c>
      <c r="BK459" s="3">
        <v>2.5316455696202531E-2</v>
      </c>
      <c r="BL459" s="3" t="str">
        <f>"1"</f>
        <v>1</v>
      </c>
      <c r="BM459" t="str">
        <f ca="1">IF((OFFSET($A$1, 459 - 1, 63 - 1)) &gt;= (OFFSET($A$1, 135 - 1, 7 - 1)), "1","0")</f>
        <v>0</v>
      </c>
      <c r="BN459">
        <f ca="1" xml:space="preserve"> IF( AND( OFFSET($A$1, 459 - 1, 64 - 1) = "1", OFFSET($A$1, 459 - 1, 65 - 1) = "1" ), 1, IF( AND( OFFSET($A$1, 459 - 1, 64 - 1) = "1", OFFSET($A$1, 459 - 1, 65 - 1) = "0" ), 2, IF( AND( OFFSET($A$1, 459 - 1, 64 - 1) = "0", OFFSET($A$1, 459 - 1, 65 - 1) = "1" ), 3, 4 ) ) )</f>
        <v>2</v>
      </c>
    </row>
    <row r="460" spans="58:66" x14ac:dyDescent="0.2">
      <c r="BF460" s="3">
        <v>0</v>
      </c>
      <c r="BG460" s="3" t="str">
        <f t="shared" si="48"/>
        <v>0</v>
      </c>
      <c r="BH460" t="str">
        <f ca="1">IF((OFFSET($A$1, 460 - 1, 58 - 1)) &gt;= (OFFSET($A$1, 96 - 1, 7 - 1)), "1","0")</f>
        <v>0</v>
      </c>
      <c r="BI460">
        <f ca="1" xml:space="preserve"> IF( AND( OFFSET($A$1, 460 - 1, 59 - 1) = "1", OFFSET($A$1, 460 - 1, 60 - 1) = "1" ), 1, IF( AND( OFFSET($A$1, 460 - 1, 59 - 1) = "1", OFFSET($A$1, 460 - 1, 60 - 1) = "0" ), 2, IF( AND( OFFSET($A$1, 460 - 1, 59 - 1) = "0", OFFSET($A$1, 460 - 1, 60 - 1) = "1" ), 3, 4 ) ) )</f>
        <v>4</v>
      </c>
      <c r="BK460" s="3">
        <v>6.6350710900473939E-2</v>
      </c>
      <c r="BL460" s="3" t="str">
        <f t="shared" ref="BL460:BL465" si="49">"0"</f>
        <v>0</v>
      </c>
      <c r="BM460" t="str">
        <f ca="1">IF((OFFSET($A$1, 460 - 1, 63 - 1)) &gt;= (OFFSET($A$1, 135 - 1, 7 - 1)), "1","0")</f>
        <v>0</v>
      </c>
      <c r="BN460">
        <f ca="1" xml:space="preserve"> IF( AND( OFFSET($A$1, 460 - 1, 64 - 1) = "1", OFFSET($A$1, 460 - 1, 65 - 1) = "1" ), 1, IF( AND( OFFSET($A$1, 460 - 1, 64 - 1) = "1", OFFSET($A$1, 460 - 1, 65 - 1) = "0" ), 2, IF( AND( OFFSET($A$1, 460 - 1, 64 - 1) = "0", OFFSET($A$1, 460 - 1, 65 - 1) = "1" ), 3, 4 ) ) )</f>
        <v>4</v>
      </c>
    </row>
    <row r="461" spans="58:66" x14ac:dyDescent="0.2">
      <c r="BF461" s="3">
        <v>0.34722222222222221</v>
      </c>
      <c r="BG461" s="3" t="str">
        <f t="shared" si="48"/>
        <v>0</v>
      </c>
      <c r="BH461" t="str">
        <f ca="1">IF((OFFSET($A$1, 461 - 1, 58 - 1)) &gt;= (OFFSET($A$1, 96 - 1, 7 - 1)), "1","0")</f>
        <v>0</v>
      </c>
      <c r="BI461">
        <f ca="1" xml:space="preserve"> IF( AND( OFFSET($A$1, 461 - 1, 59 - 1) = "1", OFFSET($A$1, 461 - 1, 60 - 1) = "1" ), 1, IF( AND( OFFSET($A$1, 461 - 1, 59 - 1) = "1", OFFSET($A$1, 461 - 1, 60 - 1) = "0" ), 2, IF( AND( OFFSET($A$1, 461 - 1, 59 - 1) = "0", OFFSET($A$1, 461 - 1, 60 - 1) = "1" ), 3, 4 ) ) )</f>
        <v>4</v>
      </c>
      <c r="BK461" s="3">
        <v>0.38775510204081637</v>
      </c>
      <c r="BL461" s="3" t="str">
        <f t="shared" si="49"/>
        <v>0</v>
      </c>
      <c r="BM461" t="str">
        <f ca="1">IF((OFFSET($A$1, 461 - 1, 63 - 1)) &gt;= (OFFSET($A$1, 135 - 1, 7 - 1)), "1","0")</f>
        <v>0</v>
      </c>
      <c r="BN461">
        <f ca="1" xml:space="preserve"> IF( AND( OFFSET($A$1, 461 - 1, 64 - 1) = "1", OFFSET($A$1, 461 - 1, 65 - 1) = "1" ), 1, IF( AND( OFFSET($A$1, 461 - 1, 64 - 1) = "1", OFFSET($A$1, 461 - 1, 65 - 1) = "0" ), 2, IF( AND( OFFSET($A$1, 461 - 1, 64 - 1) = "0", OFFSET($A$1, 461 - 1, 65 - 1) = "1" ), 3, 4 ) ) )</f>
        <v>4</v>
      </c>
    </row>
    <row r="462" spans="58:66" x14ac:dyDescent="0.2">
      <c r="BF462" s="3">
        <v>3.7037037037037042E-2</v>
      </c>
      <c r="BG462" s="3" t="str">
        <f t="shared" si="48"/>
        <v>0</v>
      </c>
      <c r="BH462" t="str">
        <f ca="1">IF((OFFSET($A$1, 462 - 1, 58 - 1)) &gt;= (OFFSET($A$1, 96 - 1, 7 - 1)), "1","0")</f>
        <v>0</v>
      </c>
      <c r="BI462">
        <f ca="1" xml:space="preserve"> IF( AND( OFFSET($A$1, 462 - 1, 59 - 1) = "1", OFFSET($A$1, 462 - 1, 60 - 1) = "1" ), 1, IF( AND( OFFSET($A$1, 462 - 1, 59 - 1) = "1", OFFSET($A$1, 462 - 1, 60 - 1) = "0" ), 2, IF( AND( OFFSET($A$1, 462 - 1, 59 - 1) = "0", OFFSET($A$1, 462 - 1, 60 - 1) = "1" ), 3, 4 ) ) )</f>
        <v>4</v>
      </c>
      <c r="BK462" s="3">
        <v>0.36</v>
      </c>
      <c r="BL462" s="3" t="str">
        <f t="shared" si="49"/>
        <v>0</v>
      </c>
      <c r="BM462" t="str">
        <f ca="1">IF((OFFSET($A$1, 462 - 1, 63 - 1)) &gt;= (OFFSET($A$1, 135 - 1, 7 - 1)), "1","0")</f>
        <v>0</v>
      </c>
      <c r="BN462">
        <f ca="1" xml:space="preserve"> IF( AND( OFFSET($A$1, 462 - 1, 64 - 1) = "1", OFFSET($A$1, 462 - 1, 65 - 1) = "1" ), 1, IF( AND( OFFSET($A$1, 462 - 1, 64 - 1) = "1", OFFSET($A$1, 462 - 1, 65 - 1) = "0" ), 2, IF( AND( OFFSET($A$1, 462 - 1, 64 - 1) = "0", OFFSET($A$1, 462 - 1, 65 - 1) = "1" ), 3, 4 ) ) )</f>
        <v>4</v>
      </c>
    </row>
    <row r="463" spans="58:66" x14ac:dyDescent="0.2">
      <c r="BF463" s="3">
        <v>0</v>
      </c>
      <c r="BG463" s="3" t="str">
        <f t="shared" si="48"/>
        <v>0</v>
      </c>
      <c r="BH463" t="str">
        <f ca="1">IF((OFFSET($A$1, 463 - 1, 58 - 1)) &gt;= (OFFSET($A$1, 96 - 1, 7 - 1)), "1","0")</f>
        <v>0</v>
      </c>
      <c r="BI463">
        <f ca="1" xml:space="preserve"> IF( AND( OFFSET($A$1, 463 - 1, 59 - 1) = "1", OFFSET($A$1, 463 - 1, 60 - 1) = "1" ), 1, IF( AND( OFFSET($A$1, 463 - 1, 59 - 1) = "1", OFFSET($A$1, 463 - 1, 60 - 1) = "0" ), 2, IF( AND( OFFSET($A$1, 463 - 1, 59 - 1) = "0", OFFSET($A$1, 463 - 1, 60 - 1) = "1" ), 3, 4 ) ) )</f>
        <v>4</v>
      </c>
      <c r="BK463" s="3">
        <v>6.6350710900473939E-2</v>
      </c>
      <c r="BL463" s="3" t="str">
        <f t="shared" si="49"/>
        <v>0</v>
      </c>
      <c r="BM463" t="str">
        <f ca="1">IF((OFFSET($A$1, 463 - 1, 63 - 1)) &gt;= (OFFSET($A$1, 135 - 1, 7 - 1)), "1","0")</f>
        <v>0</v>
      </c>
      <c r="BN463">
        <f ca="1" xml:space="preserve"> IF( AND( OFFSET($A$1, 463 - 1, 64 - 1) = "1", OFFSET($A$1, 463 - 1, 65 - 1) = "1" ), 1, IF( AND( OFFSET($A$1, 463 - 1, 64 - 1) = "1", OFFSET($A$1, 463 - 1, 65 - 1) = "0" ), 2, IF( AND( OFFSET($A$1, 463 - 1, 64 - 1) = "0", OFFSET($A$1, 463 - 1, 65 - 1) = "1" ), 3, 4 ) ) )</f>
        <v>4</v>
      </c>
    </row>
    <row r="464" spans="58:66" x14ac:dyDescent="0.2">
      <c r="BF464" s="3">
        <v>0</v>
      </c>
      <c r="BG464" s="3" t="str">
        <f t="shared" si="48"/>
        <v>0</v>
      </c>
      <c r="BH464" t="str">
        <f ca="1">IF((OFFSET($A$1, 464 - 1, 58 - 1)) &gt;= (OFFSET($A$1, 96 - 1, 7 - 1)), "1","0")</f>
        <v>0</v>
      </c>
      <c r="BI464">
        <f ca="1" xml:space="preserve"> IF( AND( OFFSET($A$1, 464 - 1, 59 - 1) = "1", OFFSET($A$1, 464 - 1, 60 - 1) = "1" ), 1, IF( AND( OFFSET($A$1, 464 - 1, 59 - 1) = "1", OFFSET($A$1, 464 - 1, 60 - 1) = "0" ), 2, IF( AND( OFFSET($A$1, 464 - 1, 59 - 1) = "0", OFFSET($A$1, 464 - 1, 60 - 1) = "1" ), 3, 4 ) ) )</f>
        <v>4</v>
      </c>
      <c r="BK464" s="3">
        <v>6.6350710900473939E-2</v>
      </c>
      <c r="BL464" s="3" t="str">
        <f t="shared" si="49"/>
        <v>0</v>
      </c>
      <c r="BM464" t="str">
        <f ca="1">IF((OFFSET($A$1, 464 - 1, 63 - 1)) &gt;= (OFFSET($A$1, 135 - 1, 7 - 1)), "1","0")</f>
        <v>0</v>
      </c>
      <c r="BN464">
        <f ca="1" xml:space="preserve"> IF( AND( OFFSET($A$1, 464 - 1, 64 - 1) = "1", OFFSET($A$1, 464 - 1, 65 - 1) = "1" ), 1, IF( AND( OFFSET($A$1, 464 - 1, 64 - 1) = "1", OFFSET($A$1, 464 - 1, 65 - 1) = "0" ), 2, IF( AND( OFFSET($A$1, 464 - 1, 64 - 1) = "0", OFFSET($A$1, 464 - 1, 65 - 1) = "1" ), 3, 4 ) ) )</f>
        <v>4</v>
      </c>
    </row>
    <row r="465" spans="58:66" x14ac:dyDescent="0.2">
      <c r="BF465" s="3">
        <v>0</v>
      </c>
      <c r="BG465" s="3" t="str">
        <f t="shared" si="48"/>
        <v>0</v>
      </c>
      <c r="BH465" t="str">
        <f ca="1">IF((OFFSET($A$1, 465 - 1, 58 - 1)) &gt;= (OFFSET($A$1, 96 - 1, 7 - 1)), "1","0")</f>
        <v>0</v>
      </c>
      <c r="BI465">
        <f ca="1" xml:space="preserve"> IF( AND( OFFSET($A$1, 465 - 1, 59 - 1) = "1", OFFSET($A$1, 465 - 1, 60 - 1) = "1" ), 1, IF( AND( OFFSET($A$1, 465 - 1, 59 - 1) = "1", OFFSET($A$1, 465 - 1, 60 - 1) = "0" ), 2, IF( AND( OFFSET($A$1, 465 - 1, 59 - 1) = "0", OFFSET($A$1, 465 - 1, 60 - 1) = "1" ), 3, 4 ) ) )</f>
        <v>4</v>
      </c>
      <c r="BK465" s="3">
        <v>6.6350710900473939E-2</v>
      </c>
      <c r="BL465" s="3" t="str">
        <f t="shared" si="49"/>
        <v>0</v>
      </c>
      <c r="BM465" t="str">
        <f ca="1">IF((OFFSET($A$1, 465 - 1, 63 - 1)) &gt;= (OFFSET($A$1, 135 - 1, 7 - 1)), "1","0")</f>
        <v>0</v>
      </c>
      <c r="BN465">
        <f ca="1" xml:space="preserve"> IF( AND( OFFSET($A$1, 465 - 1, 64 - 1) = "1", OFFSET($A$1, 465 - 1, 65 - 1) = "1" ), 1, IF( AND( OFFSET($A$1, 465 - 1, 64 - 1) = "1", OFFSET($A$1, 465 - 1, 65 - 1) = "0" ), 2, IF( AND( OFFSET($A$1, 465 - 1, 64 - 1) = "0", OFFSET($A$1, 465 - 1, 65 - 1) = "1" ), 3, 4 ) ) )</f>
        <v>4</v>
      </c>
    </row>
    <row r="466" spans="58:66" x14ac:dyDescent="0.2">
      <c r="BF466" s="3">
        <v>3.7037037037037042E-2</v>
      </c>
      <c r="BG466" s="3" t="str">
        <f t="shared" si="48"/>
        <v>0</v>
      </c>
      <c r="BH466" t="str">
        <f ca="1">IF((OFFSET($A$1, 466 - 1, 58 - 1)) &gt;= (OFFSET($A$1, 96 - 1, 7 - 1)), "1","0")</f>
        <v>0</v>
      </c>
      <c r="BI466">
        <f ca="1" xml:space="preserve"> IF( AND( OFFSET($A$1, 466 - 1, 59 - 1) = "1", OFFSET($A$1, 466 - 1, 60 - 1) = "1" ), 1, IF( AND( OFFSET($A$1, 466 - 1, 59 - 1) = "1", OFFSET($A$1, 466 - 1, 60 - 1) = "0" ), 2, IF( AND( OFFSET($A$1, 466 - 1, 59 - 1) = "0", OFFSET($A$1, 466 - 1, 60 - 1) = "1" ), 3, 4 ) ) )</f>
        <v>4</v>
      </c>
      <c r="BK466" s="3">
        <v>6.6350710900473939E-2</v>
      </c>
      <c r="BL466" s="3" t="str">
        <f>"1"</f>
        <v>1</v>
      </c>
      <c r="BM466" t="str">
        <f ca="1">IF((OFFSET($A$1, 466 - 1, 63 - 1)) &gt;= (OFFSET($A$1, 135 - 1, 7 - 1)), "1","0")</f>
        <v>0</v>
      </c>
      <c r="BN466">
        <f ca="1" xml:space="preserve"> IF( AND( OFFSET($A$1, 466 - 1, 64 - 1) = "1", OFFSET($A$1, 466 - 1, 65 - 1) = "1" ), 1, IF( AND( OFFSET($A$1, 466 - 1, 64 - 1) = "1", OFFSET($A$1, 466 - 1, 65 - 1) = "0" ), 2, IF( AND( OFFSET($A$1, 466 - 1, 64 - 1) = "0", OFFSET($A$1, 466 - 1, 65 - 1) = "1" ), 3, 4 ) ) )</f>
        <v>2</v>
      </c>
    </row>
    <row r="467" spans="58:66" x14ac:dyDescent="0.2">
      <c r="BF467" s="3">
        <v>0</v>
      </c>
      <c r="BG467" s="3" t="str">
        <f t="shared" si="48"/>
        <v>0</v>
      </c>
      <c r="BH467" t="str">
        <f ca="1">IF((OFFSET($A$1, 467 - 1, 58 - 1)) &gt;= (OFFSET($A$1, 96 - 1, 7 - 1)), "1","0")</f>
        <v>0</v>
      </c>
      <c r="BI467">
        <f ca="1" xml:space="preserve"> IF( AND( OFFSET($A$1, 467 - 1, 59 - 1) = "1", OFFSET($A$1, 467 - 1, 60 - 1) = "1" ), 1, IF( AND( OFFSET($A$1, 467 - 1, 59 - 1) = "1", OFFSET($A$1, 467 - 1, 60 - 1) = "0" ), 2, IF( AND( OFFSET($A$1, 467 - 1, 59 - 1) = "0", OFFSET($A$1, 467 - 1, 60 - 1) = "1" ), 3, 4 ) ) )</f>
        <v>4</v>
      </c>
      <c r="BK467" s="3">
        <v>6.6350710900473939E-2</v>
      </c>
      <c r="BL467" s="3" t="str">
        <f t="shared" ref="BL467:BL472" si="50">"0"</f>
        <v>0</v>
      </c>
      <c r="BM467" t="str">
        <f ca="1">IF((OFFSET($A$1, 467 - 1, 63 - 1)) &gt;= (OFFSET($A$1, 135 - 1, 7 - 1)), "1","0")</f>
        <v>0</v>
      </c>
      <c r="BN467">
        <f ca="1" xml:space="preserve"> IF( AND( OFFSET($A$1, 467 - 1, 64 - 1) = "1", OFFSET($A$1, 467 - 1, 65 - 1) = "1" ), 1, IF( AND( OFFSET($A$1, 467 - 1, 64 - 1) = "1", OFFSET($A$1, 467 - 1, 65 - 1) = "0" ), 2, IF( AND( OFFSET($A$1, 467 - 1, 64 - 1) = "0", OFFSET($A$1, 467 - 1, 65 - 1) = "1" ), 3, 4 ) ) )</f>
        <v>4</v>
      </c>
    </row>
    <row r="468" spans="58:66" x14ac:dyDescent="0.2">
      <c r="BF468" s="3">
        <v>0</v>
      </c>
      <c r="BG468" s="3" t="str">
        <f t="shared" si="48"/>
        <v>0</v>
      </c>
      <c r="BH468" t="str">
        <f ca="1">IF((OFFSET($A$1, 468 - 1, 58 - 1)) &gt;= (OFFSET($A$1, 96 - 1, 7 - 1)), "1","0")</f>
        <v>0</v>
      </c>
      <c r="BI468">
        <f ca="1" xml:space="preserve"> IF( AND( OFFSET($A$1, 468 - 1, 59 - 1) = "1", OFFSET($A$1, 468 - 1, 60 - 1) = "1" ), 1, IF( AND( OFFSET($A$1, 468 - 1, 59 - 1) = "1", OFFSET($A$1, 468 - 1, 60 - 1) = "0" ), 2, IF( AND( OFFSET($A$1, 468 - 1, 59 - 1) = "0", OFFSET($A$1, 468 - 1, 60 - 1) = "1" ), 3, 4 ) ) )</f>
        <v>4</v>
      </c>
      <c r="BK468" s="3">
        <v>6.6350710900473939E-2</v>
      </c>
      <c r="BL468" s="3" t="str">
        <f t="shared" si="50"/>
        <v>0</v>
      </c>
      <c r="BM468" t="str">
        <f ca="1">IF((OFFSET($A$1, 468 - 1, 63 - 1)) &gt;= (OFFSET($A$1, 135 - 1, 7 - 1)), "1","0")</f>
        <v>0</v>
      </c>
      <c r="BN468">
        <f ca="1" xml:space="preserve"> IF( AND( OFFSET($A$1, 468 - 1, 64 - 1) = "1", OFFSET($A$1, 468 - 1, 65 - 1) = "1" ), 1, IF( AND( OFFSET($A$1, 468 - 1, 64 - 1) = "1", OFFSET($A$1, 468 - 1, 65 - 1) = "0" ), 2, IF( AND( OFFSET($A$1, 468 - 1, 64 - 1) = "0", OFFSET($A$1, 468 - 1, 65 - 1) = "1" ), 3, 4 ) ) )</f>
        <v>4</v>
      </c>
    </row>
    <row r="469" spans="58:66" x14ac:dyDescent="0.2">
      <c r="BF469" s="3">
        <v>0</v>
      </c>
      <c r="BG469" s="3" t="str">
        <f t="shared" si="48"/>
        <v>0</v>
      </c>
      <c r="BH469" t="str">
        <f ca="1">IF((OFFSET($A$1, 469 - 1, 58 - 1)) &gt;= (OFFSET($A$1, 96 - 1, 7 - 1)), "1","0")</f>
        <v>0</v>
      </c>
      <c r="BI469">
        <f ca="1" xml:space="preserve"> IF( AND( OFFSET($A$1, 469 - 1, 59 - 1) = "1", OFFSET($A$1, 469 - 1, 60 - 1) = "1" ), 1, IF( AND( OFFSET($A$1, 469 - 1, 59 - 1) = "1", OFFSET($A$1, 469 - 1, 60 - 1) = "0" ), 2, IF( AND( OFFSET($A$1, 469 - 1, 59 - 1) = "0", OFFSET($A$1, 469 - 1, 60 - 1) = "1" ), 3, 4 ) ) )</f>
        <v>4</v>
      </c>
      <c r="BK469" s="3">
        <v>2.5316455696202531E-2</v>
      </c>
      <c r="BL469" s="3" t="str">
        <f t="shared" si="50"/>
        <v>0</v>
      </c>
      <c r="BM469" t="str">
        <f ca="1">IF((OFFSET($A$1, 469 - 1, 63 - 1)) &gt;= (OFFSET($A$1, 135 - 1, 7 - 1)), "1","0")</f>
        <v>0</v>
      </c>
      <c r="BN469">
        <f ca="1" xml:space="preserve"> IF( AND( OFFSET($A$1, 469 - 1, 64 - 1) = "1", OFFSET($A$1, 469 - 1, 65 - 1) = "1" ), 1, IF( AND( OFFSET($A$1, 469 - 1, 64 - 1) = "1", OFFSET($A$1, 469 - 1, 65 - 1) = "0" ), 2, IF( AND( OFFSET($A$1, 469 - 1, 64 - 1) = "0", OFFSET($A$1, 469 - 1, 65 - 1) = "1" ), 3, 4 ) ) )</f>
        <v>4</v>
      </c>
    </row>
    <row r="470" spans="58:66" x14ac:dyDescent="0.2">
      <c r="BF470" s="3">
        <v>0.36</v>
      </c>
      <c r="BG470" s="3" t="str">
        <f>"1"</f>
        <v>1</v>
      </c>
      <c r="BH470" t="str">
        <f ca="1">IF((OFFSET($A$1, 470 - 1, 58 - 1)) &gt;= (OFFSET($A$1, 96 - 1, 7 - 1)), "1","0")</f>
        <v>0</v>
      </c>
      <c r="BI470">
        <f ca="1" xml:space="preserve"> IF( AND( OFFSET($A$1, 470 - 1, 59 - 1) = "1", OFFSET($A$1, 470 - 1, 60 - 1) = "1" ), 1, IF( AND( OFFSET($A$1, 470 - 1, 59 - 1) = "1", OFFSET($A$1, 470 - 1, 60 - 1) = "0" ), 2, IF( AND( OFFSET($A$1, 470 - 1, 59 - 1) = "0", OFFSET($A$1, 470 - 1, 60 - 1) = "1" ), 3, 4 ) ) )</f>
        <v>2</v>
      </c>
      <c r="BK470" s="3">
        <v>6.6350710900473939E-2</v>
      </c>
      <c r="BL470" s="3" t="str">
        <f t="shared" si="50"/>
        <v>0</v>
      </c>
      <c r="BM470" t="str">
        <f ca="1">IF((OFFSET($A$1, 470 - 1, 63 - 1)) &gt;= (OFFSET($A$1, 135 - 1, 7 - 1)), "1","0")</f>
        <v>0</v>
      </c>
      <c r="BN470">
        <f ca="1" xml:space="preserve"> IF( AND( OFFSET($A$1, 470 - 1, 64 - 1) = "1", OFFSET($A$1, 470 - 1, 65 - 1) = "1" ), 1, IF( AND( OFFSET($A$1, 470 - 1, 64 - 1) = "1", OFFSET($A$1, 470 - 1, 65 - 1) = "0" ), 2, IF( AND( OFFSET($A$1, 470 - 1, 64 - 1) = "0", OFFSET($A$1, 470 - 1, 65 - 1) = "1" ), 3, 4 ) ) )</f>
        <v>4</v>
      </c>
    </row>
    <row r="471" spans="58:66" x14ac:dyDescent="0.2">
      <c r="BF471" s="3">
        <v>0</v>
      </c>
      <c r="BG471" s="3" t="str">
        <f t="shared" ref="BG471:BG486" si="51">"0"</f>
        <v>0</v>
      </c>
      <c r="BH471" t="str">
        <f ca="1">IF((OFFSET($A$1, 471 - 1, 58 - 1)) &gt;= (OFFSET($A$1, 96 - 1, 7 - 1)), "1","0")</f>
        <v>0</v>
      </c>
      <c r="BI471">
        <f ca="1" xml:space="preserve"> IF( AND( OFFSET($A$1, 471 - 1, 59 - 1) = "1", OFFSET($A$1, 471 - 1, 60 - 1) = "1" ), 1, IF( AND( OFFSET($A$1, 471 - 1, 59 - 1) = "1", OFFSET($A$1, 471 - 1, 60 - 1) = "0" ), 2, IF( AND( OFFSET($A$1, 471 - 1, 59 - 1) = "0", OFFSET($A$1, 471 - 1, 60 - 1) = "1" ), 3, 4 ) ) )</f>
        <v>4</v>
      </c>
      <c r="BK471" s="3">
        <v>6.6350710900473939E-2</v>
      </c>
      <c r="BL471" s="3" t="str">
        <f t="shared" si="50"/>
        <v>0</v>
      </c>
      <c r="BM471" t="str">
        <f ca="1">IF((OFFSET($A$1, 471 - 1, 63 - 1)) &gt;= (OFFSET($A$1, 135 - 1, 7 - 1)), "1","0")</f>
        <v>0</v>
      </c>
      <c r="BN471">
        <f ca="1" xml:space="preserve"> IF( AND( OFFSET($A$1, 471 - 1, 64 - 1) = "1", OFFSET($A$1, 471 - 1, 65 - 1) = "1" ), 1, IF( AND( OFFSET($A$1, 471 - 1, 64 - 1) = "1", OFFSET($A$1, 471 - 1, 65 - 1) = "0" ), 2, IF( AND( OFFSET($A$1, 471 - 1, 64 - 1) = "0", OFFSET($A$1, 471 - 1, 65 - 1) = "1" ), 3, 4 ) ) )</f>
        <v>4</v>
      </c>
    </row>
    <row r="472" spans="58:66" x14ac:dyDescent="0.2">
      <c r="BF472" s="3">
        <v>0.08</v>
      </c>
      <c r="BG472" s="3" t="str">
        <f t="shared" si="51"/>
        <v>0</v>
      </c>
      <c r="BH472" t="str">
        <f ca="1">IF((OFFSET($A$1, 472 - 1, 58 - 1)) &gt;= (OFFSET($A$1, 96 - 1, 7 - 1)), "1","0")</f>
        <v>0</v>
      </c>
      <c r="BI472">
        <f ca="1" xml:space="preserve"> IF( AND( OFFSET($A$1, 472 - 1, 59 - 1) = "1", OFFSET($A$1, 472 - 1, 60 - 1) = "1" ), 1, IF( AND( OFFSET($A$1, 472 - 1, 59 - 1) = "1", OFFSET($A$1, 472 - 1, 60 - 1) = "0" ), 2, IF( AND( OFFSET($A$1, 472 - 1, 59 - 1) = "0", OFFSET($A$1, 472 - 1, 60 - 1) = "1" ), 3, 4 ) ) )</f>
        <v>4</v>
      </c>
      <c r="BK472" s="3">
        <v>6.6350710900473939E-2</v>
      </c>
      <c r="BL472" s="3" t="str">
        <f t="shared" si="50"/>
        <v>0</v>
      </c>
      <c r="BM472" t="str">
        <f ca="1">IF((OFFSET($A$1, 472 - 1, 63 - 1)) &gt;= (OFFSET($A$1, 135 - 1, 7 - 1)), "1","0")</f>
        <v>0</v>
      </c>
      <c r="BN472">
        <f ca="1" xml:space="preserve"> IF( AND( OFFSET($A$1, 472 - 1, 64 - 1) = "1", OFFSET($A$1, 472 - 1, 65 - 1) = "1" ), 1, IF( AND( OFFSET($A$1, 472 - 1, 64 - 1) = "1", OFFSET($A$1, 472 - 1, 65 - 1) = "0" ), 2, IF( AND( OFFSET($A$1, 472 - 1, 64 - 1) = "0", OFFSET($A$1, 472 - 1, 65 - 1) = "1" ), 3, 4 ) ) )</f>
        <v>4</v>
      </c>
    </row>
    <row r="473" spans="58:66" x14ac:dyDescent="0.2">
      <c r="BF473" s="3">
        <v>0</v>
      </c>
      <c r="BG473" s="3" t="str">
        <f t="shared" si="51"/>
        <v>0</v>
      </c>
      <c r="BH473" t="str">
        <f ca="1">IF((OFFSET($A$1, 473 - 1, 58 - 1)) &gt;= (OFFSET($A$1, 96 - 1, 7 - 1)), "1","0")</f>
        <v>0</v>
      </c>
      <c r="BI473">
        <f ca="1" xml:space="preserve"> IF( AND( OFFSET($A$1, 473 - 1, 59 - 1) = "1", OFFSET($A$1, 473 - 1, 60 - 1) = "1" ), 1, IF( AND( OFFSET($A$1, 473 - 1, 59 - 1) = "1", OFFSET($A$1, 473 - 1, 60 - 1) = "0" ), 2, IF( AND( OFFSET($A$1, 473 - 1, 59 - 1) = "0", OFFSET($A$1, 473 - 1, 60 - 1) = "1" ), 3, 4 ) ) )</f>
        <v>4</v>
      </c>
      <c r="BK473" s="3">
        <v>6.6350710900473939E-2</v>
      </c>
      <c r="BL473" s="3" t="str">
        <f>"1"</f>
        <v>1</v>
      </c>
      <c r="BM473" t="str">
        <f ca="1">IF((OFFSET($A$1, 473 - 1, 63 - 1)) &gt;= (OFFSET($A$1, 135 - 1, 7 - 1)), "1","0")</f>
        <v>0</v>
      </c>
      <c r="BN473">
        <f ca="1" xml:space="preserve"> IF( AND( OFFSET($A$1, 473 - 1, 64 - 1) = "1", OFFSET($A$1, 473 - 1, 65 - 1) = "1" ), 1, IF( AND( OFFSET($A$1, 473 - 1, 64 - 1) = "1", OFFSET($A$1, 473 - 1, 65 - 1) = "0" ), 2, IF( AND( OFFSET($A$1, 473 - 1, 64 - 1) = "0", OFFSET($A$1, 473 - 1, 65 - 1) = "1" ), 3, 4 ) ) )</f>
        <v>2</v>
      </c>
    </row>
    <row r="474" spans="58:66" x14ac:dyDescent="0.2">
      <c r="BF474" s="3">
        <v>0.36</v>
      </c>
      <c r="BG474" s="3" t="str">
        <f t="shared" si="51"/>
        <v>0</v>
      </c>
      <c r="BH474" t="str">
        <f ca="1">IF((OFFSET($A$1, 474 - 1, 58 - 1)) &gt;= (OFFSET($A$1, 96 - 1, 7 - 1)), "1","0")</f>
        <v>0</v>
      </c>
      <c r="BI474">
        <f ca="1" xml:space="preserve"> IF( AND( OFFSET($A$1, 474 - 1, 59 - 1) = "1", OFFSET($A$1, 474 - 1, 60 - 1) = "1" ), 1, IF( AND( OFFSET($A$1, 474 - 1, 59 - 1) = "1", OFFSET($A$1, 474 - 1, 60 - 1) = "0" ), 2, IF( AND( OFFSET($A$1, 474 - 1, 59 - 1) = "0", OFFSET($A$1, 474 - 1, 60 - 1) = "1" ), 3, 4 ) ) )</f>
        <v>4</v>
      </c>
      <c r="BK474" s="3">
        <v>2.5316455696202531E-2</v>
      </c>
      <c r="BL474" s="3" t="str">
        <f>"0"</f>
        <v>0</v>
      </c>
      <c r="BM474" t="str">
        <f ca="1">IF((OFFSET($A$1, 474 - 1, 63 - 1)) &gt;= (OFFSET($A$1, 135 - 1, 7 - 1)), "1","0")</f>
        <v>0</v>
      </c>
      <c r="BN474">
        <f ca="1" xml:space="preserve"> IF( AND( OFFSET($A$1, 474 - 1, 64 - 1) = "1", OFFSET($A$1, 474 - 1, 65 - 1) = "1" ), 1, IF( AND( OFFSET($A$1, 474 - 1, 64 - 1) = "1", OFFSET($A$1, 474 - 1, 65 - 1) = "0" ), 2, IF( AND( OFFSET($A$1, 474 - 1, 64 - 1) = "0", OFFSET($A$1, 474 - 1, 65 - 1) = "1" ), 3, 4 ) ) )</f>
        <v>4</v>
      </c>
    </row>
    <row r="475" spans="58:66" x14ac:dyDescent="0.2">
      <c r="BF475" s="3">
        <v>0</v>
      </c>
      <c r="BG475" s="3" t="str">
        <f t="shared" si="51"/>
        <v>0</v>
      </c>
      <c r="BH475" t="str">
        <f ca="1">IF((OFFSET($A$1, 475 - 1, 58 - 1)) &gt;= (OFFSET($A$1, 96 - 1, 7 - 1)), "1","0")</f>
        <v>0</v>
      </c>
      <c r="BI475">
        <f ca="1" xml:space="preserve"> IF( AND( OFFSET($A$1, 475 - 1, 59 - 1) = "1", OFFSET($A$1, 475 - 1, 60 - 1) = "1" ), 1, IF( AND( OFFSET($A$1, 475 - 1, 59 - 1) = "1", OFFSET($A$1, 475 - 1, 60 - 1) = "0" ), 2, IF( AND( OFFSET($A$1, 475 - 1, 59 - 1) = "0", OFFSET($A$1, 475 - 1, 60 - 1) = "1" ), 3, 4 ) ) )</f>
        <v>4</v>
      </c>
      <c r="BK475" s="3">
        <v>6.6350710900473939E-2</v>
      </c>
      <c r="BL475" s="3" t="str">
        <f>"0"</f>
        <v>0</v>
      </c>
      <c r="BM475" t="str">
        <f ca="1">IF((OFFSET($A$1, 475 - 1, 63 - 1)) &gt;= (OFFSET($A$1, 135 - 1, 7 - 1)), "1","0")</f>
        <v>0</v>
      </c>
      <c r="BN475">
        <f ca="1" xml:space="preserve"> IF( AND( OFFSET($A$1, 475 - 1, 64 - 1) = "1", OFFSET($A$1, 475 - 1, 65 - 1) = "1" ), 1, IF( AND( OFFSET($A$1, 475 - 1, 64 - 1) = "1", OFFSET($A$1, 475 - 1, 65 - 1) = "0" ), 2, IF( AND( OFFSET($A$1, 475 - 1, 64 - 1) = "0", OFFSET($A$1, 475 - 1, 65 - 1) = "1" ), 3, 4 ) ) )</f>
        <v>4</v>
      </c>
    </row>
    <row r="476" spans="58:66" x14ac:dyDescent="0.2">
      <c r="BF476" s="3">
        <v>0</v>
      </c>
      <c r="BG476" s="3" t="str">
        <f t="shared" si="51"/>
        <v>0</v>
      </c>
      <c r="BH476" t="str">
        <f ca="1">IF((OFFSET($A$1, 476 - 1, 58 - 1)) &gt;= (OFFSET($A$1, 96 - 1, 7 - 1)), "1","0")</f>
        <v>0</v>
      </c>
      <c r="BI476">
        <f ca="1" xml:space="preserve"> IF( AND( OFFSET($A$1, 476 - 1, 59 - 1) = "1", OFFSET($A$1, 476 - 1, 60 - 1) = "1" ), 1, IF( AND( OFFSET($A$1, 476 - 1, 59 - 1) = "1", OFFSET($A$1, 476 - 1, 60 - 1) = "0" ), 2, IF( AND( OFFSET($A$1, 476 - 1, 59 - 1) = "0", OFFSET($A$1, 476 - 1, 60 - 1) = "1" ), 3, 4 ) ) )</f>
        <v>4</v>
      </c>
      <c r="BK476" s="3">
        <v>2.5316455696202531E-2</v>
      </c>
      <c r="BL476" s="3" t="str">
        <f>"1"</f>
        <v>1</v>
      </c>
      <c r="BM476" t="str">
        <f ca="1">IF((OFFSET($A$1, 476 - 1, 63 - 1)) &gt;= (OFFSET($A$1, 135 - 1, 7 - 1)), "1","0")</f>
        <v>0</v>
      </c>
      <c r="BN476">
        <f ca="1" xml:space="preserve"> IF( AND( OFFSET($A$1, 476 - 1, 64 - 1) = "1", OFFSET($A$1, 476 - 1, 65 - 1) = "1" ), 1, IF( AND( OFFSET($A$1, 476 - 1, 64 - 1) = "1", OFFSET($A$1, 476 - 1, 65 - 1) = "0" ), 2, IF( AND( OFFSET($A$1, 476 - 1, 64 - 1) = "0", OFFSET($A$1, 476 - 1, 65 - 1) = "1" ), 3, 4 ) ) )</f>
        <v>2</v>
      </c>
    </row>
    <row r="477" spans="58:66" x14ac:dyDescent="0.2">
      <c r="BF477" s="3">
        <v>0</v>
      </c>
      <c r="BG477" s="3" t="str">
        <f t="shared" si="51"/>
        <v>0</v>
      </c>
      <c r="BH477" t="str">
        <f ca="1">IF((OFFSET($A$1, 477 - 1, 58 - 1)) &gt;= (OFFSET($A$1, 96 - 1, 7 - 1)), "1","0")</f>
        <v>0</v>
      </c>
      <c r="BI477">
        <f ca="1" xml:space="preserve"> IF( AND( OFFSET($A$1, 477 - 1, 59 - 1) = "1", OFFSET($A$1, 477 - 1, 60 - 1) = "1" ), 1, IF( AND( OFFSET($A$1, 477 - 1, 59 - 1) = "1", OFFSET($A$1, 477 - 1, 60 - 1) = "0" ), 2, IF( AND( OFFSET($A$1, 477 - 1, 59 - 1) = "0", OFFSET($A$1, 477 - 1, 60 - 1) = "1" ), 3, 4 ) ) )</f>
        <v>4</v>
      </c>
      <c r="BK477" s="3">
        <v>6.6350710900473939E-2</v>
      </c>
      <c r="BL477" s="3" t="str">
        <f t="shared" ref="BL477:BL483" si="52">"0"</f>
        <v>0</v>
      </c>
      <c r="BM477" t="str">
        <f ca="1">IF((OFFSET($A$1, 477 - 1, 63 - 1)) &gt;= (OFFSET($A$1, 135 - 1, 7 - 1)), "1","0")</f>
        <v>0</v>
      </c>
      <c r="BN477">
        <f ca="1" xml:space="preserve"> IF( AND( OFFSET($A$1, 477 - 1, 64 - 1) = "1", OFFSET($A$1, 477 - 1, 65 - 1) = "1" ), 1, IF( AND( OFFSET($A$1, 477 - 1, 64 - 1) = "1", OFFSET($A$1, 477 - 1, 65 - 1) = "0" ), 2, IF( AND( OFFSET($A$1, 477 - 1, 64 - 1) = "0", OFFSET($A$1, 477 - 1, 65 - 1) = "1" ), 3, 4 ) ) )</f>
        <v>4</v>
      </c>
    </row>
    <row r="478" spans="58:66" x14ac:dyDescent="0.2">
      <c r="BF478" s="3">
        <v>0</v>
      </c>
      <c r="BG478" s="3" t="str">
        <f t="shared" si="51"/>
        <v>0</v>
      </c>
      <c r="BH478" t="str">
        <f ca="1">IF((OFFSET($A$1, 478 - 1, 58 - 1)) &gt;= (OFFSET($A$1, 96 - 1, 7 - 1)), "1","0")</f>
        <v>0</v>
      </c>
      <c r="BI478">
        <f ca="1" xml:space="preserve"> IF( AND( OFFSET($A$1, 478 - 1, 59 - 1) = "1", OFFSET($A$1, 478 - 1, 60 - 1) = "1" ), 1, IF( AND( OFFSET($A$1, 478 - 1, 59 - 1) = "1", OFFSET($A$1, 478 - 1, 60 - 1) = "0" ), 2, IF( AND( OFFSET($A$1, 478 - 1, 59 - 1) = "0", OFFSET($A$1, 478 - 1, 60 - 1) = "1" ), 3, 4 ) ) )</f>
        <v>4</v>
      </c>
      <c r="BK478" s="3">
        <v>0.36</v>
      </c>
      <c r="BL478" s="3" t="str">
        <f t="shared" si="52"/>
        <v>0</v>
      </c>
      <c r="BM478" t="str">
        <f ca="1">IF((OFFSET($A$1, 478 - 1, 63 - 1)) &gt;= (OFFSET($A$1, 135 - 1, 7 - 1)), "1","0")</f>
        <v>0</v>
      </c>
      <c r="BN478">
        <f ca="1" xml:space="preserve"> IF( AND( OFFSET($A$1, 478 - 1, 64 - 1) = "1", OFFSET($A$1, 478 - 1, 65 - 1) = "1" ), 1, IF( AND( OFFSET($A$1, 478 - 1, 64 - 1) = "1", OFFSET($A$1, 478 - 1, 65 - 1) = "0" ), 2, IF( AND( OFFSET($A$1, 478 - 1, 64 - 1) = "0", OFFSET($A$1, 478 - 1, 65 - 1) = "1" ), 3, 4 ) ) )</f>
        <v>4</v>
      </c>
    </row>
    <row r="479" spans="58:66" x14ac:dyDescent="0.2">
      <c r="BF479" s="3">
        <v>3.7037037037037042E-2</v>
      </c>
      <c r="BG479" s="3" t="str">
        <f t="shared" si="51"/>
        <v>0</v>
      </c>
      <c r="BH479" t="str">
        <f ca="1">IF((OFFSET($A$1, 479 - 1, 58 - 1)) &gt;= (OFFSET($A$1, 96 - 1, 7 - 1)), "1","0")</f>
        <v>0</v>
      </c>
      <c r="BI479">
        <f ca="1" xml:space="preserve"> IF( AND( OFFSET($A$1, 479 - 1, 59 - 1) = "1", OFFSET($A$1, 479 - 1, 60 - 1) = "1" ), 1, IF( AND( OFFSET($A$1, 479 - 1, 59 - 1) = "1", OFFSET($A$1, 479 - 1, 60 - 1) = "0" ), 2, IF( AND( OFFSET($A$1, 479 - 1, 59 - 1) = "0", OFFSET($A$1, 479 - 1, 60 - 1) = "1" ), 3, 4 ) ) )</f>
        <v>4</v>
      </c>
      <c r="BK479" s="3">
        <v>2.5316455696202531E-2</v>
      </c>
      <c r="BL479" s="3" t="str">
        <f t="shared" si="52"/>
        <v>0</v>
      </c>
      <c r="BM479" t="str">
        <f ca="1">IF((OFFSET($A$1, 479 - 1, 63 - 1)) &gt;= (OFFSET($A$1, 135 - 1, 7 - 1)), "1","0")</f>
        <v>0</v>
      </c>
      <c r="BN479">
        <f ca="1" xml:space="preserve"> IF( AND( OFFSET($A$1, 479 - 1, 64 - 1) = "1", OFFSET($A$1, 479 - 1, 65 - 1) = "1" ), 1, IF( AND( OFFSET($A$1, 479 - 1, 64 - 1) = "1", OFFSET($A$1, 479 - 1, 65 - 1) = "0" ), 2, IF( AND( OFFSET($A$1, 479 - 1, 64 - 1) = "0", OFFSET($A$1, 479 - 1, 65 - 1) = "1" ), 3, 4 ) ) )</f>
        <v>4</v>
      </c>
    </row>
    <row r="480" spans="58:66" x14ac:dyDescent="0.2">
      <c r="BF480" s="3">
        <v>0</v>
      </c>
      <c r="BG480" s="3" t="str">
        <f t="shared" si="51"/>
        <v>0</v>
      </c>
      <c r="BH480" t="str">
        <f ca="1">IF((OFFSET($A$1, 480 - 1, 58 - 1)) &gt;= (OFFSET($A$1, 96 - 1, 7 - 1)), "1","0")</f>
        <v>0</v>
      </c>
      <c r="BI480">
        <f ca="1" xml:space="preserve"> IF( AND( OFFSET($A$1, 480 - 1, 59 - 1) = "1", OFFSET($A$1, 480 - 1, 60 - 1) = "1" ), 1, IF( AND( OFFSET($A$1, 480 - 1, 59 - 1) = "1", OFFSET($A$1, 480 - 1, 60 - 1) = "0" ), 2, IF( AND( OFFSET($A$1, 480 - 1, 59 - 1) = "0", OFFSET($A$1, 480 - 1, 60 - 1) = "1" ), 3, 4 ) ) )</f>
        <v>4</v>
      </c>
      <c r="BK480" s="3">
        <v>6.6350710900473939E-2</v>
      </c>
      <c r="BL480" s="3" t="str">
        <f t="shared" si="52"/>
        <v>0</v>
      </c>
      <c r="BM480" t="str">
        <f ca="1">IF((OFFSET($A$1, 480 - 1, 63 - 1)) &gt;= (OFFSET($A$1, 135 - 1, 7 - 1)), "1","0")</f>
        <v>0</v>
      </c>
      <c r="BN480">
        <f ca="1" xml:space="preserve"> IF( AND( OFFSET($A$1, 480 - 1, 64 - 1) = "1", OFFSET($A$1, 480 - 1, 65 - 1) = "1" ), 1, IF( AND( OFFSET($A$1, 480 - 1, 64 - 1) = "1", OFFSET($A$1, 480 - 1, 65 - 1) = "0" ), 2, IF( AND( OFFSET($A$1, 480 - 1, 64 - 1) = "0", OFFSET($A$1, 480 - 1, 65 - 1) = "1" ), 3, 4 ) ) )</f>
        <v>4</v>
      </c>
    </row>
    <row r="481" spans="58:66" x14ac:dyDescent="0.2">
      <c r="BF481" s="3">
        <v>0.38775510204081637</v>
      </c>
      <c r="BG481" s="3" t="str">
        <f t="shared" si="51"/>
        <v>0</v>
      </c>
      <c r="BH481" t="str">
        <f ca="1">IF((OFFSET($A$1, 481 - 1, 58 - 1)) &gt;= (OFFSET($A$1, 96 - 1, 7 - 1)), "1","0")</f>
        <v>0</v>
      </c>
      <c r="BI481">
        <f ca="1" xml:space="preserve"> IF( AND( OFFSET($A$1, 481 - 1, 59 - 1) = "1", OFFSET($A$1, 481 - 1, 60 - 1) = "1" ), 1, IF( AND( OFFSET($A$1, 481 - 1, 59 - 1) = "1", OFFSET($A$1, 481 - 1, 60 - 1) = "0" ), 2, IF( AND( OFFSET($A$1, 481 - 1, 59 - 1) = "0", OFFSET($A$1, 481 - 1, 60 - 1) = "1" ), 3, 4 ) ) )</f>
        <v>4</v>
      </c>
      <c r="BK481" s="3">
        <v>2.5316455696202531E-2</v>
      </c>
      <c r="BL481" s="3" t="str">
        <f t="shared" si="52"/>
        <v>0</v>
      </c>
      <c r="BM481" t="str">
        <f ca="1">IF((OFFSET($A$1, 481 - 1, 63 - 1)) &gt;= (OFFSET($A$1, 135 - 1, 7 - 1)), "1","0")</f>
        <v>0</v>
      </c>
      <c r="BN481">
        <f ca="1" xml:space="preserve"> IF( AND( OFFSET($A$1, 481 - 1, 64 - 1) = "1", OFFSET($A$1, 481 - 1, 65 - 1) = "1" ), 1, IF( AND( OFFSET($A$1, 481 - 1, 64 - 1) = "1", OFFSET($A$1, 481 - 1, 65 - 1) = "0" ), 2, IF( AND( OFFSET($A$1, 481 - 1, 64 - 1) = "0", OFFSET($A$1, 481 - 1, 65 - 1) = "1" ), 3, 4 ) ) )</f>
        <v>4</v>
      </c>
    </row>
    <row r="482" spans="58:66" x14ac:dyDescent="0.2">
      <c r="BF482" s="3">
        <v>0.36</v>
      </c>
      <c r="BG482" s="3" t="str">
        <f t="shared" si="51"/>
        <v>0</v>
      </c>
      <c r="BH482" t="str">
        <f ca="1">IF((OFFSET($A$1, 482 - 1, 58 - 1)) &gt;= (OFFSET($A$1, 96 - 1, 7 - 1)), "1","0")</f>
        <v>0</v>
      </c>
      <c r="BI482">
        <f ca="1" xml:space="preserve"> IF( AND( OFFSET($A$1, 482 - 1, 59 - 1) = "1", OFFSET($A$1, 482 - 1, 60 - 1) = "1" ), 1, IF( AND( OFFSET($A$1, 482 - 1, 59 - 1) = "1", OFFSET($A$1, 482 - 1, 60 - 1) = "0" ), 2, IF( AND( OFFSET($A$1, 482 - 1, 59 - 1) = "0", OFFSET($A$1, 482 - 1, 60 - 1) = "1" ), 3, 4 ) ) )</f>
        <v>4</v>
      </c>
      <c r="BK482" s="3">
        <v>6.6350710900473939E-2</v>
      </c>
      <c r="BL482" s="3" t="str">
        <f t="shared" si="52"/>
        <v>0</v>
      </c>
      <c r="BM482" t="str">
        <f ca="1">IF((OFFSET($A$1, 482 - 1, 63 - 1)) &gt;= (OFFSET($A$1, 135 - 1, 7 - 1)), "1","0")</f>
        <v>0</v>
      </c>
      <c r="BN482">
        <f ca="1" xml:space="preserve"> IF( AND( OFFSET($A$1, 482 - 1, 64 - 1) = "1", OFFSET($A$1, 482 - 1, 65 - 1) = "1" ), 1, IF( AND( OFFSET($A$1, 482 - 1, 64 - 1) = "1", OFFSET($A$1, 482 - 1, 65 - 1) = "0" ), 2, IF( AND( OFFSET($A$1, 482 - 1, 64 - 1) = "0", OFFSET($A$1, 482 - 1, 65 - 1) = "1" ), 3, 4 ) ) )</f>
        <v>4</v>
      </c>
    </row>
    <row r="483" spans="58:66" x14ac:dyDescent="0.2">
      <c r="BF483" s="3">
        <v>3.7037037037037042E-2</v>
      </c>
      <c r="BG483" s="3" t="str">
        <f t="shared" si="51"/>
        <v>0</v>
      </c>
      <c r="BH483" t="str">
        <f ca="1">IF((OFFSET($A$1, 483 - 1, 58 - 1)) &gt;= (OFFSET($A$1, 96 - 1, 7 - 1)), "1","0")</f>
        <v>0</v>
      </c>
      <c r="BI483">
        <f ca="1" xml:space="preserve"> IF( AND( OFFSET($A$1, 483 - 1, 59 - 1) = "1", OFFSET($A$1, 483 - 1, 60 - 1) = "1" ), 1, IF( AND( OFFSET($A$1, 483 - 1, 59 - 1) = "1", OFFSET($A$1, 483 - 1, 60 - 1) = "0" ), 2, IF( AND( OFFSET($A$1, 483 - 1, 59 - 1) = "0", OFFSET($A$1, 483 - 1, 60 - 1) = "1" ), 3, 4 ) ) )</f>
        <v>4</v>
      </c>
      <c r="BK483" s="3">
        <v>6.6350710900473939E-2</v>
      </c>
      <c r="BL483" s="3" t="str">
        <f t="shared" si="52"/>
        <v>0</v>
      </c>
      <c r="BM483" t="str">
        <f ca="1">IF((OFFSET($A$1, 483 - 1, 63 - 1)) &gt;= (OFFSET($A$1, 135 - 1, 7 - 1)), "1","0")</f>
        <v>0</v>
      </c>
      <c r="BN483">
        <f ca="1" xml:space="preserve"> IF( AND( OFFSET($A$1, 483 - 1, 64 - 1) = "1", OFFSET($A$1, 483 - 1, 65 - 1) = "1" ), 1, IF( AND( OFFSET($A$1, 483 - 1, 64 - 1) = "1", OFFSET($A$1, 483 - 1, 65 - 1) = "0" ), 2, IF( AND( OFFSET($A$1, 483 - 1, 64 - 1) = "0", OFFSET($A$1, 483 - 1, 65 - 1) = "1" ), 3, 4 ) ) )</f>
        <v>4</v>
      </c>
    </row>
    <row r="484" spans="58:66" x14ac:dyDescent="0.2">
      <c r="BF484" s="3">
        <v>0.47692307692307689</v>
      </c>
      <c r="BG484" s="3" t="str">
        <f t="shared" si="51"/>
        <v>0</v>
      </c>
      <c r="BH484" t="str">
        <f ca="1">IF((OFFSET($A$1, 484 - 1, 58 - 1)) &gt;= (OFFSET($A$1, 96 - 1, 7 - 1)), "1","0")</f>
        <v>0</v>
      </c>
      <c r="BI484">
        <f ca="1" xml:space="preserve"> IF( AND( OFFSET($A$1, 484 - 1, 59 - 1) = "1", OFFSET($A$1, 484 - 1, 60 - 1) = "1" ), 1, IF( AND( OFFSET($A$1, 484 - 1, 59 - 1) = "1", OFFSET($A$1, 484 - 1, 60 - 1) = "0" ), 2, IF( AND( OFFSET($A$1, 484 - 1, 59 - 1) = "0", OFFSET($A$1, 484 - 1, 60 - 1) = "1" ), 3, 4 ) ) )</f>
        <v>4</v>
      </c>
      <c r="BK484" s="3">
        <v>0.90579710144927539</v>
      </c>
      <c r="BL484" s="3" t="str">
        <f>"1"</f>
        <v>1</v>
      </c>
      <c r="BM484" t="str">
        <f ca="1">IF((OFFSET($A$1, 484 - 1, 63 - 1)) &gt;= (OFFSET($A$1, 135 - 1, 7 - 1)), "1","0")</f>
        <v>1</v>
      </c>
      <c r="BN484">
        <f ca="1" xml:space="preserve"> IF( AND( OFFSET($A$1, 484 - 1, 64 - 1) = "1", OFFSET($A$1, 484 - 1, 65 - 1) = "1" ), 1, IF( AND( OFFSET($A$1, 484 - 1, 64 - 1) = "1", OFFSET($A$1, 484 - 1, 65 - 1) = "0" ), 2, IF( AND( OFFSET($A$1, 484 - 1, 64 - 1) = "0", OFFSET($A$1, 484 - 1, 65 - 1) = "1" ), 3, 4 ) ) )</f>
        <v>1</v>
      </c>
    </row>
    <row r="485" spans="58:66" x14ac:dyDescent="0.2">
      <c r="BF485" s="3">
        <v>0.08</v>
      </c>
      <c r="BG485" s="3" t="str">
        <f t="shared" si="51"/>
        <v>0</v>
      </c>
      <c r="BH485" t="str">
        <f ca="1">IF((OFFSET($A$1, 485 - 1, 58 - 1)) &gt;= (OFFSET($A$1, 96 - 1, 7 - 1)), "1","0")</f>
        <v>0</v>
      </c>
      <c r="BI485">
        <f ca="1" xml:space="preserve"> IF( AND( OFFSET($A$1, 485 - 1, 59 - 1) = "1", OFFSET($A$1, 485 - 1, 60 - 1) = "1" ), 1, IF( AND( OFFSET($A$1, 485 - 1, 59 - 1) = "1", OFFSET($A$1, 485 - 1, 60 - 1) = "0" ), 2, IF( AND( OFFSET($A$1, 485 - 1, 59 - 1) = "0", OFFSET($A$1, 485 - 1, 60 - 1) = "1" ), 3, 4 ) ) )</f>
        <v>4</v>
      </c>
      <c r="BK485" s="3">
        <v>6.6350710900473939E-2</v>
      </c>
      <c r="BL485" s="3" t="str">
        <f t="shared" ref="BL485:BL496" si="53">"0"</f>
        <v>0</v>
      </c>
      <c r="BM485" t="str">
        <f ca="1">IF((OFFSET($A$1, 485 - 1, 63 - 1)) &gt;= (OFFSET($A$1, 135 - 1, 7 - 1)), "1","0")</f>
        <v>0</v>
      </c>
      <c r="BN485">
        <f ca="1" xml:space="preserve"> IF( AND( OFFSET($A$1, 485 - 1, 64 - 1) = "1", OFFSET($A$1, 485 - 1, 65 - 1) = "1" ), 1, IF( AND( OFFSET($A$1, 485 - 1, 64 - 1) = "1", OFFSET($A$1, 485 - 1, 65 - 1) = "0" ), 2, IF( AND( OFFSET($A$1, 485 - 1, 64 - 1) = "0", OFFSET($A$1, 485 - 1, 65 - 1) = "1" ), 3, 4 ) ) )</f>
        <v>4</v>
      </c>
    </row>
    <row r="486" spans="58:66" x14ac:dyDescent="0.2">
      <c r="BF486" s="3">
        <v>0</v>
      </c>
      <c r="BG486" s="3" t="str">
        <f t="shared" si="51"/>
        <v>0</v>
      </c>
      <c r="BH486" t="str">
        <f ca="1">IF((OFFSET($A$1, 486 - 1, 58 - 1)) &gt;= (OFFSET($A$1, 96 - 1, 7 - 1)), "1","0")</f>
        <v>0</v>
      </c>
      <c r="BI486">
        <f ca="1" xml:space="preserve"> IF( AND( OFFSET($A$1, 486 - 1, 59 - 1) = "1", OFFSET($A$1, 486 - 1, 60 - 1) = "1" ), 1, IF( AND( OFFSET($A$1, 486 - 1, 59 - 1) = "1", OFFSET($A$1, 486 - 1, 60 - 1) = "0" ), 2, IF( AND( OFFSET($A$1, 486 - 1, 59 - 1) = "0", OFFSET($A$1, 486 - 1, 60 - 1) = "1" ), 3, 4 ) ) )</f>
        <v>4</v>
      </c>
      <c r="BK486" s="3">
        <v>2.5316455696202531E-2</v>
      </c>
      <c r="BL486" s="3" t="str">
        <f t="shared" si="53"/>
        <v>0</v>
      </c>
      <c r="BM486" t="str">
        <f ca="1">IF((OFFSET($A$1, 486 - 1, 63 - 1)) &gt;= (OFFSET($A$1, 135 - 1, 7 - 1)), "1","0")</f>
        <v>0</v>
      </c>
      <c r="BN486">
        <f ca="1" xml:space="preserve"> IF( AND( OFFSET($A$1, 486 - 1, 64 - 1) = "1", OFFSET($A$1, 486 - 1, 65 - 1) = "1" ), 1, IF( AND( OFFSET($A$1, 486 - 1, 64 - 1) = "1", OFFSET($A$1, 486 - 1, 65 - 1) = "0" ), 2, IF( AND( OFFSET($A$1, 486 - 1, 64 - 1) = "0", OFFSET($A$1, 486 - 1, 65 - 1) = "1" ), 3, 4 ) ) )</f>
        <v>4</v>
      </c>
    </row>
    <row r="487" spans="58:66" x14ac:dyDescent="0.2">
      <c r="BF487" s="3">
        <v>0.90579710144927539</v>
      </c>
      <c r="BG487" s="3" t="str">
        <f>"1"</f>
        <v>1</v>
      </c>
      <c r="BH487" t="str">
        <f ca="1">IF((OFFSET($A$1, 487 - 1, 58 - 1)) &gt;= (OFFSET($A$1, 96 - 1, 7 - 1)), "1","0")</f>
        <v>1</v>
      </c>
      <c r="BI487">
        <f ca="1" xml:space="preserve"> IF( AND( OFFSET($A$1, 487 - 1, 59 - 1) = "1", OFFSET($A$1, 487 - 1, 60 - 1) = "1" ), 1, IF( AND( OFFSET($A$1, 487 - 1, 59 - 1) = "1", OFFSET($A$1, 487 - 1, 60 - 1) = "0" ), 2, IF( AND( OFFSET($A$1, 487 - 1, 59 - 1) = "0", OFFSET($A$1, 487 - 1, 60 - 1) = "1" ), 3, 4 ) ) )</f>
        <v>1</v>
      </c>
      <c r="BK487" s="3">
        <v>6.6350710900473939E-2</v>
      </c>
      <c r="BL487" s="3" t="str">
        <f t="shared" si="53"/>
        <v>0</v>
      </c>
      <c r="BM487" t="str">
        <f ca="1">IF((OFFSET($A$1, 487 - 1, 63 - 1)) &gt;= (OFFSET($A$1, 135 - 1, 7 - 1)), "1","0")</f>
        <v>0</v>
      </c>
      <c r="BN487">
        <f ca="1" xml:space="preserve"> IF( AND( OFFSET($A$1, 487 - 1, 64 - 1) = "1", OFFSET($A$1, 487 - 1, 65 - 1) = "1" ), 1, IF( AND( OFFSET($A$1, 487 - 1, 64 - 1) = "1", OFFSET($A$1, 487 - 1, 65 - 1) = "0" ), 2, IF( AND( OFFSET($A$1, 487 - 1, 64 - 1) = "0", OFFSET($A$1, 487 - 1, 65 - 1) = "1" ), 3, 4 ) ) )</f>
        <v>4</v>
      </c>
    </row>
    <row r="488" spans="58:66" x14ac:dyDescent="0.2">
      <c r="BF488" s="3">
        <v>0</v>
      </c>
      <c r="BG488" s="3" t="str">
        <f t="shared" ref="BG488:BG493" si="54">"0"</f>
        <v>0</v>
      </c>
      <c r="BH488" t="str">
        <f ca="1">IF((OFFSET($A$1, 488 - 1, 58 - 1)) &gt;= (OFFSET($A$1, 96 - 1, 7 - 1)), "1","0")</f>
        <v>0</v>
      </c>
      <c r="BI488">
        <f ca="1" xml:space="preserve"> IF( AND( OFFSET($A$1, 488 - 1, 59 - 1) = "1", OFFSET($A$1, 488 - 1, 60 - 1) = "1" ), 1, IF( AND( OFFSET($A$1, 488 - 1, 59 - 1) = "1", OFFSET($A$1, 488 - 1, 60 - 1) = "0" ), 2, IF( AND( OFFSET($A$1, 488 - 1, 59 - 1) = "0", OFFSET($A$1, 488 - 1, 60 - 1) = "1" ), 3, 4 ) ) )</f>
        <v>4</v>
      </c>
      <c r="BK488" s="3">
        <v>2.5316455696202531E-2</v>
      </c>
      <c r="BL488" s="3" t="str">
        <f t="shared" si="53"/>
        <v>0</v>
      </c>
      <c r="BM488" t="str">
        <f ca="1">IF((OFFSET($A$1, 488 - 1, 63 - 1)) &gt;= (OFFSET($A$1, 135 - 1, 7 - 1)), "1","0")</f>
        <v>0</v>
      </c>
      <c r="BN488">
        <f ca="1" xml:space="preserve"> IF( AND( OFFSET($A$1, 488 - 1, 64 - 1) = "1", OFFSET($A$1, 488 - 1, 65 - 1) = "1" ), 1, IF( AND( OFFSET($A$1, 488 - 1, 64 - 1) = "1", OFFSET($A$1, 488 - 1, 65 - 1) = "0" ), 2, IF( AND( OFFSET($A$1, 488 - 1, 64 - 1) = "0", OFFSET($A$1, 488 - 1, 65 - 1) = "1" ), 3, 4 ) ) )</f>
        <v>4</v>
      </c>
    </row>
    <row r="489" spans="58:66" x14ac:dyDescent="0.2">
      <c r="BF489" s="3">
        <v>0</v>
      </c>
      <c r="BG489" s="3" t="str">
        <f t="shared" si="54"/>
        <v>0</v>
      </c>
      <c r="BH489" t="str">
        <f ca="1">IF((OFFSET($A$1, 489 - 1, 58 - 1)) &gt;= (OFFSET($A$1, 96 - 1, 7 - 1)), "1","0")</f>
        <v>0</v>
      </c>
      <c r="BI489">
        <f ca="1" xml:space="preserve"> IF( AND( OFFSET($A$1, 489 - 1, 59 - 1) = "1", OFFSET($A$1, 489 - 1, 60 - 1) = "1" ), 1, IF( AND( OFFSET($A$1, 489 - 1, 59 - 1) = "1", OFFSET($A$1, 489 - 1, 60 - 1) = "0" ), 2, IF( AND( OFFSET($A$1, 489 - 1, 59 - 1) = "0", OFFSET($A$1, 489 - 1, 60 - 1) = "1" ), 3, 4 ) ) )</f>
        <v>4</v>
      </c>
      <c r="BK489" s="3">
        <v>6.6350710900473939E-2</v>
      </c>
      <c r="BL489" s="3" t="str">
        <f t="shared" si="53"/>
        <v>0</v>
      </c>
      <c r="BM489" t="str">
        <f ca="1">IF((OFFSET($A$1, 489 - 1, 63 - 1)) &gt;= (OFFSET($A$1, 135 - 1, 7 - 1)), "1","0")</f>
        <v>0</v>
      </c>
      <c r="BN489">
        <f ca="1" xml:space="preserve"> IF( AND( OFFSET($A$1, 489 - 1, 64 - 1) = "1", OFFSET($A$1, 489 - 1, 65 - 1) = "1" ), 1, IF( AND( OFFSET($A$1, 489 - 1, 64 - 1) = "1", OFFSET($A$1, 489 - 1, 65 - 1) = "0" ), 2, IF( AND( OFFSET($A$1, 489 - 1, 64 - 1) = "0", OFFSET($A$1, 489 - 1, 65 - 1) = "1" ), 3, 4 ) ) )</f>
        <v>4</v>
      </c>
    </row>
    <row r="490" spans="58:66" x14ac:dyDescent="0.2">
      <c r="BF490" s="3">
        <v>3.7037037037037042E-2</v>
      </c>
      <c r="BG490" s="3" t="str">
        <f t="shared" si="54"/>
        <v>0</v>
      </c>
      <c r="BH490" t="str">
        <f ca="1">IF((OFFSET($A$1, 490 - 1, 58 - 1)) &gt;= (OFFSET($A$1, 96 - 1, 7 - 1)), "1","0")</f>
        <v>0</v>
      </c>
      <c r="BI490">
        <f ca="1" xml:space="preserve"> IF( AND( OFFSET($A$1, 490 - 1, 59 - 1) = "1", OFFSET($A$1, 490 - 1, 60 - 1) = "1" ), 1, IF( AND( OFFSET($A$1, 490 - 1, 59 - 1) = "1", OFFSET($A$1, 490 - 1, 60 - 1) = "0" ), 2, IF( AND( OFFSET($A$1, 490 - 1, 59 - 1) = "0", OFFSET($A$1, 490 - 1, 60 - 1) = "1" ), 3, 4 ) ) )</f>
        <v>4</v>
      </c>
      <c r="BK490" s="3">
        <v>6.6350710900473939E-2</v>
      </c>
      <c r="BL490" s="3" t="str">
        <f t="shared" si="53"/>
        <v>0</v>
      </c>
      <c r="BM490" t="str">
        <f ca="1">IF((OFFSET($A$1, 490 - 1, 63 - 1)) &gt;= (OFFSET($A$1, 135 - 1, 7 - 1)), "1","0")</f>
        <v>0</v>
      </c>
      <c r="BN490">
        <f ca="1" xml:space="preserve"> IF( AND( OFFSET($A$1, 490 - 1, 64 - 1) = "1", OFFSET($A$1, 490 - 1, 65 - 1) = "1" ), 1, IF( AND( OFFSET($A$1, 490 - 1, 64 - 1) = "1", OFFSET($A$1, 490 - 1, 65 - 1) = "0" ), 2, IF( AND( OFFSET($A$1, 490 - 1, 64 - 1) = "0", OFFSET($A$1, 490 - 1, 65 - 1) = "1" ), 3, 4 ) ) )</f>
        <v>4</v>
      </c>
    </row>
    <row r="491" spans="58:66" x14ac:dyDescent="0.2">
      <c r="BF491" s="3">
        <v>0</v>
      </c>
      <c r="BG491" s="3" t="str">
        <f t="shared" si="54"/>
        <v>0</v>
      </c>
      <c r="BH491" t="str">
        <f ca="1">IF((OFFSET($A$1, 491 - 1, 58 - 1)) &gt;= (OFFSET($A$1, 96 - 1, 7 - 1)), "1","0")</f>
        <v>0</v>
      </c>
      <c r="BI491">
        <f ca="1" xml:space="preserve"> IF( AND( OFFSET($A$1, 491 - 1, 59 - 1) = "1", OFFSET($A$1, 491 - 1, 60 - 1) = "1" ), 1, IF( AND( OFFSET($A$1, 491 - 1, 59 - 1) = "1", OFFSET($A$1, 491 - 1, 60 - 1) = "0" ), 2, IF( AND( OFFSET($A$1, 491 - 1, 59 - 1) = "0", OFFSET($A$1, 491 - 1, 60 - 1) = "1" ), 3, 4 ) ) )</f>
        <v>4</v>
      </c>
      <c r="BK491" s="3">
        <v>6.6350710900473939E-2</v>
      </c>
      <c r="BL491" s="3" t="str">
        <f t="shared" si="53"/>
        <v>0</v>
      </c>
      <c r="BM491" t="str">
        <f ca="1">IF((OFFSET($A$1, 491 - 1, 63 - 1)) &gt;= (OFFSET($A$1, 135 - 1, 7 - 1)), "1","0")</f>
        <v>0</v>
      </c>
      <c r="BN491">
        <f ca="1" xml:space="preserve"> IF( AND( OFFSET($A$1, 491 - 1, 64 - 1) = "1", OFFSET($A$1, 491 - 1, 65 - 1) = "1" ), 1, IF( AND( OFFSET($A$1, 491 - 1, 64 - 1) = "1", OFFSET($A$1, 491 - 1, 65 - 1) = "0" ), 2, IF( AND( OFFSET($A$1, 491 - 1, 64 - 1) = "0", OFFSET($A$1, 491 - 1, 65 - 1) = "1" ), 3, 4 ) ) )</f>
        <v>4</v>
      </c>
    </row>
    <row r="492" spans="58:66" x14ac:dyDescent="0.2">
      <c r="BF492" s="3">
        <v>0.34722222222222221</v>
      </c>
      <c r="BG492" s="3" t="str">
        <f t="shared" si="54"/>
        <v>0</v>
      </c>
      <c r="BH492" t="str">
        <f ca="1">IF((OFFSET($A$1, 492 - 1, 58 - 1)) &gt;= (OFFSET($A$1, 96 - 1, 7 - 1)), "1","0")</f>
        <v>0</v>
      </c>
      <c r="BI492">
        <f ca="1" xml:space="preserve"> IF( AND( OFFSET($A$1, 492 - 1, 59 - 1) = "1", OFFSET($A$1, 492 - 1, 60 - 1) = "1" ), 1, IF( AND( OFFSET($A$1, 492 - 1, 59 - 1) = "1", OFFSET($A$1, 492 - 1, 60 - 1) = "0" ), 2, IF( AND( OFFSET($A$1, 492 - 1, 59 - 1) = "0", OFFSET($A$1, 492 - 1, 60 - 1) = "1" ), 3, 4 ) ) )</f>
        <v>4</v>
      </c>
      <c r="BK492" s="3">
        <v>6.6350710900473939E-2</v>
      </c>
      <c r="BL492" s="3" t="str">
        <f t="shared" si="53"/>
        <v>0</v>
      </c>
      <c r="BM492" t="str">
        <f ca="1">IF((OFFSET($A$1, 492 - 1, 63 - 1)) &gt;= (OFFSET($A$1, 135 - 1, 7 - 1)), "1","0")</f>
        <v>0</v>
      </c>
      <c r="BN492">
        <f ca="1" xml:space="preserve"> IF( AND( OFFSET($A$1, 492 - 1, 64 - 1) = "1", OFFSET($A$1, 492 - 1, 65 - 1) = "1" ), 1, IF( AND( OFFSET($A$1, 492 - 1, 64 - 1) = "1", OFFSET($A$1, 492 - 1, 65 - 1) = "0" ), 2, IF( AND( OFFSET($A$1, 492 - 1, 64 - 1) = "0", OFFSET($A$1, 492 - 1, 65 - 1) = "1" ), 3, 4 ) ) )</f>
        <v>4</v>
      </c>
    </row>
    <row r="493" spans="58:66" x14ac:dyDescent="0.2">
      <c r="BF493" s="3">
        <v>3.7037037037037042E-2</v>
      </c>
      <c r="BG493" s="3" t="str">
        <f t="shared" si="54"/>
        <v>0</v>
      </c>
      <c r="BH493" t="str">
        <f ca="1">IF((OFFSET($A$1, 493 - 1, 58 - 1)) &gt;= (OFFSET($A$1, 96 - 1, 7 - 1)), "1","0")</f>
        <v>0</v>
      </c>
      <c r="BI493">
        <f ca="1" xml:space="preserve"> IF( AND( OFFSET($A$1, 493 - 1, 59 - 1) = "1", OFFSET($A$1, 493 - 1, 60 - 1) = "1" ), 1, IF( AND( OFFSET($A$1, 493 - 1, 59 - 1) = "1", OFFSET($A$1, 493 - 1, 60 - 1) = "0" ), 2, IF( AND( OFFSET($A$1, 493 - 1, 59 - 1) = "0", OFFSET($A$1, 493 - 1, 60 - 1) = "1" ), 3, 4 ) ) )</f>
        <v>4</v>
      </c>
      <c r="BK493" s="3">
        <v>6.6350710900473939E-2</v>
      </c>
      <c r="BL493" s="3" t="str">
        <f t="shared" si="53"/>
        <v>0</v>
      </c>
      <c r="BM493" t="str">
        <f ca="1">IF((OFFSET($A$1, 493 - 1, 63 - 1)) &gt;= (OFFSET($A$1, 135 - 1, 7 - 1)), "1","0")</f>
        <v>0</v>
      </c>
      <c r="BN493">
        <f ca="1" xml:space="preserve"> IF( AND( OFFSET($A$1, 493 - 1, 64 - 1) = "1", OFFSET($A$1, 493 - 1, 65 - 1) = "1" ), 1, IF( AND( OFFSET($A$1, 493 - 1, 64 - 1) = "1", OFFSET($A$1, 493 - 1, 65 - 1) = "0" ), 2, IF( AND( OFFSET($A$1, 493 - 1, 64 - 1) = "0", OFFSET($A$1, 493 - 1, 65 - 1) = "1" ), 3, 4 ) ) )</f>
        <v>4</v>
      </c>
    </row>
    <row r="494" spans="58:66" x14ac:dyDescent="0.2">
      <c r="BF494" s="3">
        <v>0.90579710144927539</v>
      </c>
      <c r="BG494" s="3" t="str">
        <f>"1"</f>
        <v>1</v>
      </c>
      <c r="BH494" t="str">
        <f ca="1">IF((OFFSET($A$1, 494 - 1, 58 - 1)) &gt;= (OFFSET($A$1, 96 - 1, 7 - 1)), "1","0")</f>
        <v>1</v>
      </c>
      <c r="BI494">
        <f ca="1" xml:space="preserve"> IF( AND( OFFSET($A$1, 494 - 1, 59 - 1) = "1", OFFSET($A$1, 494 - 1, 60 - 1) = "1" ), 1, IF( AND( OFFSET($A$1, 494 - 1, 59 - 1) = "1", OFFSET($A$1, 494 - 1, 60 - 1) = "0" ), 2, IF( AND( OFFSET($A$1, 494 - 1, 59 - 1) = "0", OFFSET($A$1, 494 - 1, 60 - 1) = "1" ), 3, 4 ) ) )</f>
        <v>1</v>
      </c>
      <c r="BK494" s="3">
        <v>6.6350710900473939E-2</v>
      </c>
      <c r="BL494" s="3" t="str">
        <f t="shared" si="53"/>
        <v>0</v>
      </c>
      <c r="BM494" t="str">
        <f ca="1">IF((OFFSET($A$1, 494 - 1, 63 - 1)) &gt;= (OFFSET($A$1, 135 - 1, 7 - 1)), "1","0")</f>
        <v>0</v>
      </c>
      <c r="BN494">
        <f ca="1" xml:space="preserve"> IF( AND( OFFSET($A$1, 494 - 1, 64 - 1) = "1", OFFSET($A$1, 494 - 1, 65 - 1) = "1" ), 1, IF( AND( OFFSET($A$1, 494 - 1, 64 - 1) = "1", OFFSET($A$1, 494 - 1, 65 - 1) = "0" ), 2, IF( AND( OFFSET($A$1, 494 - 1, 64 - 1) = "0", OFFSET($A$1, 494 - 1, 65 - 1) = "1" ), 3, 4 ) ) )</f>
        <v>4</v>
      </c>
    </row>
    <row r="495" spans="58:66" x14ac:dyDescent="0.2">
      <c r="BF495" s="3">
        <v>3.7037037037037042E-2</v>
      </c>
      <c r="BG495" s="3" t="str">
        <f>"0"</f>
        <v>0</v>
      </c>
      <c r="BH495" t="str">
        <f ca="1">IF((OFFSET($A$1, 495 - 1, 58 - 1)) &gt;= (OFFSET($A$1, 96 - 1, 7 - 1)), "1","0")</f>
        <v>0</v>
      </c>
      <c r="BI495">
        <f ca="1" xml:space="preserve"> IF( AND( OFFSET($A$1, 495 - 1, 59 - 1) = "1", OFFSET($A$1, 495 - 1, 60 - 1) = "1" ), 1, IF( AND( OFFSET($A$1, 495 - 1, 59 - 1) = "1", OFFSET($A$1, 495 - 1, 60 - 1) = "0" ), 2, IF( AND( OFFSET($A$1, 495 - 1, 59 - 1) = "0", OFFSET($A$1, 495 - 1, 60 - 1) = "1" ), 3, 4 ) ) )</f>
        <v>4</v>
      </c>
      <c r="BK495" s="3">
        <v>2.5316455696202531E-2</v>
      </c>
      <c r="BL495" s="3" t="str">
        <f t="shared" si="53"/>
        <v>0</v>
      </c>
      <c r="BM495" t="str">
        <f ca="1">IF((OFFSET($A$1, 495 - 1, 63 - 1)) &gt;= (OFFSET($A$1, 135 - 1, 7 - 1)), "1","0")</f>
        <v>0</v>
      </c>
      <c r="BN495">
        <f ca="1" xml:space="preserve"> IF( AND( OFFSET($A$1, 495 - 1, 64 - 1) = "1", OFFSET($A$1, 495 - 1, 65 - 1) = "1" ), 1, IF( AND( OFFSET($A$1, 495 - 1, 64 - 1) = "1", OFFSET($A$1, 495 - 1, 65 - 1) = "0" ), 2, IF( AND( OFFSET($A$1, 495 - 1, 64 - 1) = "0", OFFSET($A$1, 495 - 1, 65 - 1) = "1" ), 3, 4 ) ) )</f>
        <v>4</v>
      </c>
    </row>
    <row r="496" spans="58:66" x14ac:dyDescent="0.2">
      <c r="BF496" s="3">
        <v>0.90579710144927539</v>
      </c>
      <c r="BG496" s="3" t="str">
        <f>"1"</f>
        <v>1</v>
      </c>
      <c r="BH496" t="str">
        <f ca="1">IF((OFFSET($A$1, 496 - 1, 58 - 1)) &gt;= (OFFSET($A$1, 96 - 1, 7 - 1)), "1","0")</f>
        <v>1</v>
      </c>
      <c r="BI496">
        <f ca="1" xml:space="preserve"> IF( AND( OFFSET($A$1, 496 - 1, 59 - 1) = "1", OFFSET($A$1, 496 - 1, 60 - 1) = "1" ), 1, IF( AND( OFFSET($A$1, 496 - 1, 59 - 1) = "1", OFFSET($A$1, 496 - 1, 60 - 1) = "0" ), 2, IF( AND( OFFSET($A$1, 496 - 1, 59 - 1) = "0", OFFSET($A$1, 496 - 1, 60 - 1) = "1" ), 3, 4 ) ) )</f>
        <v>1</v>
      </c>
      <c r="BK496" s="3">
        <v>0.36</v>
      </c>
      <c r="BL496" s="3" t="str">
        <f t="shared" si="53"/>
        <v>0</v>
      </c>
      <c r="BM496" t="str">
        <f ca="1">IF((OFFSET($A$1, 496 - 1, 63 - 1)) &gt;= (OFFSET($A$1, 135 - 1, 7 - 1)), "1","0")</f>
        <v>0</v>
      </c>
      <c r="BN496">
        <f ca="1" xml:space="preserve"> IF( AND( OFFSET($A$1, 496 - 1, 64 - 1) = "1", OFFSET($A$1, 496 - 1, 65 - 1) = "1" ), 1, IF( AND( OFFSET($A$1, 496 - 1, 64 - 1) = "1", OFFSET($A$1, 496 - 1, 65 - 1) = "0" ), 2, IF( AND( OFFSET($A$1, 496 - 1, 64 - 1) = "0", OFFSET($A$1, 496 - 1, 65 - 1) = "1" ), 3, 4 ) ) )</f>
        <v>4</v>
      </c>
    </row>
    <row r="497" spans="58:66" x14ac:dyDescent="0.2">
      <c r="BF497" s="3">
        <v>0</v>
      </c>
      <c r="BG497" s="3" t="str">
        <f>"0"</f>
        <v>0</v>
      </c>
      <c r="BH497" t="str">
        <f ca="1">IF((OFFSET($A$1, 497 - 1, 58 - 1)) &gt;= (OFFSET($A$1, 96 - 1, 7 - 1)), "1","0")</f>
        <v>0</v>
      </c>
      <c r="BI497">
        <f ca="1" xml:space="preserve"> IF( AND( OFFSET($A$1, 497 - 1, 59 - 1) = "1", OFFSET($A$1, 497 - 1, 60 - 1) = "1" ), 1, IF( AND( OFFSET($A$1, 497 - 1, 59 - 1) = "1", OFFSET($A$1, 497 - 1, 60 - 1) = "0" ), 2, IF( AND( OFFSET($A$1, 497 - 1, 59 - 1) = "0", OFFSET($A$1, 497 - 1, 60 - 1) = "1" ), 3, 4 ) ) )</f>
        <v>4</v>
      </c>
      <c r="BK497" s="3">
        <v>6.6350710900473939E-2</v>
      </c>
      <c r="BL497" s="3" t="str">
        <f>"1"</f>
        <v>1</v>
      </c>
      <c r="BM497" t="str">
        <f ca="1">IF((OFFSET($A$1, 497 - 1, 63 - 1)) &gt;= (OFFSET($A$1, 135 - 1, 7 - 1)), "1","0")</f>
        <v>0</v>
      </c>
      <c r="BN497">
        <f ca="1" xml:space="preserve"> IF( AND( OFFSET($A$1, 497 - 1, 64 - 1) = "1", OFFSET($A$1, 497 - 1, 65 - 1) = "1" ), 1, IF( AND( OFFSET($A$1, 497 - 1, 64 - 1) = "1", OFFSET($A$1, 497 - 1, 65 - 1) = "0" ), 2, IF( AND( OFFSET($A$1, 497 - 1, 64 - 1) = "0", OFFSET($A$1, 497 - 1, 65 - 1) = "1" ), 3, 4 ) ) )</f>
        <v>2</v>
      </c>
    </row>
    <row r="498" spans="58:66" x14ac:dyDescent="0.2">
      <c r="BF498" s="3">
        <v>0</v>
      </c>
      <c r="BG498" s="3" t="str">
        <f>"0"</f>
        <v>0</v>
      </c>
      <c r="BH498" t="str">
        <f ca="1">IF((OFFSET($A$1, 498 - 1, 58 - 1)) &gt;= (OFFSET($A$1, 96 - 1, 7 - 1)), "1","0")</f>
        <v>0</v>
      </c>
      <c r="BI498">
        <f ca="1" xml:space="preserve"> IF( AND( OFFSET($A$1, 498 - 1, 59 - 1) = "1", OFFSET($A$1, 498 - 1, 60 - 1) = "1" ), 1, IF( AND( OFFSET($A$1, 498 - 1, 59 - 1) = "1", OFFSET($A$1, 498 - 1, 60 - 1) = "0" ), 2, IF( AND( OFFSET($A$1, 498 - 1, 59 - 1) = "0", OFFSET($A$1, 498 - 1, 60 - 1) = "1" ), 3, 4 ) ) )</f>
        <v>4</v>
      </c>
      <c r="BK498" s="3">
        <v>2.5316455696202531E-2</v>
      </c>
      <c r="BL498" s="3" t="str">
        <f t="shared" ref="BL498:BL504" si="55">"0"</f>
        <v>0</v>
      </c>
      <c r="BM498" t="str">
        <f ca="1">IF((OFFSET($A$1, 498 - 1, 63 - 1)) &gt;= (OFFSET($A$1, 135 - 1, 7 - 1)), "1","0")</f>
        <v>0</v>
      </c>
      <c r="BN498">
        <f ca="1" xml:space="preserve"> IF( AND( OFFSET($A$1, 498 - 1, 64 - 1) = "1", OFFSET($A$1, 498 - 1, 65 - 1) = "1" ), 1, IF( AND( OFFSET($A$1, 498 - 1, 64 - 1) = "1", OFFSET($A$1, 498 - 1, 65 - 1) = "0" ), 2, IF( AND( OFFSET($A$1, 498 - 1, 64 - 1) = "0", OFFSET($A$1, 498 - 1, 65 - 1) = "1" ), 3, 4 ) ) )</f>
        <v>4</v>
      </c>
    </row>
    <row r="499" spans="58:66" x14ac:dyDescent="0.2">
      <c r="BF499" s="3">
        <v>0</v>
      </c>
      <c r="BG499" s="3" t="str">
        <f>"0"</f>
        <v>0</v>
      </c>
      <c r="BH499" t="str">
        <f ca="1">IF((OFFSET($A$1, 499 - 1, 58 - 1)) &gt;= (OFFSET($A$1, 96 - 1, 7 - 1)), "1","0")</f>
        <v>0</v>
      </c>
      <c r="BI499">
        <f ca="1" xml:space="preserve"> IF( AND( OFFSET($A$1, 499 - 1, 59 - 1) = "1", OFFSET($A$1, 499 - 1, 60 - 1) = "1" ), 1, IF( AND( OFFSET($A$1, 499 - 1, 59 - 1) = "1", OFFSET($A$1, 499 - 1, 60 - 1) = "0" ), 2, IF( AND( OFFSET($A$1, 499 - 1, 59 - 1) = "0", OFFSET($A$1, 499 - 1, 60 - 1) = "1" ), 3, 4 ) ) )</f>
        <v>4</v>
      </c>
      <c r="BK499" s="3">
        <v>2.5316455696202531E-2</v>
      </c>
      <c r="BL499" s="3" t="str">
        <f t="shared" si="55"/>
        <v>0</v>
      </c>
      <c r="BM499" t="str">
        <f ca="1">IF((OFFSET($A$1, 499 - 1, 63 - 1)) &gt;= (OFFSET($A$1, 135 - 1, 7 - 1)), "1","0")</f>
        <v>0</v>
      </c>
      <c r="BN499">
        <f ca="1" xml:space="preserve"> IF( AND( OFFSET($A$1, 499 - 1, 64 - 1) = "1", OFFSET($A$1, 499 - 1, 65 - 1) = "1" ), 1, IF( AND( OFFSET($A$1, 499 - 1, 64 - 1) = "1", OFFSET($A$1, 499 - 1, 65 - 1) = "0" ), 2, IF( AND( OFFSET($A$1, 499 - 1, 64 - 1) = "0", OFFSET($A$1, 499 - 1, 65 - 1) = "1" ), 3, 4 ) ) )</f>
        <v>4</v>
      </c>
    </row>
    <row r="500" spans="58:66" x14ac:dyDescent="0.2">
      <c r="BF500" s="3">
        <v>4.3478260869565216E-2</v>
      </c>
      <c r="BG500" s="3" t="str">
        <f>"0"</f>
        <v>0</v>
      </c>
      <c r="BH500" t="str">
        <f ca="1">IF((OFFSET($A$1, 500 - 1, 58 - 1)) &gt;= (OFFSET($A$1, 96 - 1, 7 - 1)), "1","0")</f>
        <v>0</v>
      </c>
      <c r="BI500">
        <f ca="1" xml:space="preserve"> IF( AND( OFFSET($A$1, 500 - 1, 59 - 1) = "1", OFFSET($A$1, 500 - 1, 60 - 1) = "1" ), 1, IF( AND( OFFSET($A$1, 500 - 1, 59 - 1) = "1", OFFSET($A$1, 500 - 1, 60 - 1) = "0" ), 2, IF( AND( OFFSET($A$1, 500 - 1, 59 - 1) = "0", OFFSET($A$1, 500 - 1, 60 - 1) = "1" ), 3, 4 ) ) )</f>
        <v>4</v>
      </c>
      <c r="BK500" s="3">
        <v>0.38775510204081637</v>
      </c>
      <c r="BL500" s="3" t="str">
        <f t="shared" si="55"/>
        <v>0</v>
      </c>
      <c r="BM500" t="str">
        <f ca="1">IF((OFFSET($A$1, 500 - 1, 63 - 1)) &gt;= (OFFSET($A$1, 135 - 1, 7 - 1)), "1","0")</f>
        <v>0</v>
      </c>
      <c r="BN500">
        <f ca="1" xml:space="preserve"> IF( AND( OFFSET($A$1, 500 - 1, 64 - 1) = "1", OFFSET($A$1, 500 - 1, 65 - 1) = "1" ), 1, IF( AND( OFFSET($A$1, 500 - 1, 64 - 1) = "1", OFFSET($A$1, 500 - 1, 65 - 1) = "0" ), 2, IF( AND( OFFSET($A$1, 500 - 1, 64 - 1) = "0", OFFSET($A$1, 500 - 1, 65 - 1) = "1" ), 3, 4 ) ) )</f>
        <v>4</v>
      </c>
    </row>
    <row r="501" spans="58:66" x14ac:dyDescent="0.2">
      <c r="BF501" s="3">
        <v>0.90579710144927539</v>
      </c>
      <c r="BG501" s="3" t="str">
        <f>"1"</f>
        <v>1</v>
      </c>
      <c r="BH501" t="str">
        <f ca="1">IF((OFFSET($A$1, 501 - 1, 58 - 1)) &gt;= (OFFSET($A$1, 96 - 1, 7 - 1)), "1","0")</f>
        <v>1</v>
      </c>
      <c r="BI501">
        <f ca="1" xml:space="preserve"> IF( AND( OFFSET($A$1, 501 - 1, 59 - 1) = "1", OFFSET($A$1, 501 - 1, 60 - 1) = "1" ), 1, IF( AND( OFFSET($A$1, 501 - 1, 59 - 1) = "1", OFFSET($A$1, 501 - 1, 60 - 1) = "0" ), 2, IF( AND( OFFSET($A$1, 501 - 1, 59 - 1) = "0", OFFSET($A$1, 501 - 1, 60 - 1) = "1" ), 3, 4 ) ) )</f>
        <v>1</v>
      </c>
      <c r="BK501" s="3">
        <v>2.5316455696202531E-2</v>
      </c>
      <c r="BL501" s="3" t="str">
        <f t="shared" si="55"/>
        <v>0</v>
      </c>
      <c r="BM501" t="str">
        <f ca="1">IF((OFFSET($A$1, 501 - 1, 63 - 1)) &gt;= (OFFSET($A$1, 135 - 1, 7 - 1)), "1","0")</f>
        <v>0</v>
      </c>
      <c r="BN501">
        <f ca="1" xml:space="preserve"> IF( AND( OFFSET($A$1, 501 - 1, 64 - 1) = "1", OFFSET($A$1, 501 - 1, 65 - 1) = "1" ), 1, IF( AND( OFFSET($A$1, 501 - 1, 64 - 1) = "1", OFFSET($A$1, 501 - 1, 65 - 1) = "0" ), 2, IF( AND( OFFSET($A$1, 501 - 1, 64 - 1) = "0", OFFSET($A$1, 501 - 1, 65 - 1) = "1" ), 3, 4 ) ) )</f>
        <v>4</v>
      </c>
    </row>
    <row r="502" spans="58:66" x14ac:dyDescent="0.2">
      <c r="BF502" s="3">
        <v>0.36</v>
      </c>
      <c r="BG502" s="3" t="str">
        <f>"0"</f>
        <v>0</v>
      </c>
      <c r="BH502" t="str">
        <f ca="1">IF((OFFSET($A$1, 502 - 1, 58 - 1)) &gt;= (OFFSET($A$1, 96 - 1, 7 - 1)), "1","0")</f>
        <v>0</v>
      </c>
      <c r="BI502">
        <f ca="1" xml:space="preserve"> IF( AND( OFFSET($A$1, 502 - 1, 59 - 1) = "1", OFFSET($A$1, 502 - 1, 60 - 1) = "1" ), 1, IF( AND( OFFSET($A$1, 502 - 1, 59 - 1) = "1", OFFSET($A$1, 502 - 1, 60 - 1) = "0" ), 2, IF( AND( OFFSET($A$1, 502 - 1, 59 - 1) = "0", OFFSET($A$1, 502 - 1, 60 - 1) = "1" ), 3, 4 ) ) )</f>
        <v>4</v>
      </c>
      <c r="BK502" s="3">
        <v>6.6350710900473939E-2</v>
      </c>
      <c r="BL502" s="3" t="str">
        <f t="shared" si="55"/>
        <v>0</v>
      </c>
      <c r="BM502" t="str">
        <f ca="1">IF((OFFSET($A$1, 502 - 1, 63 - 1)) &gt;= (OFFSET($A$1, 135 - 1, 7 - 1)), "1","0")</f>
        <v>0</v>
      </c>
      <c r="BN502">
        <f ca="1" xml:space="preserve"> IF( AND( OFFSET($A$1, 502 - 1, 64 - 1) = "1", OFFSET($A$1, 502 - 1, 65 - 1) = "1" ), 1, IF( AND( OFFSET($A$1, 502 - 1, 64 - 1) = "1", OFFSET($A$1, 502 - 1, 65 - 1) = "0" ), 2, IF( AND( OFFSET($A$1, 502 - 1, 64 - 1) = "0", OFFSET($A$1, 502 - 1, 65 - 1) = "1" ), 3, 4 ) ) )</f>
        <v>4</v>
      </c>
    </row>
    <row r="503" spans="58:66" x14ac:dyDescent="0.2">
      <c r="BF503" s="3">
        <v>0</v>
      </c>
      <c r="BG503" s="3" t="str">
        <f>"0"</f>
        <v>0</v>
      </c>
      <c r="BH503" t="str">
        <f ca="1">IF((OFFSET($A$1, 503 - 1, 58 - 1)) &gt;= (OFFSET($A$1, 96 - 1, 7 - 1)), "1","0")</f>
        <v>0</v>
      </c>
      <c r="BI503">
        <f ca="1" xml:space="preserve"> IF( AND( OFFSET($A$1, 503 - 1, 59 - 1) = "1", OFFSET($A$1, 503 - 1, 60 - 1) = "1" ), 1, IF( AND( OFFSET($A$1, 503 - 1, 59 - 1) = "1", OFFSET($A$1, 503 - 1, 60 - 1) = "0" ), 2, IF( AND( OFFSET($A$1, 503 - 1, 59 - 1) = "0", OFFSET($A$1, 503 - 1, 60 - 1) = "1" ), 3, 4 ) ) )</f>
        <v>4</v>
      </c>
      <c r="BK503" s="3">
        <v>6.6350710900473939E-2</v>
      </c>
      <c r="BL503" s="3" t="str">
        <f t="shared" si="55"/>
        <v>0</v>
      </c>
      <c r="BM503" t="str">
        <f ca="1">IF((OFFSET($A$1, 503 - 1, 63 - 1)) &gt;= (OFFSET($A$1, 135 - 1, 7 - 1)), "1","0")</f>
        <v>0</v>
      </c>
      <c r="BN503">
        <f ca="1" xml:space="preserve"> IF( AND( OFFSET($A$1, 503 - 1, 64 - 1) = "1", OFFSET($A$1, 503 - 1, 65 - 1) = "1" ), 1, IF( AND( OFFSET($A$1, 503 - 1, 64 - 1) = "1", OFFSET($A$1, 503 - 1, 65 - 1) = "0" ), 2, IF( AND( OFFSET($A$1, 503 - 1, 64 - 1) = "0", OFFSET($A$1, 503 - 1, 65 - 1) = "1" ), 3, 4 ) ) )</f>
        <v>4</v>
      </c>
    </row>
    <row r="504" spans="58:66" x14ac:dyDescent="0.2">
      <c r="BF504" s="3">
        <v>0.36</v>
      </c>
      <c r="BG504" s="3" t="str">
        <f>"0"</f>
        <v>0</v>
      </c>
      <c r="BH504" t="str">
        <f ca="1">IF((OFFSET($A$1, 504 - 1, 58 - 1)) &gt;= (OFFSET($A$1, 96 - 1, 7 - 1)), "1","0")</f>
        <v>0</v>
      </c>
      <c r="BI504">
        <f ca="1" xml:space="preserve"> IF( AND( OFFSET($A$1, 504 - 1, 59 - 1) = "1", OFFSET($A$1, 504 - 1, 60 - 1) = "1" ), 1, IF( AND( OFFSET($A$1, 504 - 1, 59 - 1) = "1", OFFSET($A$1, 504 - 1, 60 - 1) = "0" ), 2, IF( AND( OFFSET($A$1, 504 - 1, 59 - 1) = "0", OFFSET($A$1, 504 - 1, 60 - 1) = "1" ), 3, 4 ) ) )</f>
        <v>4</v>
      </c>
      <c r="BK504" s="3">
        <v>6.6350710900473939E-2</v>
      </c>
      <c r="BL504" s="3" t="str">
        <f t="shared" si="55"/>
        <v>0</v>
      </c>
      <c r="BM504" t="str">
        <f ca="1">IF((OFFSET($A$1, 504 - 1, 63 - 1)) &gt;= (OFFSET($A$1, 135 - 1, 7 - 1)), "1","0")</f>
        <v>0</v>
      </c>
      <c r="BN504">
        <f ca="1" xml:space="preserve"> IF( AND( OFFSET($A$1, 504 - 1, 64 - 1) = "1", OFFSET($A$1, 504 - 1, 65 - 1) = "1" ), 1, IF( AND( OFFSET($A$1, 504 - 1, 64 - 1) = "1", OFFSET($A$1, 504 - 1, 65 - 1) = "0" ), 2, IF( AND( OFFSET($A$1, 504 - 1, 64 - 1) = "0", OFFSET($A$1, 504 - 1, 65 - 1) = "1" ), 3, 4 ) ) )</f>
        <v>4</v>
      </c>
    </row>
    <row r="505" spans="58:66" x14ac:dyDescent="0.2">
      <c r="BF505" s="3">
        <v>3.7037037037037042E-2</v>
      </c>
      <c r="BG505" s="3" t="str">
        <f>"0"</f>
        <v>0</v>
      </c>
      <c r="BH505" t="str">
        <f ca="1">IF((OFFSET($A$1, 505 - 1, 58 - 1)) &gt;= (OFFSET($A$1, 96 - 1, 7 - 1)), "1","0")</f>
        <v>0</v>
      </c>
      <c r="BI505">
        <f ca="1" xml:space="preserve"> IF( AND( OFFSET($A$1, 505 - 1, 59 - 1) = "1", OFFSET($A$1, 505 - 1, 60 - 1) = "1" ), 1, IF( AND( OFFSET($A$1, 505 - 1, 59 - 1) = "1", OFFSET($A$1, 505 - 1, 60 - 1) = "0" ), 2, IF( AND( OFFSET($A$1, 505 - 1, 59 - 1) = "0", OFFSET($A$1, 505 - 1, 60 - 1) = "1" ), 3, 4 ) ) )</f>
        <v>4</v>
      </c>
      <c r="BK505" s="3">
        <v>0.90579710144927539</v>
      </c>
      <c r="BL505" s="3" t="str">
        <f>"1"</f>
        <v>1</v>
      </c>
      <c r="BM505" t="str">
        <f ca="1">IF((OFFSET($A$1, 505 - 1, 63 - 1)) &gt;= (OFFSET($A$1, 135 - 1, 7 - 1)), "1","0")</f>
        <v>1</v>
      </c>
      <c r="BN505">
        <f ca="1" xml:space="preserve"> IF( AND( OFFSET($A$1, 505 - 1, 64 - 1) = "1", OFFSET($A$1, 505 - 1, 65 - 1) = "1" ), 1, IF( AND( OFFSET($A$1, 505 - 1, 64 - 1) = "1", OFFSET($A$1, 505 - 1, 65 - 1) = "0" ), 2, IF( AND( OFFSET($A$1, 505 - 1, 64 - 1) = "0", OFFSET($A$1, 505 - 1, 65 - 1) = "1" ), 3, 4 ) ) )</f>
        <v>1</v>
      </c>
    </row>
    <row r="506" spans="58:66" x14ac:dyDescent="0.2">
      <c r="BF506" s="3">
        <v>0.34722222222222221</v>
      </c>
      <c r="BG506" s="3" t="str">
        <f>"1"</f>
        <v>1</v>
      </c>
      <c r="BH506" t="str">
        <f ca="1">IF((OFFSET($A$1, 506 - 1, 58 - 1)) &gt;= (OFFSET($A$1, 96 - 1, 7 - 1)), "1","0")</f>
        <v>0</v>
      </c>
      <c r="BI506">
        <f ca="1" xml:space="preserve"> IF( AND( OFFSET($A$1, 506 - 1, 59 - 1) = "1", OFFSET($A$1, 506 - 1, 60 - 1) = "1" ), 1, IF( AND( OFFSET($A$1, 506 - 1, 59 - 1) = "1", OFFSET($A$1, 506 - 1, 60 - 1) = "0" ), 2, IF( AND( OFFSET($A$1, 506 - 1, 59 - 1) = "0", OFFSET($A$1, 506 - 1, 60 - 1) = "1" ), 3, 4 ) ) )</f>
        <v>2</v>
      </c>
      <c r="BK506" s="3">
        <v>0.90579710144927539</v>
      </c>
      <c r="BL506" s="3" t="str">
        <f>"1"</f>
        <v>1</v>
      </c>
      <c r="BM506" t="str">
        <f ca="1">IF((OFFSET($A$1, 506 - 1, 63 - 1)) &gt;= (OFFSET($A$1, 135 - 1, 7 - 1)), "1","0")</f>
        <v>1</v>
      </c>
      <c r="BN506">
        <f ca="1" xml:space="preserve"> IF( AND( OFFSET($A$1, 506 - 1, 64 - 1) = "1", OFFSET($A$1, 506 - 1, 65 - 1) = "1" ), 1, IF( AND( OFFSET($A$1, 506 - 1, 64 - 1) = "1", OFFSET($A$1, 506 - 1, 65 - 1) = "0" ), 2, IF( AND( OFFSET($A$1, 506 - 1, 64 - 1) = "0", OFFSET($A$1, 506 - 1, 65 - 1) = "1" ), 3, 4 ) ) )</f>
        <v>1</v>
      </c>
    </row>
    <row r="507" spans="58:66" x14ac:dyDescent="0.2">
      <c r="BF507" s="3">
        <v>3.7037037037037042E-2</v>
      </c>
      <c r="BG507" s="3" t="str">
        <f>"0"</f>
        <v>0</v>
      </c>
      <c r="BH507" t="str">
        <f ca="1">IF((OFFSET($A$1, 507 - 1, 58 - 1)) &gt;= (OFFSET($A$1, 96 - 1, 7 - 1)), "1","0")</f>
        <v>0</v>
      </c>
      <c r="BI507">
        <f ca="1" xml:space="preserve"> IF( AND( OFFSET($A$1, 507 - 1, 59 - 1) = "1", OFFSET($A$1, 507 - 1, 60 - 1) = "1" ), 1, IF( AND( OFFSET($A$1, 507 - 1, 59 - 1) = "1", OFFSET($A$1, 507 - 1, 60 - 1) = "0" ), 2, IF( AND( OFFSET($A$1, 507 - 1, 59 - 1) = "0", OFFSET($A$1, 507 - 1, 60 - 1) = "1" ), 3, 4 ) ) )</f>
        <v>4</v>
      </c>
      <c r="BK507" s="3">
        <v>6.6350710900473939E-2</v>
      </c>
      <c r="BL507" s="3" t="str">
        <f>"0"</f>
        <v>0</v>
      </c>
      <c r="BM507" t="str">
        <f ca="1">IF((OFFSET($A$1, 507 - 1, 63 - 1)) &gt;= (OFFSET($A$1, 135 - 1, 7 - 1)), "1","0")</f>
        <v>0</v>
      </c>
      <c r="BN507">
        <f ca="1" xml:space="preserve"> IF( AND( OFFSET($A$1, 507 - 1, 64 - 1) = "1", OFFSET($A$1, 507 - 1, 65 - 1) = "1" ), 1, IF( AND( OFFSET($A$1, 507 - 1, 64 - 1) = "1", OFFSET($A$1, 507 - 1, 65 - 1) = "0" ), 2, IF( AND( OFFSET($A$1, 507 - 1, 64 - 1) = "0", OFFSET($A$1, 507 - 1, 65 - 1) = "1" ), 3, 4 ) ) )</f>
        <v>4</v>
      </c>
    </row>
    <row r="508" spans="58:66" x14ac:dyDescent="0.2">
      <c r="BF508" s="3">
        <v>3.7037037037037042E-2</v>
      </c>
      <c r="BG508" s="3" t="str">
        <f>"0"</f>
        <v>0</v>
      </c>
      <c r="BH508" t="str">
        <f ca="1">IF((OFFSET($A$1, 508 - 1, 58 - 1)) &gt;= (OFFSET($A$1, 96 - 1, 7 - 1)), "1","0")</f>
        <v>0</v>
      </c>
      <c r="BI508">
        <f ca="1" xml:space="preserve"> IF( AND( OFFSET($A$1, 508 - 1, 59 - 1) = "1", OFFSET($A$1, 508 - 1, 60 - 1) = "1" ), 1, IF( AND( OFFSET($A$1, 508 - 1, 59 - 1) = "1", OFFSET($A$1, 508 - 1, 60 - 1) = "0" ), 2, IF( AND( OFFSET($A$1, 508 - 1, 59 - 1) = "0", OFFSET($A$1, 508 - 1, 60 - 1) = "1" ), 3, 4 ) ) )</f>
        <v>4</v>
      </c>
      <c r="BK508" s="3">
        <v>6.6350710900473939E-2</v>
      </c>
      <c r="BL508" s="3" t="str">
        <f>"0"</f>
        <v>0</v>
      </c>
      <c r="BM508" t="str">
        <f ca="1">IF((OFFSET($A$1, 508 - 1, 63 - 1)) &gt;= (OFFSET($A$1, 135 - 1, 7 - 1)), "1","0")</f>
        <v>0</v>
      </c>
      <c r="BN508">
        <f ca="1" xml:space="preserve"> IF( AND( OFFSET($A$1, 508 - 1, 64 - 1) = "1", OFFSET($A$1, 508 - 1, 65 - 1) = "1" ), 1, IF( AND( OFFSET($A$1, 508 - 1, 64 - 1) = "1", OFFSET($A$1, 508 - 1, 65 - 1) = "0" ), 2, IF( AND( OFFSET($A$1, 508 - 1, 64 - 1) = "0", OFFSET($A$1, 508 - 1, 65 - 1) = "1" ), 3, 4 ) ) )</f>
        <v>4</v>
      </c>
    </row>
    <row r="509" spans="58:66" x14ac:dyDescent="0.2">
      <c r="BF509" s="3">
        <v>0.47692307692307689</v>
      </c>
      <c r="BG509" s="3" t="str">
        <f>"1"</f>
        <v>1</v>
      </c>
      <c r="BH509" t="str">
        <f ca="1">IF((OFFSET($A$1, 509 - 1, 58 - 1)) &gt;= (OFFSET($A$1, 96 - 1, 7 - 1)), "1","0")</f>
        <v>0</v>
      </c>
      <c r="BI509">
        <f ca="1" xml:space="preserve"> IF( AND( OFFSET($A$1, 509 - 1, 59 - 1) = "1", OFFSET($A$1, 509 - 1, 60 - 1) = "1" ), 1, IF( AND( OFFSET($A$1, 509 - 1, 59 - 1) = "1", OFFSET($A$1, 509 - 1, 60 - 1) = "0" ), 2, IF( AND( OFFSET($A$1, 509 - 1, 59 - 1) = "0", OFFSET($A$1, 509 - 1, 60 - 1) = "1" ), 3, 4 ) ) )</f>
        <v>2</v>
      </c>
      <c r="BK509" s="3">
        <v>6.6350710900473939E-2</v>
      </c>
      <c r="BL509" s="3" t="str">
        <f>"0"</f>
        <v>0</v>
      </c>
      <c r="BM509" t="str">
        <f ca="1">IF((OFFSET($A$1, 509 - 1, 63 - 1)) &gt;= (OFFSET($A$1, 135 - 1, 7 - 1)), "1","0")</f>
        <v>0</v>
      </c>
      <c r="BN509">
        <f ca="1" xml:space="preserve"> IF( AND( OFFSET($A$1, 509 - 1, 64 - 1) = "1", OFFSET($A$1, 509 - 1, 65 - 1) = "1" ), 1, IF( AND( OFFSET($A$1, 509 - 1, 64 - 1) = "1", OFFSET($A$1, 509 - 1, 65 - 1) = "0" ), 2, IF( AND( OFFSET($A$1, 509 - 1, 64 - 1) = "0", OFFSET($A$1, 509 - 1, 65 - 1) = "1" ), 3, 4 ) ) )</f>
        <v>4</v>
      </c>
    </row>
    <row r="510" spans="58:66" x14ac:dyDescent="0.2">
      <c r="BF510" s="3">
        <v>3.7037037037037042E-2</v>
      </c>
      <c r="BG510" s="3" t="str">
        <f>"0"</f>
        <v>0</v>
      </c>
      <c r="BH510" t="str">
        <f ca="1">IF((OFFSET($A$1, 510 - 1, 58 - 1)) &gt;= (OFFSET($A$1, 96 - 1, 7 - 1)), "1","0")</f>
        <v>0</v>
      </c>
      <c r="BI510">
        <f ca="1" xml:space="preserve"> IF( AND( OFFSET($A$1, 510 - 1, 59 - 1) = "1", OFFSET($A$1, 510 - 1, 60 - 1) = "1" ), 1, IF( AND( OFFSET($A$1, 510 - 1, 59 - 1) = "1", OFFSET($A$1, 510 - 1, 60 - 1) = "0" ), 2, IF( AND( OFFSET($A$1, 510 - 1, 59 - 1) = "0", OFFSET($A$1, 510 - 1, 60 - 1) = "1" ), 3, 4 ) ) )</f>
        <v>4</v>
      </c>
      <c r="BK510" s="3">
        <v>6.6350710900473939E-2</v>
      </c>
      <c r="BL510" s="3" t="str">
        <f>"1"</f>
        <v>1</v>
      </c>
      <c r="BM510" t="str">
        <f ca="1">IF((OFFSET($A$1, 510 - 1, 63 - 1)) &gt;= (OFFSET($A$1, 135 - 1, 7 - 1)), "1","0")</f>
        <v>0</v>
      </c>
      <c r="BN510">
        <f ca="1" xml:space="preserve"> IF( AND( OFFSET($A$1, 510 - 1, 64 - 1) = "1", OFFSET($A$1, 510 - 1, 65 - 1) = "1" ), 1, IF( AND( OFFSET($A$1, 510 - 1, 64 - 1) = "1", OFFSET($A$1, 510 - 1, 65 - 1) = "0" ), 2, IF( AND( OFFSET($A$1, 510 - 1, 64 - 1) = "0", OFFSET($A$1, 510 - 1, 65 - 1) = "1" ), 3, 4 ) ) )</f>
        <v>2</v>
      </c>
    </row>
    <row r="511" spans="58:66" x14ac:dyDescent="0.2">
      <c r="BF511" s="3">
        <v>0.90579710144927539</v>
      </c>
      <c r="BG511" s="3" t="str">
        <f>"1"</f>
        <v>1</v>
      </c>
      <c r="BH511" t="str">
        <f ca="1">IF((OFFSET($A$1, 511 - 1, 58 - 1)) &gt;= (OFFSET($A$1, 96 - 1, 7 - 1)), "1","0")</f>
        <v>1</v>
      </c>
      <c r="BI511">
        <f ca="1" xml:space="preserve"> IF( AND( OFFSET($A$1, 511 - 1, 59 - 1) = "1", OFFSET($A$1, 511 - 1, 60 - 1) = "1" ), 1, IF( AND( OFFSET($A$1, 511 - 1, 59 - 1) = "1", OFFSET($A$1, 511 - 1, 60 - 1) = "0" ), 2, IF( AND( OFFSET($A$1, 511 - 1, 59 - 1) = "0", OFFSET($A$1, 511 - 1, 60 - 1) = "1" ), 3, 4 ) ) )</f>
        <v>1</v>
      </c>
      <c r="BK511" s="3">
        <v>6.6350710900473939E-2</v>
      </c>
      <c r="BL511" s="3" t="str">
        <f>"0"</f>
        <v>0</v>
      </c>
      <c r="BM511" t="str">
        <f ca="1">IF((OFFSET($A$1, 511 - 1, 63 - 1)) &gt;= (OFFSET($A$1, 135 - 1, 7 - 1)), "1","0")</f>
        <v>0</v>
      </c>
      <c r="BN511">
        <f ca="1" xml:space="preserve"> IF( AND( OFFSET($A$1, 511 - 1, 64 - 1) = "1", OFFSET($A$1, 511 - 1, 65 - 1) = "1" ), 1, IF( AND( OFFSET($A$1, 511 - 1, 64 - 1) = "1", OFFSET($A$1, 511 - 1, 65 - 1) = "0" ), 2, IF( AND( OFFSET($A$1, 511 - 1, 64 - 1) = "0", OFFSET($A$1, 511 - 1, 65 - 1) = "1" ), 3, 4 ) ) )</f>
        <v>4</v>
      </c>
    </row>
    <row r="512" spans="58:66" x14ac:dyDescent="0.2">
      <c r="BF512" s="3">
        <v>0</v>
      </c>
      <c r="BG512" s="3" t="str">
        <f>"0"</f>
        <v>0</v>
      </c>
      <c r="BH512" t="str">
        <f ca="1">IF((OFFSET($A$1, 512 - 1, 58 - 1)) &gt;= (OFFSET($A$1, 96 - 1, 7 - 1)), "1","0")</f>
        <v>0</v>
      </c>
      <c r="BI512">
        <f ca="1" xml:space="preserve"> IF( AND( OFFSET($A$1, 512 - 1, 59 - 1) = "1", OFFSET($A$1, 512 - 1, 60 - 1) = "1" ), 1, IF( AND( OFFSET($A$1, 512 - 1, 59 - 1) = "1", OFFSET($A$1, 512 - 1, 60 - 1) = "0" ), 2, IF( AND( OFFSET($A$1, 512 - 1, 59 - 1) = "0", OFFSET($A$1, 512 - 1, 60 - 1) = "1" ), 3, 4 ) ) )</f>
        <v>4</v>
      </c>
      <c r="BK512" s="3">
        <v>6.6350710900473939E-2</v>
      </c>
      <c r="BL512" s="3" t="str">
        <f>"0"</f>
        <v>0</v>
      </c>
      <c r="BM512" t="str">
        <f ca="1">IF((OFFSET($A$1, 512 - 1, 63 - 1)) &gt;= (OFFSET($A$1, 135 - 1, 7 - 1)), "1","0")</f>
        <v>0</v>
      </c>
      <c r="BN512">
        <f ca="1" xml:space="preserve"> IF( AND( OFFSET($A$1, 512 - 1, 64 - 1) = "1", OFFSET($A$1, 512 - 1, 65 - 1) = "1" ), 1, IF( AND( OFFSET($A$1, 512 - 1, 64 - 1) = "1", OFFSET($A$1, 512 - 1, 65 - 1) = "0" ), 2, IF( AND( OFFSET($A$1, 512 - 1, 64 - 1) = "0", OFFSET($A$1, 512 - 1, 65 - 1) = "1" ), 3, 4 ) ) )</f>
        <v>4</v>
      </c>
    </row>
    <row r="513" spans="58:66" x14ac:dyDescent="0.2">
      <c r="BF513" s="3">
        <v>3.7037037037037042E-2</v>
      </c>
      <c r="BG513" s="3" t="str">
        <f>"0"</f>
        <v>0</v>
      </c>
      <c r="BH513" t="str">
        <f ca="1">IF((OFFSET($A$1, 513 - 1, 58 - 1)) &gt;= (OFFSET($A$1, 96 - 1, 7 - 1)), "1","0")</f>
        <v>0</v>
      </c>
      <c r="BI513">
        <f ca="1" xml:space="preserve"> IF( AND( OFFSET($A$1, 513 - 1, 59 - 1) = "1", OFFSET($A$1, 513 - 1, 60 - 1) = "1" ), 1, IF( AND( OFFSET($A$1, 513 - 1, 59 - 1) = "1", OFFSET($A$1, 513 - 1, 60 - 1) = "0" ), 2, IF( AND( OFFSET($A$1, 513 - 1, 59 - 1) = "0", OFFSET($A$1, 513 - 1, 60 - 1) = "1" ), 3, 4 ) ) )</f>
        <v>4</v>
      </c>
      <c r="BK513" s="3">
        <v>6.6350710900473939E-2</v>
      </c>
      <c r="BL513" s="3" t="str">
        <f>"0"</f>
        <v>0</v>
      </c>
      <c r="BM513" t="str">
        <f ca="1">IF((OFFSET($A$1, 513 - 1, 63 - 1)) &gt;= (OFFSET($A$1, 135 - 1, 7 - 1)), "1","0")</f>
        <v>0</v>
      </c>
      <c r="BN513">
        <f ca="1" xml:space="preserve"> IF( AND( OFFSET($A$1, 513 - 1, 64 - 1) = "1", OFFSET($A$1, 513 - 1, 65 - 1) = "1" ), 1, IF( AND( OFFSET($A$1, 513 - 1, 64 - 1) = "1", OFFSET($A$1, 513 - 1, 65 - 1) = "0" ), 2, IF( AND( OFFSET($A$1, 513 - 1, 64 - 1) = "0", OFFSET($A$1, 513 - 1, 65 - 1) = "1" ), 3, 4 ) ) )</f>
        <v>4</v>
      </c>
    </row>
    <row r="514" spans="58:66" x14ac:dyDescent="0.2">
      <c r="BF514" s="3">
        <v>0.90579710144927539</v>
      </c>
      <c r="BG514" s="3" t="str">
        <f>"1"</f>
        <v>1</v>
      </c>
      <c r="BH514" t="str">
        <f ca="1">IF((OFFSET($A$1, 514 - 1, 58 - 1)) &gt;= (OFFSET($A$1, 96 - 1, 7 - 1)), "1","0")</f>
        <v>1</v>
      </c>
      <c r="BI514">
        <f ca="1" xml:space="preserve"> IF( AND( OFFSET($A$1, 514 - 1, 59 - 1) = "1", OFFSET($A$1, 514 - 1, 60 - 1) = "1" ), 1, IF( AND( OFFSET($A$1, 514 - 1, 59 - 1) = "1", OFFSET($A$1, 514 - 1, 60 - 1) = "0" ), 2, IF( AND( OFFSET($A$1, 514 - 1, 59 - 1) = "0", OFFSET($A$1, 514 - 1, 60 - 1) = "1" ), 3, 4 ) ) )</f>
        <v>1</v>
      </c>
      <c r="BK514" s="3">
        <v>6.6350710900473939E-2</v>
      </c>
      <c r="BL514" s="3" t="str">
        <f>"0"</f>
        <v>0</v>
      </c>
      <c r="BM514" t="str">
        <f ca="1">IF((OFFSET($A$1, 514 - 1, 63 - 1)) &gt;= (OFFSET($A$1, 135 - 1, 7 - 1)), "1","0")</f>
        <v>0</v>
      </c>
      <c r="BN514">
        <f ca="1" xml:space="preserve"> IF( AND( OFFSET($A$1, 514 - 1, 64 - 1) = "1", OFFSET($A$1, 514 - 1, 65 - 1) = "1" ), 1, IF( AND( OFFSET($A$1, 514 - 1, 64 - 1) = "1", OFFSET($A$1, 514 - 1, 65 - 1) = "0" ), 2, IF( AND( OFFSET($A$1, 514 - 1, 64 - 1) = "0", OFFSET($A$1, 514 - 1, 65 - 1) = "1" ), 3, 4 ) ) )</f>
        <v>4</v>
      </c>
    </row>
    <row r="515" spans="58:66" x14ac:dyDescent="0.2">
      <c r="BF515" s="3">
        <v>0</v>
      </c>
      <c r="BG515" s="3" t="str">
        <f>"0"</f>
        <v>0</v>
      </c>
      <c r="BH515" t="str">
        <f ca="1">IF((OFFSET($A$1, 515 - 1, 58 - 1)) &gt;= (OFFSET($A$1, 96 - 1, 7 - 1)), "1","0")</f>
        <v>0</v>
      </c>
      <c r="BI515">
        <f ca="1" xml:space="preserve"> IF( AND( OFFSET($A$1, 515 - 1, 59 - 1) = "1", OFFSET($A$1, 515 - 1, 60 - 1) = "1" ), 1, IF( AND( OFFSET($A$1, 515 - 1, 59 - 1) = "1", OFFSET($A$1, 515 - 1, 60 - 1) = "0" ), 2, IF( AND( OFFSET($A$1, 515 - 1, 59 - 1) = "0", OFFSET($A$1, 515 - 1, 60 - 1) = "1" ), 3, 4 ) ) )</f>
        <v>4</v>
      </c>
      <c r="BK515" s="3">
        <v>0.38775510204081637</v>
      </c>
      <c r="BL515" s="3" t="str">
        <f>"0"</f>
        <v>0</v>
      </c>
      <c r="BM515" t="str">
        <f ca="1">IF((OFFSET($A$1, 515 - 1, 63 - 1)) &gt;= (OFFSET($A$1, 135 - 1, 7 - 1)), "1","0")</f>
        <v>0</v>
      </c>
      <c r="BN515">
        <f ca="1" xml:space="preserve"> IF( AND( OFFSET($A$1, 515 - 1, 64 - 1) = "1", OFFSET($A$1, 515 - 1, 65 - 1) = "1" ), 1, IF( AND( OFFSET($A$1, 515 - 1, 64 - 1) = "1", OFFSET($A$1, 515 - 1, 65 - 1) = "0" ), 2, IF( AND( OFFSET($A$1, 515 - 1, 64 - 1) = "0", OFFSET($A$1, 515 - 1, 65 - 1) = "1" ), 3, 4 ) ) )</f>
        <v>4</v>
      </c>
    </row>
    <row r="516" spans="58:66" x14ac:dyDescent="0.2">
      <c r="BF516" s="3">
        <v>0</v>
      </c>
      <c r="BG516" s="3" t="str">
        <f>"0"</f>
        <v>0</v>
      </c>
      <c r="BH516" t="str">
        <f ca="1">IF((OFFSET($A$1, 516 - 1, 58 - 1)) &gt;= (OFFSET($A$1, 96 - 1, 7 - 1)), "1","0")</f>
        <v>0</v>
      </c>
      <c r="BI516">
        <f ca="1" xml:space="preserve"> IF( AND( OFFSET($A$1, 516 - 1, 59 - 1) = "1", OFFSET($A$1, 516 - 1, 60 - 1) = "1" ), 1, IF( AND( OFFSET($A$1, 516 - 1, 59 - 1) = "1", OFFSET($A$1, 516 - 1, 60 - 1) = "0" ), 2, IF( AND( OFFSET($A$1, 516 - 1, 59 - 1) = "0", OFFSET($A$1, 516 - 1, 60 - 1) = "1" ), 3, 4 ) ) )</f>
        <v>4</v>
      </c>
      <c r="BK516" s="3">
        <v>0.36</v>
      </c>
      <c r="BL516" s="3" t="str">
        <f>"1"</f>
        <v>1</v>
      </c>
      <c r="BM516" t="str">
        <f ca="1">IF((OFFSET($A$1, 516 - 1, 63 - 1)) &gt;= (OFFSET($A$1, 135 - 1, 7 - 1)), "1","0")</f>
        <v>0</v>
      </c>
      <c r="BN516">
        <f ca="1" xml:space="preserve"> IF( AND( OFFSET($A$1, 516 - 1, 64 - 1) = "1", OFFSET($A$1, 516 - 1, 65 - 1) = "1" ), 1, IF( AND( OFFSET($A$1, 516 - 1, 64 - 1) = "1", OFFSET($A$1, 516 - 1, 65 - 1) = "0" ), 2, IF( AND( OFFSET($A$1, 516 - 1, 64 - 1) = "0", OFFSET($A$1, 516 - 1, 65 - 1) = "1" ), 3, 4 ) ) )</f>
        <v>2</v>
      </c>
    </row>
    <row r="517" spans="58:66" x14ac:dyDescent="0.2">
      <c r="BF517" s="3">
        <v>0.90579710144927539</v>
      </c>
      <c r="BG517" s="3" t="str">
        <f>"1"</f>
        <v>1</v>
      </c>
      <c r="BH517" t="str">
        <f ca="1">IF((OFFSET($A$1, 517 - 1, 58 - 1)) &gt;= (OFFSET($A$1, 96 - 1, 7 - 1)), "1","0")</f>
        <v>1</v>
      </c>
      <c r="BI517">
        <f ca="1" xml:space="preserve"> IF( AND( OFFSET($A$1, 517 - 1, 59 - 1) = "1", OFFSET($A$1, 517 - 1, 60 - 1) = "1" ), 1, IF( AND( OFFSET($A$1, 517 - 1, 59 - 1) = "1", OFFSET($A$1, 517 - 1, 60 - 1) = "0" ), 2, IF( AND( OFFSET($A$1, 517 - 1, 59 - 1) = "0", OFFSET($A$1, 517 - 1, 60 - 1) = "1" ), 3, 4 ) ) )</f>
        <v>1</v>
      </c>
      <c r="BK517" s="3">
        <v>6.6350710900473939E-2</v>
      </c>
      <c r="BL517" s="3" t="str">
        <f>"1"</f>
        <v>1</v>
      </c>
      <c r="BM517" t="str">
        <f ca="1">IF((OFFSET($A$1, 517 - 1, 63 - 1)) &gt;= (OFFSET($A$1, 135 - 1, 7 - 1)), "1","0")</f>
        <v>0</v>
      </c>
      <c r="BN517">
        <f ca="1" xml:space="preserve"> IF( AND( OFFSET($A$1, 517 - 1, 64 - 1) = "1", OFFSET($A$1, 517 - 1, 65 - 1) = "1" ), 1, IF( AND( OFFSET($A$1, 517 - 1, 64 - 1) = "1", OFFSET($A$1, 517 - 1, 65 - 1) = "0" ), 2, IF( AND( OFFSET($A$1, 517 - 1, 64 - 1) = "0", OFFSET($A$1, 517 - 1, 65 - 1) = "1" ), 3, 4 ) ) )</f>
        <v>2</v>
      </c>
    </row>
    <row r="518" spans="58:66" x14ac:dyDescent="0.2">
      <c r="BF518" s="3">
        <v>3.7037037037037042E-2</v>
      </c>
      <c r="BG518" s="3" t="str">
        <f>"0"</f>
        <v>0</v>
      </c>
      <c r="BH518" t="str">
        <f ca="1">IF((OFFSET($A$1, 518 - 1, 58 - 1)) &gt;= (OFFSET($A$1, 96 - 1, 7 - 1)), "1","0")</f>
        <v>0</v>
      </c>
      <c r="BI518">
        <f ca="1" xml:space="preserve"> IF( AND( OFFSET($A$1, 518 - 1, 59 - 1) = "1", OFFSET($A$1, 518 - 1, 60 - 1) = "1" ), 1, IF( AND( OFFSET($A$1, 518 - 1, 59 - 1) = "1", OFFSET($A$1, 518 - 1, 60 - 1) = "0" ), 2, IF( AND( OFFSET($A$1, 518 - 1, 59 - 1) = "0", OFFSET($A$1, 518 - 1, 60 - 1) = "1" ), 3, 4 ) ) )</f>
        <v>4</v>
      </c>
      <c r="BK518" s="3">
        <v>6.6350710900473939E-2</v>
      </c>
      <c r="BL518" s="3" t="str">
        <f t="shared" ref="BL518:BL533" si="56">"0"</f>
        <v>0</v>
      </c>
      <c r="BM518" t="str">
        <f ca="1">IF((OFFSET($A$1, 518 - 1, 63 - 1)) &gt;= (OFFSET($A$1, 135 - 1, 7 - 1)), "1","0")</f>
        <v>0</v>
      </c>
      <c r="BN518">
        <f ca="1" xml:space="preserve"> IF( AND( OFFSET($A$1, 518 - 1, 64 - 1) = "1", OFFSET($A$1, 518 - 1, 65 - 1) = "1" ), 1, IF( AND( OFFSET($A$1, 518 - 1, 64 - 1) = "1", OFFSET($A$1, 518 - 1, 65 - 1) = "0" ), 2, IF( AND( OFFSET($A$1, 518 - 1, 64 - 1) = "0", OFFSET($A$1, 518 - 1, 65 - 1) = "1" ), 3, 4 ) ) )</f>
        <v>4</v>
      </c>
    </row>
    <row r="519" spans="58:66" x14ac:dyDescent="0.2">
      <c r="BF519" s="3">
        <v>0.47692307692307689</v>
      </c>
      <c r="BG519" s="3" t="str">
        <f>"1"</f>
        <v>1</v>
      </c>
      <c r="BH519" t="str">
        <f ca="1">IF((OFFSET($A$1, 519 - 1, 58 - 1)) &gt;= (OFFSET($A$1, 96 - 1, 7 - 1)), "1","0")</f>
        <v>0</v>
      </c>
      <c r="BI519">
        <f ca="1" xml:space="preserve"> IF( AND( OFFSET($A$1, 519 - 1, 59 - 1) = "1", OFFSET($A$1, 519 - 1, 60 - 1) = "1" ), 1, IF( AND( OFFSET($A$1, 519 - 1, 59 - 1) = "1", OFFSET($A$1, 519 - 1, 60 - 1) = "0" ), 2, IF( AND( OFFSET($A$1, 519 - 1, 59 - 1) = "0", OFFSET($A$1, 519 - 1, 60 - 1) = "1" ), 3, 4 ) ) )</f>
        <v>2</v>
      </c>
      <c r="BK519" s="3">
        <v>6.6350710900473939E-2</v>
      </c>
      <c r="BL519" s="3" t="str">
        <f t="shared" si="56"/>
        <v>0</v>
      </c>
      <c r="BM519" t="str">
        <f ca="1">IF((OFFSET($A$1, 519 - 1, 63 - 1)) &gt;= (OFFSET($A$1, 135 - 1, 7 - 1)), "1","0")</f>
        <v>0</v>
      </c>
      <c r="BN519">
        <f ca="1" xml:space="preserve"> IF( AND( OFFSET($A$1, 519 - 1, 64 - 1) = "1", OFFSET($A$1, 519 - 1, 65 - 1) = "1" ), 1, IF( AND( OFFSET($A$1, 519 - 1, 64 - 1) = "1", OFFSET($A$1, 519 - 1, 65 - 1) = "0" ), 2, IF( AND( OFFSET($A$1, 519 - 1, 64 - 1) = "0", OFFSET($A$1, 519 - 1, 65 - 1) = "1" ), 3, 4 ) ) )</f>
        <v>4</v>
      </c>
    </row>
    <row r="520" spans="58:66" x14ac:dyDescent="0.2">
      <c r="BF520" s="3">
        <v>0</v>
      </c>
      <c r="BG520" s="3" t="str">
        <f t="shared" ref="BG520:BG528" si="57">"0"</f>
        <v>0</v>
      </c>
      <c r="BH520" t="str">
        <f ca="1">IF((OFFSET($A$1, 520 - 1, 58 - 1)) &gt;= (OFFSET($A$1, 96 - 1, 7 - 1)), "1","0")</f>
        <v>0</v>
      </c>
      <c r="BI520">
        <f ca="1" xml:space="preserve"> IF( AND( OFFSET($A$1, 520 - 1, 59 - 1) = "1", OFFSET($A$1, 520 - 1, 60 - 1) = "1" ), 1, IF( AND( OFFSET($A$1, 520 - 1, 59 - 1) = "1", OFFSET($A$1, 520 - 1, 60 - 1) = "0" ), 2, IF( AND( OFFSET($A$1, 520 - 1, 59 - 1) = "0", OFFSET($A$1, 520 - 1, 60 - 1) = "1" ), 3, 4 ) ) )</f>
        <v>4</v>
      </c>
      <c r="BK520" s="3">
        <v>0.38775510204081637</v>
      </c>
      <c r="BL520" s="3" t="str">
        <f t="shared" si="56"/>
        <v>0</v>
      </c>
      <c r="BM520" t="str">
        <f ca="1">IF((OFFSET($A$1, 520 - 1, 63 - 1)) &gt;= (OFFSET($A$1, 135 - 1, 7 - 1)), "1","0")</f>
        <v>0</v>
      </c>
      <c r="BN520">
        <f ca="1" xml:space="preserve"> IF( AND( OFFSET($A$1, 520 - 1, 64 - 1) = "1", OFFSET($A$1, 520 - 1, 65 - 1) = "1" ), 1, IF( AND( OFFSET($A$1, 520 - 1, 64 - 1) = "1", OFFSET($A$1, 520 - 1, 65 - 1) = "0" ), 2, IF( AND( OFFSET($A$1, 520 - 1, 64 - 1) = "0", OFFSET($A$1, 520 - 1, 65 - 1) = "1" ), 3, 4 ) ) )</f>
        <v>4</v>
      </c>
    </row>
    <row r="521" spans="58:66" x14ac:dyDescent="0.2">
      <c r="BF521" s="3">
        <v>0</v>
      </c>
      <c r="BG521" s="3" t="str">
        <f t="shared" si="57"/>
        <v>0</v>
      </c>
      <c r="BH521" t="str">
        <f ca="1">IF((OFFSET($A$1, 521 - 1, 58 - 1)) &gt;= (OFFSET($A$1, 96 - 1, 7 - 1)), "1","0")</f>
        <v>0</v>
      </c>
      <c r="BI521">
        <f ca="1" xml:space="preserve"> IF( AND( OFFSET($A$1, 521 - 1, 59 - 1) = "1", OFFSET($A$1, 521 - 1, 60 - 1) = "1" ), 1, IF( AND( OFFSET($A$1, 521 - 1, 59 - 1) = "1", OFFSET($A$1, 521 - 1, 60 - 1) = "0" ), 2, IF( AND( OFFSET($A$1, 521 - 1, 59 - 1) = "0", OFFSET($A$1, 521 - 1, 60 - 1) = "1" ), 3, 4 ) ) )</f>
        <v>4</v>
      </c>
      <c r="BK521" s="3">
        <v>6.6350710900473939E-2</v>
      </c>
      <c r="BL521" s="3" t="str">
        <f t="shared" si="56"/>
        <v>0</v>
      </c>
      <c r="BM521" t="str">
        <f ca="1">IF((OFFSET($A$1, 521 - 1, 63 - 1)) &gt;= (OFFSET($A$1, 135 - 1, 7 - 1)), "1","0")</f>
        <v>0</v>
      </c>
      <c r="BN521">
        <f ca="1" xml:space="preserve"> IF( AND( OFFSET($A$1, 521 - 1, 64 - 1) = "1", OFFSET($A$1, 521 - 1, 65 - 1) = "1" ), 1, IF( AND( OFFSET($A$1, 521 - 1, 64 - 1) = "1", OFFSET($A$1, 521 - 1, 65 - 1) = "0" ), 2, IF( AND( OFFSET($A$1, 521 - 1, 64 - 1) = "0", OFFSET($A$1, 521 - 1, 65 - 1) = "1" ), 3, 4 ) ) )</f>
        <v>4</v>
      </c>
    </row>
    <row r="522" spans="58:66" x14ac:dyDescent="0.2">
      <c r="BF522" s="3">
        <v>0</v>
      </c>
      <c r="BG522" s="3" t="str">
        <f t="shared" si="57"/>
        <v>0</v>
      </c>
      <c r="BH522" t="str">
        <f ca="1">IF((OFFSET($A$1, 522 - 1, 58 - 1)) &gt;= (OFFSET($A$1, 96 - 1, 7 - 1)), "1","0")</f>
        <v>0</v>
      </c>
      <c r="BI522">
        <f ca="1" xml:space="preserve"> IF( AND( OFFSET($A$1, 522 - 1, 59 - 1) = "1", OFFSET($A$1, 522 - 1, 60 - 1) = "1" ), 1, IF( AND( OFFSET($A$1, 522 - 1, 59 - 1) = "1", OFFSET($A$1, 522 - 1, 60 - 1) = "0" ), 2, IF( AND( OFFSET($A$1, 522 - 1, 59 - 1) = "0", OFFSET($A$1, 522 - 1, 60 - 1) = "1" ), 3, 4 ) ) )</f>
        <v>4</v>
      </c>
      <c r="BK522" s="3">
        <v>6.6350710900473939E-2</v>
      </c>
      <c r="BL522" s="3" t="str">
        <f t="shared" si="56"/>
        <v>0</v>
      </c>
      <c r="BM522" t="str">
        <f ca="1">IF((OFFSET($A$1, 522 - 1, 63 - 1)) &gt;= (OFFSET($A$1, 135 - 1, 7 - 1)), "1","0")</f>
        <v>0</v>
      </c>
      <c r="BN522">
        <f ca="1" xml:space="preserve"> IF( AND( OFFSET($A$1, 522 - 1, 64 - 1) = "1", OFFSET($A$1, 522 - 1, 65 - 1) = "1" ), 1, IF( AND( OFFSET($A$1, 522 - 1, 64 - 1) = "1", OFFSET($A$1, 522 - 1, 65 - 1) = "0" ), 2, IF( AND( OFFSET($A$1, 522 - 1, 64 - 1) = "0", OFFSET($A$1, 522 - 1, 65 - 1) = "1" ), 3, 4 ) ) )</f>
        <v>4</v>
      </c>
    </row>
    <row r="523" spans="58:66" x14ac:dyDescent="0.2">
      <c r="BF523" s="3">
        <v>0</v>
      </c>
      <c r="BG523" s="3" t="str">
        <f t="shared" si="57"/>
        <v>0</v>
      </c>
      <c r="BH523" t="str">
        <f ca="1">IF((OFFSET($A$1, 523 - 1, 58 - 1)) &gt;= (OFFSET($A$1, 96 - 1, 7 - 1)), "1","0")</f>
        <v>0</v>
      </c>
      <c r="BI523">
        <f ca="1" xml:space="preserve"> IF( AND( OFFSET($A$1, 523 - 1, 59 - 1) = "1", OFFSET($A$1, 523 - 1, 60 - 1) = "1" ), 1, IF( AND( OFFSET($A$1, 523 - 1, 59 - 1) = "1", OFFSET($A$1, 523 - 1, 60 - 1) = "0" ), 2, IF( AND( OFFSET($A$1, 523 - 1, 59 - 1) = "0", OFFSET($A$1, 523 - 1, 60 - 1) = "1" ), 3, 4 ) ) )</f>
        <v>4</v>
      </c>
      <c r="BK523" s="3">
        <v>6.6350710900473939E-2</v>
      </c>
      <c r="BL523" s="3" t="str">
        <f t="shared" si="56"/>
        <v>0</v>
      </c>
      <c r="BM523" t="str">
        <f ca="1">IF((OFFSET($A$1, 523 - 1, 63 - 1)) &gt;= (OFFSET($A$1, 135 - 1, 7 - 1)), "1","0")</f>
        <v>0</v>
      </c>
      <c r="BN523">
        <f ca="1" xml:space="preserve"> IF( AND( OFFSET($A$1, 523 - 1, 64 - 1) = "1", OFFSET($A$1, 523 - 1, 65 - 1) = "1" ), 1, IF( AND( OFFSET($A$1, 523 - 1, 64 - 1) = "1", OFFSET($A$1, 523 - 1, 65 - 1) = "0" ), 2, IF( AND( OFFSET($A$1, 523 - 1, 64 - 1) = "0", OFFSET($A$1, 523 - 1, 65 - 1) = "1" ), 3, 4 ) ) )</f>
        <v>4</v>
      </c>
    </row>
    <row r="524" spans="58:66" x14ac:dyDescent="0.2">
      <c r="BF524" s="3">
        <v>0</v>
      </c>
      <c r="BG524" s="3" t="str">
        <f t="shared" si="57"/>
        <v>0</v>
      </c>
      <c r="BH524" t="str">
        <f ca="1">IF((OFFSET($A$1, 524 - 1, 58 - 1)) &gt;= (OFFSET($A$1, 96 - 1, 7 - 1)), "1","0")</f>
        <v>0</v>
      </c>
      <c r="BI524">
        <f ca="1" xml:space="preserve"> IF( AND( OFFSET($A$1, 524 - 1, 59 - 1) = "1", OFFSET($A$1, 524 - 1, 60 - 1) = "1" ), 1, IF( AND( OFFSET($A$1, 524 - 1, 59 - 1) = "1", OFFSET($A$1, 524 - 1, 60 - 1) = "0" ), 2, IF( AND( OFFSET($A$1, 524 - 1, 59 - 1) = "0", OFFSET($A$1, 524 - 1, 60 - 1) = "1" ), 3, 4 ) ) )</f>
        <v>4</v>
      </c>
      <c r="BK524" s="3">
        <v>6.6350710900473939E-2</v>
      </c>
      <c r="BL524" s="3" t="str">
        <f t="shared" si="56"/>
        <v>0</v>
      </c>
      <c r="BM524" t="str">
        <f ca="1">IF((OFFSET($A$1, 524 - 1, 63 - 1)) &gt;= (OFFSET($A$1, 135 - 1, 7 - 1)), "1","0")</f>
        <v>0</v>
      </c>
      <c r="BN524">
        <f ca="1" xml:space="preserve"> IF( AND( OFFSET($A$1, 524 - 1, 64 - 1) = "1", OFFSET($A$1, 524 - 1, 65 - 1) = "1" ), 1, IF( AND( OFFSET($A$1, 524 - 1, 64 - 1) = "1", OFFSET($A$1, 524 - 1, 65 - 1) = "0" ), 2, IF( AND( OFFSET($A$1, 524 - 1, 64 - 1) = "0", OFFSET($A$1, 524 - 1, 65 - 1) = "1" ), 3, 4 ) ) )</f>
        <v>4</v>
      </c>
    </row>
    <row r="525" spans="58:66" x14ac:dyDescent="0.2">
      <c r="BF525" s="3">
        <v>0.36</v>
      </c>
      <c r="BG525" s="3" t="str">
        <f t="shared" si="57"/>
        <v>0</v>
      </c>
      <c r="BH525" t="str">
        <f ca="1">IF((OFFSET($A$1, 525 - 1, 58 - 1)) &gt;= (OFFSET($A$1, 96 - 1, 7 - 1)), "1","0")</f>
        <v>0</v>
      </c>
      <c r="BI525">
        <f ca="1" xml:space="preserve"> IF( AND( OFFSET($A$1, 525 - 1, 59 - 1) = "1", OFFSET($A$1, 525 - 1, 60 - 1) = "1" ), 1, IF( AND( OFFSET($A$1, 525 - 1, 59 - 1) = "1", OFFSET($A$1, 525 - 1, 60 - 1) = "0" ), 2, IF( AND( OFFSET($A$1, 525 - 1, 59 - 1) = "0", OFFSET($A$1, 525 - 1, 60 - 1) = "1" ), 3, 4 ) ) )</f>
        <v>4</v>
      </c>
      <c r="BK525" s="3">
        <v>0.36</v>
      </c>
      <c r="BL525" s="3" t="str">
        <f t="shared" si="56"/>
        <v>0</v>
      </c>
      <c r="BM525" t="str">
        <f ca="1">IF((OFFSET($A$1, 525 - 1, 63 - 1)) &gt;= (OFFSET($A$1, 135 - 1, 7 - 1)), "1","0")</f>
        <v>0</v>
      </c>
      <c r="BN525">
        <f ca="1" xml:space="preserve"> IF( AND( OFFSET($A$1, 525 - 1, 64 - 1) = "1", OFFSET($A$1, 525 - 1, 65 - 1) = "1" ), 1, IF( AND( OFFSET($A$1, 525 - 1, 64 - 1) = "1", OFFSET($A$1, 525 - 1, 65 - 1) = "0" ), 2, IF( AND( OFFSET($A$1, 525 - 1, 64 - 1) = "0", OFFSET($A$1, 525 - 1, 65 - 1) = "1" ), 3, 4 ) ) )</f>
        <v>4</v>
      </c>
    </row>
    <row r="526" spans="58:66" x14ac:dyDescent="0.2">
      <c r="BF526" s="3">
        <v>0.08</v>
      </c>
      <c r="BG526" s="3" t="str">
        <f t="shared" si="57"/>
        <v>0</v>
      </c>
      <c r="BH526" t="str">
        <f ca="1">IF((OFFSET($A$1, 526 - 1, 58 - 1)) &gt;= (OFFSET($A$1, 96 - 1, 7 - 1)), "1","0")</f>
        <v>0</v>
      </c>
      <c r="BI526">
        <f ca="1" xml:space="preserve"> IF( AND( OFFSET($A$1, 526 - 1, 59 - 1) = "1", OFFSET($A$1, 526 - 1, 60 - 1) = "1" ), 1, IF( AND( OFFSET($A$1, 526 - 1, 59 - 1) = "1", OFFSET($A$1, 526 - 1, 60 - 1) = "0" ), 2, IF( AND( OFFSET($A$1, 526 - 1, 59 - 1) = "0", OFFSET($A$1, 526 - 1, 60 - 1) = "1" ), 3, 4 ) ) )</f>
        <v>4</v>
      </c>
      <c r="BK526" s="3">
        <v>6.6350710900473939E-2</v>
      </c>
      <c r="BL526" s="3" t="str">
        <f t="shared" si="56"/>
        <v>0</v>
      </c>
      <c r="BM526" t="str">
        <f ca="1">IF((OFFSET($A$1, 526 - 1, 63 - 1)) &gt;= (OFFSET($A$1, 135 - 1, 7 - 1)), "1","0")</f>
        <v>0</v>
      </c>
      <c r="BN526">
        <f ca="1" xml:space="preserve"> IF( AND( OFFSET($A$1, 526 - 1, 64 - 1) = "1", OFFSET($A$1, 526 - 1, 65 - 1) = "1" ), 1, IF( AND( OFFSET($A$1, 526 - 1, 64 - 1) = "1", OFFSET($A$1, 526 - 1, 65 - 1) = "0" ), 2, IF( AND( OFFSET($A$1, 526 - 1, 64 - 1) = "0", OFFSET($A$1, 526 - 1, 65 - 1) = "1" ), 3, 4 ) ) )</f>
        <v>4</v>
      </c>
    </row>
    <row r="527" spans="58:66" x14ac:dyDescent="0.2">
      <c r="BF527" s="3">
        <v>0</v>
      </c>
      <c r="BG527" s="3" t="str">
        <f t="shared" si="57"/>
        <v>0</v>
      </c>
      <c r="BH527" t="str">
        <f ca="1">IF((OFFSET($A$1, 527 - 1, 58 - 1)) &gt;= (OFFSET($A$1, 96 - 1, 7 - 1)), "1","0")</f>
        <v>0</v>
      </c>
      <c r="BI527">
        <f ca="1" xml:space="preserve"> IF( AND( OFFSET($A$1, 527 - 1, 59 - 1) = "1", OFFSET($A$1, 527 - 1, 60 - 1) = "1" ), 1, IF( AND( OFFSET($A$1, 527 - 1, 59 - 1) = "1", OFFSET($A$1, 527 - 1, 60 - 1) = "0" ), 2, IF( AND( OFFSET($A$1, 527 - 1, 59 - 1) = "0", OFFSET($A$1, 527 - 1, 60 - 1) = "1" ), 3, 4 ) ) )</f>
        <v>4</v>
      </c>
      <c r="BK527" s="3">
        <v>6.6350710900473939E-2</v>
      </c>
      <c r="BL527" s="3" t="str">
        <f t="shared" si="56"/>
        <v>0</v>
      </c>
      <c r="BM527" t="str">
        <f ca="1">IF((OFFSET($A$1, 527 - 1, 63 - 1)) &gt;= (OFFSET($A$1, 135 - 1, 7 - 1)), "1","0")</f>
        <v>0</v>
      </c>
      <c r="BN527">
        <f ca="1" xml:space="preserve"> IF( AND( OFFSET($A$1, 527 - 1, 64 - 1) = "1", OFFSET($A$1, 527 - 1, 65 - 1) = "1" ), 1, IF( AND( OFFSET($A$1, 527 - 1, 64 - 1) = "1", OFFSET($A$1, 527 - 1, 65 - 1) = "0" ), 2, IF( AND( OFFSET($A$1, 527 - 1, 64 - 1) = "0", OFFSET($A$1, 527 - 1, 65 - 1) = "1" ), 3, 4 ) ) )</f>
        <v>4</v>
      </c>
    </row>
    <row r="528" spans="58:66" x14ac:dyDescent="0.2">
      <c r="BF528" s="3">
        <v>0.90579710144927539</v>
      </c>
      <c r="BG528" s="3" t="str">
        <f t="shared" si="57"/>
        <v>0</v>
      </c>
      <c r="BH528" t="str">
        <f ca="1">IF((OFFSET($A$1, 528 - 1, 58 - 1)) &gt;= (OFFSET($A$1, 96 - 1, 7 - 1)), "1","0")</f>
        <v>1</v>
      </c>
      <c r="BI528">
        <f ca="1" xml:space="preserve"> IF( AND( OFFSET($A$1, 528 - 1, 59 - 1) = "1", OFFSET($A$1, 528 - 1, 60 - 1) = "1" ), 1, IF( AND( OFFSET($A$1, 528 - 1, 59 - 1) = "1", OFFSET($A$1, 528 - 1, 60 - 1) = "0" ), 2, IF( AND( OFFSET($A$1, 528 - 1, 59 - 1) = "0", OFFSET($A$1, 528 - 1, 60 - 1) = "1" ), 3, 4 ) ) )</f>
        <v>3</v>
      </c>
      <c r="BK528" s="3">
        <v>6.6350710900473939E-2</v>
      </c>
      <c r="BL528" s="3" t="str">
        <f t="shared" si="56"/>
        <v>0</v>
      </c>
      <c r="BM528" t="str">
        <f ca="1">IF((OFFSET($A$1, 528 - 1, 63 - 1)) &gt;= (OFFSET($A$1, 135 - 1, 7 - 1)), "1","0")</f>
        <v>0</v>
      </c>
      <c r="BN528">
        <f ca="1" xml:space="preserve"> IF( AND( OFFSET($A$1, 528 - 1, 64 - 1) = "1", OFFSET($A$1, 528 - 1, 65 - 1) = "1" ), 1, IF( AND( OFFSET($A$1, 528 - 1, 64 - 1) = "1", OFFSET($A$1, 528 - 1, 65 - 1) = "0" ), 2, IF( AND( OFFSET($A$1, 528 - 1, 64 - 1) = "0", OFFSET($A$1, 528 - 1, 65 - 1) = "1" ), 3, 4 ) ) )</f>
        <v>4</v>
      </c>
    </row>
    <row r="529" spans="58:66" x14ac:dyDescent="0.2">
      <c r="BF529" s="3">
        <v>0.90579710144927539</v>
      </c>
      <c r="BG529" s="3" t="str">
        <f>"1"</f>
        <v>1</v>
      </c>
      <c r="BH529" t="str">
        <f ca="1">IF((OFFSET($A$1, 529 - 1, 58 - 1)) &gt;= (OFFSET($A$1, 96 - 1, 7 - 1)), "1","0")</f>
        <v>1</v>
      </c>
      <c r="BI529">
        <f ca="1" xml:space="preserve"> IF( AND( OFFSET($A$1, 529 - 1, 59 - 1) = "1", OFFSET($A$1, 529 - 1, 60 - 1) = "1" ), 1, IF( AND( OFFSET($A$1, 529 - 1, 59 - 1) = "1", OFFSET($A$1, 529 - 1, 60 - 1) = "0" ), 2, IF( AND( OFFSET($A$1, 529 - 1, 59 - 1) = "0", OFFSET($A$1, 529 - 1, 60 - 1) = "1" ), 3, 4 ) ) )</f>
        <v>1</v>
      </c>
      <c r="BK529" s="3">
        <v>2.5316455696202531E-2</v>
      </c>
      <c r="BL529" s="3" t="str">
        <f t="shared" si="56"/>
        <v>0</v>
      </c>
      <c r="BM529" t="str">
        <f ca="1">IF((OFFSET($A$1, 529 - 1, 63 - 1)) &gt;= (OFFSET($A$1, 135 - 1, 7 - 1)), "1","0")</f>
        <v>0</v>
      </c>
      <c r="BN529">
        <f ca="1" xml:space="preserve"> IF( AND( OFFSET($A$1, 529 - 1, 64 - 1) = "1", OFFSET($A$1, 529 - 1, 65 - 1) = "1" ), 1, IF( AND( OFFSET($A$1, 529 - 1, 64 - 1) = "1", OFFSET($A$1, 529 - 1, 65 - 1) = "0" ), 2, IF( AND( OFFSET($A$1, 529 - 1, 64 - 1) = "0", OFFSET($A$1, 529 - 1, 65 - 1) = "1" ), 3, 4 ) ) )</f>
        <v>4</v>
      </c>
    </row>
    <row r="530" spans="58:66" x14ac:dyDescent="0.2">
      <c r="BF530" s="3">
        <v>0.36</v>
      </c>
      <c r="BG530" s="3" t="str">
        <f>"0"</f>
        <v>0</v>
      </c>
      <c r="BH530" t="str">
        <f ca="1">IF((OFFSET($A$1, 530 - 1, 58 - 1)) &gt;= (OFFSET($A$1, 96 - 1, 7 - 1)), "1","0")</f>
        <v>0</v>
      </c>
      <c r="BI530">
        <f ca="1" xml:space="preserve"> IF( AND( OFFSET($A$1, 530 - 1, 59 - 1) = "1", OFFSET($A$1, 530 - 1, 60 - 1) = "1" ), 1, IF( AND( OFFSET($A$1, 530 - 1, 59 - 1) = "1", OFFSET($A$1, 530 - 1, 60 - 1) = "0" ), 2, IF( AND( OFFSET($A$1, 530 - 1, 59 - 1) = "0", OFFSET($A$1, 530 - 1, 60 - 1) = "1" ), 3, 4 ) ) )</f>
        <v>4</v>
      </c>
      <c r="BK530" s="3">
        <v>2.5316455696202531E-2</v>
      </c>
      <c r="BL530" s="3" t="str">
        <f t="shared" si="56"/>
        <v>0</v>
      </c>
      <c r="BM530" t="str">
        <f ca="1">IF((OFFSET($A$1, 530 - 1, 63 - 1)) &gt;= (OFFSET($A$1, 135 - 1, 7 - 1)), "1","0")</f>
        <v>0</v>
      </c>
      <c r="BN530">
        <f ca="1" xml:space="preserve"> IF( AND( OFFSET($A$1, 530 - 1, 64 - 1) = "1", OFFSET($A$1, 530 - 1, 65 - 1) = "1" ), 1, IF( AND( OFFSET($A$1, 530 - 1, 64 - 1) = "1", OFFSET($A$1, 530 - 1, 65 - 1) = "0" ), 2, IF( AND( OFFSET($A$1, 530 - 1, 64 - 1) = "0", OFFSET($A$1, 530 - 1, 65 - 1) = "1" ), 3, 4 ) ) )</f>
        <v>4</v>
      </c>
    </row>
    <row r="531" spans="58:66" x14ac:dyDescent="0.2">
      <c r="BF531" s="3">
        <v>0</v>
      </c>
      <c r="BG531" s="3" t="str">
        <f>"0"</f>
        <v>0</v>
      </c>
      <c r="BH531" t="str">
        <f ca="1">IF((OFFSET($A$1, 531 - 1, 58 - 1)) &gt;= (OFFSET($A$1, 96 - 1, 7 - 1)), "1","0")</f>
        <v>0</v>
      </c>
      <c r="BI531">
        <f ca="1" xml:space="preserve"> IF( AND( OFFSET($A$1, 531 - 1, 59 - 1) = "1", OFFSET($A$1, 531 - 1, 60 - 1) = "1" ), 1, IF( AND( OFFSET($A$1, 531 - 1, 59 - 1) = "1", OFFSET($A$1, 531 - 1, 60 - 1) = "0" ), 2, IF( AND( OFFSET($A$1, 531 - 1, 59 - 1) = "0", OFFSET($A$1, 531 - 1, 60 - 1) = "1" ), 3, 4 ) ) )</f>
        <v>4</v>
      </c>
      <c r="BK531" s="3">
        <v>6.6350710900473939E-2</v>
      </c>
      <c r="BL531" s="3" t="str">
        <f t="shared" si="56"/>
        <v>0</v>
      </c>
      <c r="BM531" t="str">
        <f ca="1">IF((OFFSET($A$1, 531 - 1, 63 - 1)) &gt;= (OFFSET($A$1, 135 - 1, 7 - 1)), "1","0")</f>
        <v>0</v>
      </c>
      <c r="BN531">
        <f ca="1" xml:space="preserve"> IF( AND( OFFSET($A$1, 531 - 1, 64 - 1) = "1", OFFSET($A$1, 531 - 1, 65 - 1) = "1" ), 1, IF( AND( OFFSET($A$1, 531 - 1, 64 - 1) = "1", OFFSET($A$1, 531 - 1, 65 - 1) = "0" ), 2, IF( AND( OFFSET($A$1, 531 - 1, 64 - 1) = "0", OFFSET($A$1, 531 - 1, 65 - 1) = "1" ), 3, 4 ) ) )</f>
        <v>4</v>
      </c>
    </row>
    <row r="532" spans="58:66" x14ac:dyDescent="0.2">
      <c r="BF532" s="3">
        <v>3.7037037037037042E-2</v>
      </c>
      <c r="BG532" s="3" t="str">
        <f>"0"</f>
        <v>0</v>
      </c>
      <c r="BH532" t="str">
        <f ca="1">IF((OFFSET($A$1, 532 - 1, 58 - 1)) &gt;= (OFFSET($A$1, 96 - 1, 7 - 1)), "1","0")</f>
        <v>0</v>
      </c>
      <c r="BI532">
        <f ca="1" xml:space="preserve"> IF( AND( OFFSET($A$1, 532 - 1, 59 - 1) = "1", OFFSET($A$1, 532 - 1, 60 - 1) = "1" ), 1, IF( AND( OFFSET($A$1, 532 - 1, 59 - 1) = "1", OFFSET($A$1, 532 - 1, 60 - 1) = "0" ), 2, IF( AND( OFFSET($A$1, 532 - 1, 59 - 1) = "0", OFFSET($A$1, 532 - 1, 60 - 1) = "1" ), 3, 4 ) ) )</f>
        <v>4</v>
      </c>
      <c r="BK532" s="3">
        <v>6.6350710900473939E-2</v>
      </c>
      <c r="BL532" s="3" t="str">
        <f t="shared" si="56"/>
        <v>0</v>
      </c>
      <c r="BM532" t="str">
        <f ca="1">IF((OFFSET($A$1, 532 - 1, 63 - 1)) &gt;= (OFFSET($A$1, 135 - 1, 7 - 1)), "1","0")</f>
        <v>0</v>
      </c>
      <c r="BN532">
        <f ca="1" xml:space="preserve"> IF( AND( OFFSET($A$1, 532 - 1, 64 - 1) = "1", OFFSET($A$1, 532 - 1, 65 - 1) = "1" ), 1, IF( AND( OFFSET($A$1, 532 - 1, 64 - 1) = "1", OFFSET($A$1, 532 - 1, 65 - 1) = "0" ), 2, IF( AND( OFFSET($A$1, 532 - 1, 64 - 1) = "0", OFFSET($A$1, 532 - 1, 65 - 1) = "1" ), 3, 4 ) ) )</f>
        <v>4</v>
      </c>
    </row>
    <row r="533" spans="58:66" x14ac:dyDescent="0.2">
      <c r="BF533" s="3">
        <v>0</v>
      </c>
      <c r="BG533" s="3" t="str">
        <f>"0"</f>
        <v>0</v>
      </c>
      <c r="BH533" t="str">
        <f ca="1">IF((OFFSET($A$1, 533 - 1, 58 - 1)) &gt;= (OFFSET($A$1, 96 - 1, 7 - 1)), "1","0")</f>
        <v>0</v>
      </c>
      <c r="BI533">
        <f ca="1" xml:space="preserve"> IF( AND( OFFSET($A$1, 533 - 1, 59 - 1) = "1", OFFSET($A$1, 533 - 1, 60 - 1) = "1" ), 1, IF( AND( OFFSET($A$1, 533 - 1, 59 - 1) = "1", OFFSET($A$1, 533 - 1, 60 - 1) = "0" ), 2, IF( AND( OFFSET($A$1, 533 - 1, 59 - 1) = "0", OFFSET($A$1, 533 - 1, 60 - 1) = "1" ), 3, 4 ) ) )</f>
        <v>4</v>
      </c>
      <c r="BK533" s="3">
        <v>6.6350710900473939E-2</v>
      </c>
      <c r="BL533" s="3" t="str">
        <f t="shared" si="56"/>
        <v>0</v>
      </c>
      <c r="BM533" t="str">
        <f ca="1">IF((OFFSET($A$1, 533 - 1, 63 - 1)) &gt;= (OFFSET($A$1, 135 - 1, 7 - 1)), "1","0")</f>
        <v>0</v>
      </c>
      <c r="BN533">
        <f ca="1" xml:space="preserve"> IF( AND( OFFSET($A$1, 533 - 1, 64 - 1) = "1", OFFSET($A$1, 533 - 1, 65 - 1) = "1" ), 1, IF( AND( OFFSET($A$1, 533 - 1, 64 - 1) = "1", OFFSET($A$1, 533 - 1, 65 - 1) = "0" ), 2, IF( AND( OFFSET($A$1, 533 - 1, 64 - 1) = "0", OFFSET($A$1, 533 - 1, 65 - 1) = "1" ), 3, 4 ) ) )</f>
        <v>4</v>
      </c>
    </row>
    <row r="534" spans="58:66" x14ac:dyDescent="0.2">
      <c r="BF534" s="3">
        <v>0.34722222222222221</v>
      </c>
      <c r="BG534" s="3" t="str">
        <f>"1"</f>
        <v>1</v>
      </c>
      <c r="BH534" t="str">
        <f ca="1">IF((OFFSET($A$1, 534 - 1, 58 - 1)) &gt;= (OFFSET($A$1, 96 - 1, 7 - 1)), "1","0")</f>
        <v>0</v>
      </c>
      <c r="BI534">
        <f ca="1" xml:space="preserve"> IF( AND( OFFSET($A$1, 534 - 1, 59 - 1) = "1", OFFSET($A$1, 534 - 1, 60 - 1) = "1" ), 1, IF( AND( OFFSET($A$1, 534 - 1, 59 - 1) = "1", OFFSET($A$1, 534 - 1, 60 - 1) = "0" ), 2, IF( AND( OFFSET($A$1, 534 - 1, 59 - 1) = "0", OFFSET($A$1, 534 - 1, 60 - 1) = "1" ), 3, 4 ) ) )</f>
        <v>2</v>
      </c>
      <c r="BK534" s="3">
        <v>0.90579710144927539</v>
      </c>
      <c r="BL534" s="3" t="str">
        <f>"1"</f>
        <v>1</v>
      </c>
      <c r="BM534" t="str">
        <f ca="1">IF((OFFSET($A$1, 534 - 1, 63 - 1)) &gt;= (OFFSET($A$1, 135 - 1, 7 - 1)), "1","0")</f>
        <v>1</v>
      </c>
      <c r="BN534">
        <f ca="1" xml:space="preserve"> IF( AND( OFFSET($A$1, 534 - 1, 64 - 1) = "1", OFFSET($A$1, 534 - 1, 65 - 1) = "1" ), 1, IF( AND( OFFSET($A$1, 534 - 1, 64 - 1) = "1", OFFSET($A$1, 534 - 1, 65 - 1) = "0" ), 2, IF( AND( OFFSET($A$1, 534 - 1, 64 - 1) = "0", OFFSET($A$1, 534 - 1, 65 - 1) = "1" ), 3, 4 ) ) )</f>
        <v>1</v>
      </c>
    </row>
    <row r="535" spans="58:66" x14ac:dyDescent="0.2">
      <c r="BF535" s="3">
        <v>0.90579710144927539</v>
      </c>
      <c r="BG535" s="3" t="str">
        <f>"1"</f>
        <v>1</v>
      </c>
      <c r="BH535" t="str">
        <f ca="1">IF((OFFSET($A$1, 535 - 1, 58 - 1)) &gt;= (OFFSET($A$1, 96 - 1, 7 - 1)), "1","0")</f>
        <v>1</v>
      </c>
      <c r="BI535">
        <f ca="1" xml:space="preserve"> IF( AND( OFFSET($A$1, 535 - 1, 59 - 1) = "1", OFFSET($A$1, 535 - 1, 60 - 1) = "1" ), 1, IF( AND( OFFSET($A$1, 535 - 1, 59 - 1) = "1", OFFSET($A$1, 535 - 1, 60 - 1) = "0" ), 2, IF( AND( OFFSET($A$1, 535 - 1, 59 - 1) = "0", OFFSET($A$1, 535 - 1, 60 - 1) = "1" ), 3, 4 ) ) )</f>
        <v>1</v>
      </c>
      <c r="BK535" s="3">
        <v>6.6350710900473939E-2</v>
      </c>
      <c r="BL535" s="3" t="str">
        <f>"0"</f>
        <v>0</v>
      </c>
      <c r="BM535" t="str">
        <f ca="1">IF((OFFSET($A$1, 535 - 1, 63 - 1)) &gt;= (OFFSET($A$1, 135 - 1, 7 - 1)), "1","0")</f>
        <v>0</v>
      </c>
      <c r="BN535">
        <f ca="1" xml:space="preserve"> IF( AND( OFFSET($A$1, 535 - 1, 64 - 1) = "1", OFFSET($A$1, 535 - 1, 65 - 1) = "1" ), 1, IF( AND( OFFSET($A$1, 535 - 1, 64 - 1) = "1", OFFSET($A$1, 535 - 1, 65 - 1) = "0" ), 2, IF( AND( OFFSET($A$1, 535 - 1, 64 - 1) = "0", OFFSET($A$1, 535 - 1, 65 - 1) = "1" ), 3, 4 ) ) )</f>
        <v>4</v>
      </c>
    </row>
    <row r="536" spans="58:66" x14ac:dyDescent="0.2">
      <c r="BF536" s="3">
        <v>0.90579710144927539</v>
      </c>
      <c r="BG536" s="3" t="str">
        <f>"1"</f>
        <v>1</v>
      </c>
      <c r="BH536" t="str">
        <f ca="1">IF((OFFSET($A$1, 536 - 1, 58 - 1)) &gt;= (OFFSET($A$1, 96 - 1, 7 - 1)), "1","0")</f>
        <v>1</v>
      </c>
      <c r="BI536">
        <f ca="1" xml:space="preserve"> IF( AND( OFFSET($A$1, 536 - 1, 59 - 1) = "1", OFFSET($A$1, 536 - 1, 60 - 1) = "1" ), 1, IF( AND( OFFSET($A$1, 536 - 1, 59 - 1) = "1", OFFSET($A$1, 536 - 1, 60 - 1) = "0" ), 2, IF( AND( OFFSET($A$1, 536 - 1, 59 - 1) = "0", OFFSET($A$1, 536 - 1, 60 - 1) = "1" ), 3, 4 ) ) )</f>
        <v>1</v>
      </c>
      <c r="BK536" s="3">
        <v>6.6350710900473939E-2</v>
      </c>
      <c r="BL536" s="3" t="str">
        <f>"0"</f>
        <v>0</v>
      </c>
      <c r="BM536" t="str">
        <f ca="1">IF((OFFSET($A$1, 536 - 1, 63 - 1)) &gt;= (OFFSET($A$1, 135 - 1, 7 - 1)), "1","0")</f>
        <v>0</v>
      </c>
      <c r="BN536">
        <f ca="1" xml:space="preserve"> IF( AND( OFFSET($A$1, 536 - 1, 64 - 1) = "1", OFFSET($A$1, 536 - 1, 65 - 1) = "1" ), 1, IF( AND( OFFSET($A$1, 536 - 1, 64 - 1) = "1", OFFSET($A$1, 536 - 1, 65 - 1) = "0" ), 2, IF( AND( OFFSET($A$1, 536 - 1, 64 - 1) = "0", OFFSET($A$1, 536 - 1, 65 - 1) = "1" ), 3, 4 ) ) )</f>
        <v>4</v>
      </c>
    </row>
    <row r="537" spans="58:66" x14ac:dyDescent="0.2">
      <c r="BF537" s="3">
        <v>0.08</v>
      </c>
      <c r="BG537" s="3" t="str">
        <f>"0"</f>
        <v>0</v>
      </c>
      <c r="BH537" t="str">
        <f ca="1">IF((OFFSET($A$1, 537 - 1, 58 - 1)) &gt;= (OFFSET($A$1, 96 - 1, 7 - 1)), "1","0")</f>
        <v>0</v>
      </c>
      <c r="BI537">
        <f ca="1" xml:space="preserve"> IF( AND( OFFSET($A$1, 537 - 1, 59 - 1) = "1", OFFSET($A$1, 537 - 1, 60 - 1) = "1" ), 1, IF( AND( OFFSET($A$1, 537 - 1, 59 - 1) = "1", OFFSET($A$1, 537 - 1, 60 - 1) = "0" ), 2, IF( AND( OFFSET($A$1, 537 - 1, 59 - 1) = "0", OFFSET($A$1, 537 - 1, 60 - 1) = "1" ), 3, 4 ) ) )</f>
        <v>4</v>
      </c>
      <c r="BK537" s="3">
        <v>6.6350710900473939E-2</v>
      </c>
      <c r="BL537" s="3" t="str">
        <f>"0"</f>
        <v>0</v>
      </c>
      <c r="BM537" t="str">
        <f ca="1">IF((OFFSET($A$1, 537 - 1, 63 - 1)) &gt;= (OFFSET($A$1, 135 - 1, 7 - 1)), "1","0")</f>
        <v>0</v>
      </c>
      <c r="BN537">
        <f ca="1" xml:space="preserve"> IF( AND( OFFSET($A$1, 537 - 1, 64 - 1) = "1", OFFSET($A$1, 537 - 1, 65 - 1) = "1" ), 1, IF( AND( OFFSET($A$1, 537 - 1, 64 - 1) = "1", OFFSET($A$1, 537 - 1, 65 - 1) = "0" ), 2, IF( AND( OFFSET($A$1, 537 - 1, 64 - 1) = "0", OFFSET($A$1, 537 - 1, 65 - 1) = "1" ), 3, 4 ) ) )</f>
        <v>4</v>
      </c>
    </row>
    <row r="538" spans="58:66" x14ac:dyDescent="0.2">
      <c r="BF538" s="3">
        <v>0</v>
      </c>
      <c r="BG538" s="3" t="str">
        <f>"0"</f>
        <v>0</v>
      </c>
      <c r="BH538" t="str">
        <f ca="1">IF((OFFSET($A$1, 538 - 1, 58 - 1)) &gt;= (OFFSET($A$1, 96 - 1, 7 - 1)), "1","0")</f>
        <v>0</v>
      </c>
      <c r="BI538">
        <f ca="1" xml:space="preserve"> IF( AND( OFFSET($A$1, 538 - 1, 59 - 1) = "1", OFFSET($A$1, 538 - 1, 60 - 1) = "1" ), 1, IF( AND( OFFSET($A$1, 538 - 1, 59 - 1) = "1", OFFSET($A$1, 538 - 1, 60 - 1) = "0" ), 2, IF( AND( OFFSET($A$1, 538 - 1, 59 - 1) = "0", OFFSET($A$1, 538 - 1, 60 - 1) = "1" ), 3, 4 ) ) )</f>
        <v>4</v>
      </c>
      <c r="BK538" s="3">
        <v>2.5316455696202531E-2</v>
      </c>
      <c r="BL538" s="3" t="str">
        <f>"0"</f>
        <v>0</v>
      </c>
      <c r="BM538" t="str">
        <f ca="1">IF((OFFSET($A$1, 538 - 1, 63 - 1)) &gt;= (OFFSET($A$1, 135 - 1, 7 - 1)), "1","0")</f>
        <v>0</v>
      </c>
      <c r="BN538">
        <f ca="1" xml:space="preserve"> IF( AND( OFFSET($A$1, 538 - 1, 64 - 1) = "1", OFFSET($A$1, 538 - 1, 65 - 1) = "1" ), 1, IF( AND( OFFSET($A$1, 538 - 1, 64 - 1) = "1", OFFSET($A$1, 538 - 1, 65 - 1) = "0" ), 2, IF( AND( OFFSET($A$1, 538 - 1, 64 - 1) = "0", OFFSET($A$1, 538 - 1, 65 - 1) = "1" ), 3, 4 ) ) )</f>
        <v>4</v>
      </c>
    </row>
    <row r="539" spans="58:66" x14ac:dyDescent="0.2">
      <c r="BF539" s="3">
        <v>0.08</v>
      </c>
      <c r="BG539" s="3" t="str">
        <f>"0"</f>
        <v>0</v>
      </c>
      <c r="BH539" t="str">
        <f ca="1">IF((OFFSET($A$1, 539 - 1, 58 - 1)) &gt;= (OFFSET($A$1, 96 - 1, 7 - 1)), "1","0")</f>
        <v>0</v>
      </c>
      <c r="BI539">
        <f ca="1" xml:space="preserve"> IF( AND( OFFSET($A$1, 539 - 1, 59 - 1) = "1", OFFSET($A$1, 539 - 1, 60 - 1) = "1" ), 1, IF( AND( OFFSET($A$1, 539 - 1, 59 - 1) = "1", OFFSET($A$1, 539 - 1, 60 - 1) = "0" ), 2, IF( AND( OFFSET($A$1, 539 - 1, 59 - 1) = "0", OFFSET($A$1, 539 - 1, 60 - 1) = "1" ), 3, 4 ) ) )</f>
        <v>4</v>
      </c>
      <c r="BK539" s="3">
        <v>6.6350710900473939E-2</v>
      </c>
      <c r="BL539" s="3" t="str">
        <f>"0"</f>
        <v>0</v>
      </c>
      <c r="BM539" t="str">
        <f ca="1">IF((OFFSET($A$1, 539 - 1, 63 - 1)) &gt;= (OFFSET($A$1, 135 - 1, 7 - 1)), "1","0")</f>
        <v>0</v>
      </c>
      <c r="BN539">
        <f ca="1" xml:space="preserve"> IF( AND( OFFSET($A$1, 539 - 1, 64 - 1) = "1", OFFSET($A$1, 539 - 1, 65 - 1) = "1" ), 1, IF( AND( OFFSET($A$1, 539 - 1, 64 - 1) = "1", OFFSET($A$1, 539 - 1, 65 - 1) = "0" ), 2, IF( AND( OFFSET($A$1, 539 - 1, 64 - 1) = "0", OFFSET($A$1, 539 - 1, 65 - 1) = "1" ), 3, 4 ) ) )</f>
        <v>4</v>
      </c>
    </row>
    <row r="540" spans="58:66" x14ac:dyDescent="0.2">
      <c r="BF540" s="3">
        <v>0.36</v>
      </c>
      <c r="BG540" s="3" t="str">
        <f>"1"</f>
        <v>1</v>
      </c>
      <c r="BH540" t="str">
        <f ca="1">IF((OFFSET($A$1, 540 - 1, 58 - 1)) &gt;= (OFFSET($A$1, 96 - 1, 7 - 1)), "1","0")</f>
        <v>0</v>
      </c>
      <c r="BI540">
        <f ca="1" xml:space="preserve"> IF( AND( OFFSET($A$1, 540 - 1, 59 - 1) = "1", OFFSET($A$1, 540 - 1, 60 - 1) = "1" ), 1, IF( AND( OFFSET($A$1, 540 - 1, 59 - 1) = "1", OFFSET($A$1, 540 - 1, 60 - 1) = "0" ), 2, IF( AND( OFFSET($A$1, 540 - 1, 59 - 1) = "0", OFFSET($A$1, 540 - 1, 60 - 1) = "1" ), 3, 4 ) ) )</f>
        <v>2</v>
      </c>
      <c r="BK540" s="3">
        <v>0.90579710144927539</v>
      </c>
      <c r="BL540" s="3" t="str">
        <f>"1"</f>
        <v>1</v>
      </c>
      <c r="BM540" t="str">
        <f ca="1">IF((OFFSET($A$1, 540 - 1, 63 - 1)) &gt;= (OFFSET($A$1, 135 - 1, 7 - 1)), "1","0")</f>
        <v>1</v>
      </c>
      <c r="BN540">
        <f ca="1" xml:space="preserve"> IF( AND( OFFSET($A$1, 540 - 1, 64 - 1) = "1", OFFSET($A$1, 540 - 1, 65 - 1) = "1" ), 1, IF( AND( OFFSET($A$1, 540 - 1, 64 - 1) = "1", OFFSET($A$1, 540 - 1, 65 - 1) = "0" ), 2, IF( AND( OFFSET($A$1, 540 - 1, 64 - 1) = "0", OFFSET($A$1, 540 - 1, 65 - 1) = "1" ), 3, 4 ) ) )</f>
        <v>1</v>
      </c>
    </row>
    <row r="541" spans="58:66" x14ac:dyDescent="0.2">
      <c r="BF541" s="3">
        <v>0.36</v>
      </c>
      <c r="BG541" s="3" t="str">
        <f t="shared" ref="BG541:BG553" si="58">"0"</f>
        <v>0</v>
      </c>
      <c r="BH541" t="str">
        <f ca="1">IF((OFFSET($A$1, 541 - 1, 58 - 1)) &gt;= (OFFSET($A$1, 96 - 1, 7 - 1)), "1","0")</f>
        <v>0</v>
      </c>
      <c r="BI541">
        <f ca="1" xml:space="preserve"> IF( AND( OFFSET($A$1, 541 - 1, 59 - 1) = "1", OFFSET($A$1, 541 - 1, 60 - 1) = "1" ), 1, IF( AND( OFFSET($A$1, 541 - 1, 59 - 1) = "1", OFFSET($A$1, 541 - 1, 60 - 1) = "0" ), 2, IF( AND( OFFSET($A$1, 541 - 1, 59 - 1) = "0", OFFSET($A$1, 541 - 1, 60 - 1) = "1" ), 3, 4 ) ) )</f>
        <v>4</v>
      </c>
      <c r="BK541" s="3">
        <v>6.6350710900473939E-2</v>
      </c>
      <c r="BL541" s="3" t="str">
        <f t="shared" ref="BL541:BL547" si="59">"0"</f>
        <v>0</v>
      </c>
      <c r="BM541" t="str">
        <f ca="1">IF((OFFSET($A$1, 541 - 1, 63 - 1)) &gt;= (OFFSET($A$1, 135 - 1, 7 - 1)), "1","0")</f>
        <v>0</v>
      </c>
      <c r="BN541">
        <f ca="1" xml:space="preserve"> IF( AND( OFFSET($A$1, 541 - 1, 64 - 1) = "1", OFFSET($A$1, 541 - 1, 65 - 1) = "1" ), 1, IF( AND( OFFSET($A$1, 541 - 1, 64 - 1) = "1", OFFSET($A$1, 541 - 1, 65 - 1) = "0" ), 2, IF( AND( OFFSET($A$1, 541 - 1, 64 - 1) = "0", OFFSET($A$1, 541 - 1, 65 - 1) = "1" ), 3, 4 ) ) )</f>
        <v>4</v>
      </c>
    </row>
    <row r="542" spans="58:66" x14ac:dyDescent="0.2">
      <c r="BF542" s="3">
        <v>0</v>
      </c>
      <c r="BG542" s="3" t="str">
        <f t="shared" si="58"/>
        <v>0</v>
      </c>
      <c r="BH542" t="str">
        <f ca="1">IF((OFFSET($A$1, 542 - 1, 58 - 1)) &gt;= (OFFSET($A$1, 96 - 1, 7 - 1)), "1","0")</f>
        <v>0</v>
      </c>
      <c r="BI542">
        <f ca="1" xml:space="preserve"> IF( AND( OFFSET($A$1, 542 - 1, 59 - 1) = "1", OFFSET($A$1, 542 - 1, 60 - 1) = "1" ), 1, IF( AND( OFFSET($A$1, 542 - 1, 59 - 1) = "1", OFFSET($A$1, 542 - 1, 60 - 1) = "0" ), 2, IF( AND( OFFSET($A$1, 542 - 1, 59 - 1) = "0", OFFSET($A$1, 542 - 1, 60 - 1) = "1" ), 3, 4 ) ) )</f>
        <v>4</v>
      </c>
      <c r="BK542" s="3">
        <v>6.6350710900473939E-2</v>
      </c>
      <c r="BL542" s="3" t="str">
        <f t="shared" si="59"/>
        <v>0</v>
      </c>
      <c r="BM542" t="str">
        <f ca="1">IF((OFFSET($A$1, 542 - 1, 63 - 1)) &gt;= (OFFSET($A$1, 135 - 1, 7 - 1)), "1","0")</f>
        <v>0</v>
      </c>
      <c r="BN542">
        <f ca="1" xml:space="preserve"> IF( AND( OFFSET($A$1, 542 - 1, 64 - 1) = "1", OFFSET($A$1, 542 - 1, 65 - 1) = "1" ), 1, IF( AND( OFFSET($A$1, 542 - 1, 64 - 1) = "1", OFFSET($A$1, 542 - 1, 65 - 1) = "0" ), 2, IF( AND( OFFSET($A$1, 542 - 1, 64 - 1) = "0", OFFSET($A$1, 542 - 1, 65 - 1) = "1" ), 3, 4 ) ) )</f>
        <v>4</v>
      </c>
    </row>
    <row r="543" spans="58:66" x14ac:dyDescent="0.2">
      <c r="BF543" s="3">
        <v>0</v>
      </c>
      <c r="BG543" s="3" t="str">
        <f t="shared" si="58"/>
        <v>0</v>
      </c>
      <c r="BH543" t="str">
        <f ca="1">IF((OFFSET($A$1, 543 - 1, 58 - 1)) &gt;= (OFFSET($A$1, 96 - 1, 7 - 1)), "1","0")</f>
        <v>0</v>
      </c>
      <c r="BI543">
        <f ca="1" xml:space="preserve"> IF( AND( OFFSET($A$1, 543 - 1, 59 - 1) = "1", OFFSET($A$1, 543 - 1, 60 - 1) = "1" ), 1, IF( AND( OFFSET($A$1, 543 - 1, 59 - 1) = "1", OFFSET($A$1, 543 - 1, 60 - 1) = "0" ), 2, IF( AND( OFFSET($A$1, 543 - 1, 59 - 1) = "0", OFFSET($A$1, 543 - 1, 60 - 1) = "1" ), 3, 4 ) ) )</f>
        <v>4</v>
      </c>
      <c r="BK543" s="3">
        <v>6.6350710900473939E-2</v>
      </c>
      <c r="BL543" s="3" t="str">
        <f t="shared" si="59"/>
        <v>0</v>
      </c>
      <c r="BM543" t="str">
        <f ca="1">IF((OFFSET($A$1, 543 - 1, 63 - 1)) &gt;= (OFFSET($A$1, 135 - 1, 7 - 1)), "1","0")</f>
        <v>0</v>
      </c>
      <c r="BN543">
        <f ca="1" xml:space="preserve"> IF( AND( OFFSET($A$1, 543 - 1, 64 - 1) = "1", OFFSET($A$1, 543 - 1, 65 - 1) = "1" ), 1, IF( AND( OFFSET($A$1, 543 - 1, 64 - 1) = "1", OFFSET($A$1, 543 - 1, 65 - 1) = "0" ), 2, IF( AND( OFFSET($A$1, 543 - 1, 64 - 1) = "0", OFFSET($A$1, 543 - 1, 65 - 1) = "1" ), 3, 4 ) ) )</f>
        <v>4</v>
      </c>
    </row>
    <row r="544" spans="58:66" x14ac:dyDescent="0.2">
      <c r="BF544" s="3">
        <v>0</v>
      </c>
      <c r="BG544" s="3" t="str">
        <f t="shared" si="58"/>
        <v>0</v>
      </c>
      <c r="BH544" t="str">
        <f ca="1">IF((OFFSET($A$1, 544 - 1, 58 - 1)) &gt;= (OFFSET($A$1, 96 - 1, 7 - 1)), "1","0")</f>
        <v>0</v>
      </c>
      <c r="BI544">
        <f ca="1" xml:space="preserve"> IF( AND( OFFSET($A$1, 544 - 1, 59 - 1) = "1", OFFSET($A$1, 544 - 1, 60 - 1) = "1" ), 1, IF( AND( OFFSET($A$1, 544 - 1, 59 - 1) = "1", OFFSET($A$1, 544 - 1, 60 - 1) = "0" ), 2, IF( AND( OFFSET($A$1, 544 - 1, 59 - 1) = "0", OFFSET($A$1, 544 - 1, 60 - 1) = "1" ), 3, 4 ) ) )</f>
        <v>4</v>
      </c>
      <c r="BK544" s="3">
        <v>6.6350710900473939E-2</v>
      </c>
      <c r="BL544" s="3" t="str">
        <f t="shared" si="59"/>
        <v>0</v>
      </c>
      <c r="BM544" t="str">
        <f ca="1">IF((OFFSET($A$1, 544 - 1, 63 - 1)) &gt;= (OFFSET($A$1, 135 - 1, 7 - 1)), "1","0")</f>
        <v>0</v>
      </c>
      <c r="BN544">
        <f ca="1" xml:space="preserve"> IF( AND( OFFSET($A$1, 544 - 1, 64 - 1) = "1", OFFSET($A$1, 544 - 1, 65 - 1) = "1" ), 1, IF( AND( OFFSET($A$1, 544 - 1, 64 - 1) = "1", OFFSET($A$1, 544 - 1, 65 - 1) = "0" ), 2, IF( AND( OFFSET($A$1, 544 - 1, 64 - 1) = "0", OFFSET($A$1, 544 - 1, 65 - 1) = "1" ), 3, 4 ) ) )</f>
        <v>4</v>
      </c>
    </row>
    <row r="545" spans="58:66" x14ac:dyDescent="0.2">
      <c r="BF545" s="3">
        <v>0.36</v>
      </c>
      <c r="BG545" s="3" t="str">
        <f t="shared" si="58"/>
        <v>0</v>
      </c>
      <c r="BH545" t="str">
        <f ca="1">IF((OFFSET($A$1, 545 - 1, 58 - 1)) &gt;= (OFFSET($A$1, 96 - 1, 7 - 1)), "1","0")</f>
        <v>0</v>
      </c>
      <c r="BI545">
        <f ca="1" xml:space="preserve"> IF( AND( OFFSET($A$1, 545 - 1, 59 - 1) = "1", OFFSET($A$1, 545 - 1, 60 - 1) = "1" ), 1, IF( AND( OFFSET($A$1, 545 - 1, 59 - 1) = "1", OFFSET($A$1, 545 - 1, 60 - 1) = "0" ), 2, IF( AND( OFFSET($A$1, 545 - 1, 59 - 1) = "0", OFFSET($A$1, 545 - 1, 60 - 1) = "1" ), 3, 4 ) ) )</f>
        <v>4</v>
      </c>
      <c r="BK545" s="3">
        <v>2.5316455696202531E-2</v>
      </c>
      <c r="BL545" s="3" t="str">
        <f t="shared" si="59"/>
        <v>0</v>
      </c>
      <c r="BM545" t="str">
        <f ca="1">IF((OFFSET($A$1, 545 - 1, 63 - 1)) &gt;= (OFFSET($A$1, 135 - 1, 7 - 1)), "1","0")</f>
        <v>0</v>
      </c>
      <c r="BN545">
        <f ca="1" xml:space="preserve"> IF( AND( OFFSET($A$1, 545 - 1, 64 - 1) = "1", OFFSET($A$1, 545 - 1, 65 - 1) = "1" ), 1, IF( AND( OFFSET($A$1, 545 - 1, 64 - 1) = "1", OFFSET($A$1, 545 - 1, 65 - 1) = "0" ), 2, IF( AND( OFFSET($A$1, 545 - 1, 64 - 1) = "0", OFFSET($A$1, 545 - 1, 65 - 1) = "1" ), 3, 4 ) ) )</f>
        <v>4</v>
      </c>
    </row>
    <row r="546" spans="58:66" x14ac:dyDescent="0.2">
      <c r="BF546" s="3">
        <v>0</v>
      </c>
      <c r="BG546" s="3" t="str">
        <f t="shared" si="58"/>
        <v>0</v>
      </c>
      <c r="BH546" t="str">
        <f ca="1">IF((OFFSET($A$1, 546 - 1, 58 - 1)) &gt;= (OFFSET($A$1, 96 - 1, 7 - 1)), "1","0")</f>
        <v>0</v>
      </c>
      <c r="BI546">
        <f ca="1" xml:space="preserve"> IF( AND( OFFSET($A$1, 546 - 1, 59 - 1) = "1", OFFSET($A$1, 546 - 1, 60 - 1) = "1" ), 1, IF( AND( OFFSET($A$1, 546 - 1, 59 - 1) = "1", OFFSET($A$1, 546 - 1, 60 - 1) = "0" ), 2, IF( AND( OFFSET($A$1, 546 - 1, 59 - 1) = "0", OFFSET($A$1, 546 - 1, 60 - 1) = "1" ), 3, 4 ) ) )</f>
        <v>4</v>
      </c>
      <c r="BK546" s="3">
        <v>6.6350710900473939E-2</v>
      </c>
      <c r="BL546" s="3" t="str">
        <f t="shared" si="59"/>
        <v>0</v>
      </c>
      <c r="BM546" t="str">
        <f ca="1">IF((OFFSET($A$1, 546 - 1, 63 - 1)) &gt;= (OFFSET($A$1, 135 - 1, 7 - 1)), "1","0")</f>
        <v>0</v>
      </c>
      <c r="BN546">
        <f ca="1" xml:space="preserve"> IF( AND( OFFSET($A$1, 546 - 1, 64 - 1) = "1", OFFSET($A$1, 546 - 1, 65 - 1) = "1" ), 1, IF( AND( OFFSET($A$1, 546 - 1, 64 - 1) = "1", OFFSET($A$1, 546 - 1, 65 - 1) = "0" ), 2, IF( AND( OFFSET($A$1, 546 - 1, 64 - 1) = "0", OFFSET($A$1, 546 - 1, 65 - 1) = "1" ), 3, 4 ) ) )</f>
        <v>4</v>
      </c>
    </row>
    <row r="547" spans="58:66" x14ac:dyDescent="0.2">
      <c r="BF547" s="3">
        <v>0.08</v>
      </c>
      <c r="BG547" s="3" t="str">
        <f t="shared" si="58"/>
        <v>0</v>
      </c>
      <c r="BH547" t="str">
        <f ca="1">IF((OFFSET($A$1, 547 - 1, 58 - 1)) &gt;= (OFFSET($A$1, 96 - 1, 7 - 1)), "1","0")</f>
        <v>0</v>
      </c>
      <c r="BI547">
        <f ca="1" xml:space="preserve"> IF( AND( OFFSET($A$1, 547 - 1, 59 - 1) = "1", OFFSET($A$1, 547 - 1, 60 - 1) = "1" ), 1, IF( AND( OFFSET($A$1, 547 - 1, 59 - 1) = "1", OFFSET($A$1, 547 - 1, 60 - 1) = "0" ), 2, IF( AND( OFFSET($A$1, 547 - 1, 59 - 1) = "0", OFFSET($A$1, 547 - 1, 60 - 1) = "1" ), 3, 4 ) ) )</f>
        <v>4</v>
      </c>
      <c r="BK547" s="3">
        <v>6.6350710900473939E-2</v>
      </c>
      <c r="BL547" s="3" t="str">
        <f t="shared" si="59"/>
        <v>0</v>
      </c>
      <c r="BM547" t="str">
        <f ca="1">IF((OFFSET($A$1, 547 - 1, 63 - 1)) &gt;= (OFFSET($A$1, 135 - 1, 7 - 1)), "1","0")</f>
        <v>0</v>
      </c>
      <c r="BN547">
        <f ca="1" xml:space="preserve"> IF( AND( OFFSET($A$1, 547 - 1, 64 - 1) = "1", OFFSET($A$1, 547 - 1, 65 - 1) = "1" ), 1, IF( AND( OFFSET($A$1, 547 - 1, 64 - 1) = "1", OFFSET($A$1, 547 - 1, 65 - 1) = "0" ), 2, IF( AND( OFFSET($A$1, 547 - 1, 64 - 1) = "0", OFFSET($A$1, 547 - 1, 65 - 1) = "1" ), 3, 4 ) ) )</f>
        <v>4</v>
      </c>
    </row>
    <row r="548" spans="58:66" x14ac:dyDescent="0.2">
      <c r="BF548" s="3">
        <v>3.7037037037037042E-2</v>
      </c>
      <c r="BG548" s="3" t="str">
        <f t="shared" si="58"/>
        <v>0</v>
      </c>
      <c r="BH548" t="str">
        <f ca="1">IF((OFFSET($A$1, 548 - 1, 58 - 1)) &gt;= (OFFSET($A$1, 96 - 1, 7 - 1)), "1","0")</f>
        <v>0</v>
      </c>
      <c r="BI548">
        <f ca="1" xml:space="preserve"> IF( AND( OFFSET($A$1, 548 - 1, 59 - 1) = "1", OFFSET($A$1, 548 - 1, 60 - 1) = "1" ), 1, IF( AND( OFFSET($A$1, 548 - 1, 59 - 1) = "1", OFFSET($A$1, 548 - 1, 60 - 1) = "0" ), 2, IF( AND( OFFSET($A$1, 548 - 1, 59 - 1) = "0", OFFSET($A$1, 548 - 1, 60 - 1) = "1" ), 3, 4 ) ) )</f>
        <v>4</v>
      </c>
      <c r="BK548" s="3">
        <v>0.90579710144927539</v>
      </c>
      <c r="BL548" s="3" t="str">
        <f>"1"</f>
        <v>1</v>
      </c>
      <c r="BM548" t="str">
        <f ca="1">IF((OFFSET($A$1, 548 - 1, 63 - 1)) &gt;= (OFFSET($A$1, 135 - 1, 7 - 1)), "1","0")</f>
        <v>1</v>
      </c>
      <c r="BN548">
        <f ca="1" xml:space="preserve"> IF( AND( OFFSET($A$1, 548 - 1, 64 - 1) = "1", OFFSET($A$1, 548 - 1, 65 - 1) = "1" ), 1, IF( AND( OFFSET($A$1, 548 - 1, 64 - 1) = "1", OFFSET($A$1, 548 - 1, 65 - 1) = "0" ), 2, IF( AND( OFFSET($A$1, 548 - 1, 64 - 1) = "0", OFFSET($A$1, 548 - 1, 65 - 1) = "1" ), 3, 4 ) ) )</f>
        <v>1</v>
      </c>
    </row>
    <row r="549" spans="58:66" x14ac:dyDescent="0.2">
      <c r="BF549" s="3">
        <v>0</v>
      </c>
      <c r="BG549" s="3" t="str">
        <f t="shared" si="58"/>
        <v>0</v>
      </c>
      <c r="BH549" t="str">
        <f ca="1">IF((OFFSET($A$1, 549 - 1, 58 - 1)) &gt;= (OFFSET($A$1, 96 - 1, 7 - 1)), "1","0")</f>
        <v>0</v>
      </c>
      <c r="BI549">
        <f ca="1" xml:space="preserve"> IF( AND( OFFSET($A$1, 549 - 1, 59 - 1) = "1", OFFSET($A$1, 549 - 1, 60 - 1) = "1" ), 1, IF( AND( OFFSET($A$1, 549 - 1, 59 - 1) = "1", OFFSET($A$1, 549 - 1, 60 - 1) = "0" ), 2, IF( AND( OFFSET($A$1, 549 - 1, 59 - 1) = "0", OFFSET($A$1, 549 - 1, 60 - 1) = "1" ), 3, 4 ) ) )</f>
        <v>4</v>
      </c>
      <c r="BK549" s="3">
        <v>6.6350710900473939E-2</v>
      </c>
      <c r="BL549" s="3" t="str">
        <f t="shared" ref="BL549:BL554" si="60">"0"</f>
        <v>0</v>
      </c>
      <c r="BM549" t="str">
        <f ca="1">IF((OFFSET($A$1, 549 - 1, 63 - 1)) &gt;= (OFFSET($A$1, 135 - 1, 7 - 1)), "1","0")</f>
        <v>0</v>
      </c>
      <c r="BN549">
        <f ca="1" xml:space="preserve"> IF( AND( OFFSET($A$1, 549 - 1, 64 - 1) = "1", OFFSET($A$1, 549 - 1, 65 - 1) = "1" ), 1, IF( AND( OFFSET($A$1, 549 - 1, 64 - 1) = "1", OFFSET($A$1, 549 - 1, 65 - 1) = "0" ), 2, IF( AND( OFFSET($A$1, 549 - 1, 64 - 1) = "0", OFFSET($A$1, 549 - 1, 65 - 1) = "1" ), 3, 4 ) ) )</f>
        <v>4</v>
      </c>
    </row>
    <row r="550" spans="58:66" x14ac:dyDescent="0.2">
      <c r="BF550" s="3">
        <v>0.1081081081081081</v>
      </c>
      <c r="BG550" s="3" t="str">
        <f t="shared" si="58"/>
        <v>0</v>
      </c>
      <c r="BH550" t="str">
        <f ca="1">IF((OFFSET($A$1, 550 - 1, 58 - 1)) &gt;= (OFFSET($A$1, 96 - 1, 7 - 1)), "1","0")</f>
        <v>0</v>
      </c>
      <c r="BI550">
        <f ca="1" xml:space="preserve"> IF( AND( OFFSET($A$1, 550 - 1, 59 - 1) = "1", OFFSET($A$1, 550 - 1, 60 - 1) = "1" ), 1, IF( AND( OFFSET($A$1, 550 - 1, 59 - 1) = "1", OFFSET($A$1, 550 - 1, 60 - 1) = "0" ), 2, IF( AND( OFFSET($A$1, 550 - 1, 59 - 1) = "0", OFFSET($A$1, 550 - 1, 60 - 1) = "1" ), 3, 4 ) ) )</f>
        <v>4</v>
      </c>
      <c r="BK550" s="3">
        <v>6.6350710900473939E-2</v>
      </c>
      <c r="BL550" s="3" t="str">
        <f t="shared" si="60"/>
        <v>0</v>
      </c>
      <c r="BM550" t="str">
        <f ca="1">IF((OFFSET($A$1, 550 - 1, 63 - 1)) &gt;= (OFFSET($A$1, 135 - 1, 7 - 1)), "1","0")</f>
        <v>0</v>
      </c>
      <c r="BN550">
        <f ca="1" xml:space="preserve"> IF( AND( OFFSET($A$1, 550 - 1, 64 - 1) = "1", OFFSET($A$1, 550 - 1, 65 - 1) = "1" ), 1, IF( AND( OFFSET($A$1, 550 - 1, 64 - 1) = "1", OFFSET($A$1, 550 - 1, 65 - 1) = "0" ), 2, IF( AND( OFFSET($A$1, 550 - 1, 64 - 1) = "0", OFFSET($A$1, 550 - 1, 65 - 1) = "1" ), 3, 4 ) ) )</f>
        <v>4</v>
      </c>
    </row>
    <row r="551" spans="58:66" x14ac:dyDescent="0.2">
      <c r="BF551" s="3">
        <v>0.34722222222222221</v>
      </c>
      <c r="BG551" s="3" t="str">
        <f t="shared" si="58"/>
        <v>0</v>
      </c>
      <c r="BH551" t="str">
        <f ca="1">IF((OFFSET($A$1, 551 - 1, 58 - 1)) &gt;= (OFFSET($A$1, 96 - 1, 7 - 1)), "1","0")</f>
        <v>0</v>
      </c>
      <c r="BI551">
        <f ca="1" xml:space="preserve"> IF( AND( OFFSET($A$1, 551 - 1, 59 - 1) = "1", OFFSET($A$1, 551 - 1, 60 - 1) = "1" ), 1, IF( AND( OFFSET($A$1, 551 - 1, 59 - 1) = "1", OFFSET($A$1, 551 - 1, 60 - 1) = "0" ), 2, IF( AND( OFFSET($A$1, 551 - 1, 59 - 1) = "0", OFFSET($A$1, 551 - 1, 60 - 1) = "1" ), 3, 4 ) ) )</f>
        <v>4</v>
      </c>
      <c r="BK551" s="3">
        <v>6.6350710900473939E-2</v>
      </c>
      <c r="BL551" s="3" t="str">
        <f t="shared" si="60"/>
        <v>0</v>
      </c>
      <c r="BM551" t="str">
        <f ca="1">IF((OFFSET($A$1, 551 - 1, 63 - 1)) &gt;= (OFFSET($A$1, 135 - 1, 7 - 1)), "1","0")</f>
        <v>0</v>
      </c>
      <c r="BN551">
        <f ca="1" xml:space="preserve"> IF( AND( OFFSET($A$1, 551 - 1, 64 - 1) = "1", OFFSET($A$1, 551 - 1, 65 - 1) = "1" ), 1, IF( AND( OFFSET($A$1, 551 - 1, 64 - 1) = "1", OFFSET($A$1, 551 - 1, 65 - 1) = "0" ), 2, IF( AND( OFFSET($A$1, 551 - 1, 64 - 1) = "0", OFFSET($A$1, 551 - 1, 65 - 1) = "1" ), 3, 4 ) ) )</f>
        <v>4</v>
      </c>
    </row>
    <row r="552" spans="58:66" x14ac:dyDescent="0.2">
      <c r="BF552" s="3">
        <v>0</v>
      </c>
      <c r="BG552" s="3" t="str">
        <f t="shared" si="58"/>
        <v>0</v>
      </c>
      <c r="BH552" t="str">
        <f ca="1">IF((OFFSET($A$1, 552 - 1, 58 - 1)) &gt;= (OFFSET($A$1, 96 - 1, 7 - 1)), "1","0")</f>
        <v>0</v>
      </c>
      <c r="BI552">
        <f ca="1" xml:space="preserve"> IF( AND( OFFSET($A$1, 552 - 1, 59 - 1) = "1", OFFSET($A$1, 552 - 1, 60 - 1) = "1" ), 1, IF( AND( OFFSET($A$1, 552 - 1, 59 - 1) = "1", OFFSET($A$1, 552 - 1, 60 - 1) = "0" ), 2, IF( AND( OFFSET($A$1, 552 - 1, 59 - 1) = "0", OFFSET($A$1, 552 - 1, 60 - 1) = "1" ), 3, 4 ) ) )</f>
        <v>4</v>
      </c>
      <c r="BK552" s="3">
        <v>6.6350710900473939E-2</v>
      </c>
      <c r="BL552" s="3" t="str">
        <f t="shared" si="60"/>
        <v>0</v>
      </c>
      <c r="BM552" t="str">
        <f ca="1">IF((OFFSET($A$1, 552 - 1, 63 - 1)) &gt;= (OFFSET($A$1, 135 - 1, 7 - 1)), "1","0")</f>
        <v>0</v>
      </c>
      <c r="BN552">
        <f ca="1" xml:space="preserve"> IF( AND( OFFSET($A$1, 552 - 1, 64 - 1) = "1", OFFSET($A$1, 552 - 1, 65 - 1) = "1" ), 1, IF( AND( OFFSET($A$1, 552 - 1, 64 - 1) = "1", OFFSET($A$1, 552 - 1, 65 - 1) = "0" ), 2, IF( AND( OFFSET($A$1, 552 - 1, 64 - 1) = "0", OFFSET($A$1, 552 - 1, 65 - 1) = "1" ), 3, 4 ) ) )</f>
        <v>4</v>
      </c>
    </row>
    <row r="553" spans="58:66" x14ac:dyDescent="0.2">
      <c r="BF553" s="3">
        <v>0.38775510204081637</v>
      </c>
      <c r="BG553" s="3" t="str">
        <f t="shared" si="58"/>
        <v>0</v>
      </c>
      <c r="BH553" t="str">
        <f ca="1">IF((OFFSET($A$1, 553 - 1, 58 - 1)) &gt;= (OFFSET($A$1, 96 - 1, 7 - 1)), "1","0")</f>
        <v>0</v>
      </c>
      <c r="BI553">
        <f ca="1" xml:space="preserve"> IF( AND( OFFSET($A$1, 553 - 1, 59 - 1) = "1", OFFSET($A$1, 553 - 1, 60 - 1) = "1" ), 1, IF( AND( OFFSET($A$1, 553 - 1, 59 - 1) = "1", OFFSET($A$1, 553 - 1, 60 - 1) = "0" ), 2, IF( AND( OFFSET($A$1, 553 - 1, 59 - 1) = "0", OFFSET($A$1, 553 - 1, 60 - 1) = "1" ), 3, 4 ) ) )</f>
        <v>4</v>
      </c>
      <c r="BK553" s="3">
        <v>6.6350710900473939E-2</v>
      </c>
      <c r="BL553" s="3" t="str">
        <f t="shared" si="60"/>
        <v>0</v>
      </c>
      <c r="BM553" t="str">
        <f ca="1">IF((OFFSET($A$1, 553 - 1, 63 - 1)) &gt;= (OFFSET($A$1, 135 - 1, 7 - 1)), "1","0")</f>
        <v>0</v>
      </c>
      <c r="BN553">
        <f ca="1" xml:space="preserve"> IF( AND( OFFSET($A$1, 553 - 1, 64 - 1) = "1", OFFSET($A$1, 553 - 1, 65 - 1) = "1" ), 1, IF( AND( OFFSET($A$1, 553 - 1, 64 - 1) = "1", OFFSET($A$1, 553 - 1, 65 - 1) = "0" ), 2, IF( AND( OFFSET($A$1, 553 - 1, 64 - 1) = "0", OFFSET($A$1, 553 - 1, 65 - 1) = "1" ), 3, 4 ) ) )</f>
        <v>4</v>
      </c>
    </row>
    <row r="554" spans="58:66" x14ac:dyDescent="0.2">
      <c r="BF554" s="3">
        <v>0.47692307692307689</v>
      </c>
      <c r="BG554" s="3" t="str">
        <f>"1"</f>
        <v>1</v>
      </c>
      <c r="BH554" t="str">
        <f ca="1">IF((OFFSET($A$1, 554 - 1, 58 - 1)) &gt;= (OFFSET($A$1, 96 - 1, 7 - 1)), "1","0")</f>
        <v>0</v>
      </c>
      <c r="BI554">
        <f ca="1" xml:space="preserve"> IF( AND( OFFSET($A$1, 554 - 1, 59 - 1) = "1", OFFSET($A$1, 554 - 1, 60 - 1) = "1" ), 1, IF( AND( OFFSET($A$1, 554 - 1, 59 - 1) = "1", OFFSET($A$1, 554 - 1, 60 - 1) = "0" ), 2, IF( AND( OFFSET($A$1, 554 - 1, 59 - 1) = "0", OFFSET($A$1, 554 - 1, 60 - 1) = "1" ), 3, 4 ) ) )</f>
        <v>2</v>
      </c>
      <c r="BK554" s="3">
        <v>2.5316455696202531E-2</v>
      </c>
      <c r="BL554" s="3" t="str">
        <f t="shared" si="60"/>
        <v>0</v>
      </c>
      <c r="BM554" t="str">
        <f ca="1">IF((OFFSET($A$1, 554 - 1, 63 - 1)) &gt;= (OFFSET($A$1, 135 - 1, 7 - 1)), "1","0")</f>
        <v>0</v>
      </c>
      <c r="BN554">
        <f ca="1" xml:space="preserve"> IF( AND( OFFSET($A$1, 554 - 1, 64 - 1) = "1", OFFSET($A$1, 554 - 1, 65 - 1) = "1" ), 1, IF( AND( OFFSET($A$1, 554 - 1, 64 - 1) = "1", OFFSET($A$1, 554 - 1, 65 - 1) = "0" ), 2, IF( AND( OFFSET($A$1, 554 - 1, 64 - 1) = "0", OFFSET($A$1, 554 - 1, 65 - 1) = "1" ), 3, 4 ) ) )</f>
        <v>4</v>
      </c>
    </row>
    <row r="555" spans="58:66" x14ac:dyDescent="0.2">
      <c r="BF555" s="3">
        <v>0</v>
      </c>
      <c r="BG555" s="3" t="str">
        <f>"0"</f>
        <v>0</v>
      </c>
      <c r="BH555" t="str">
        <f ca="1">IF((OFFSET($A$1, 555 - 1, 58 - 1)) &gt;= (OFFSET($A$1, 96 - 1, 7 - 1)), "1","0")</f>
        <v>0</v>
      </c>
      <c r="BI555">
        <f ca="1" xml:space="preserve"> IF( AND( OFFSET($A$1, 555 - 1, 59 - 1) = "1", OFFSET($A$1, 555 - 1, 60 - 1) = "1" ), 1, IF( AND( OFFSET($A$1, 555 - 1, 59 - 1) = "1", OFFSET($A$1, 555 - 1, 60 - 1) = "0" ), 2, IF( AND( OFFSET($A$1, 555 - 1, 59 - 1) = "0", OFFSET($A$1, 555 - 1, 60 - 1) = "1" ), 3, 4 ) ) )</f>
        <v>4</v>
      </c>
      <c r="BK555" s="3">
        <v>0.38775510204081637</v>
      </c>
      <c r="BL555" s="3" t="str">
        <f>"1"</f>
        <v>1</v>
      </c>
      <c r="BM555" t="str">
        <f ca="1">IF((OFFSET($A$1, 555 - 1, 63 - 1)) &gt;= (OFFSET($A$1, 135 - 1, 7 - 1)), "1","0")</f>
        <v>0</v>
      </c>
      <c r="BN555">
        <f ca="1" xml:space="preserve"> IF( AND( OFFSET($A$1, 555 - 1, 64 - 1) = "1", OFFSET($A$1, 555 - 1, 65 - 1) = "1" ), 1, IF( AND( OFFSET($A$1, 555 - 1, 64 - 1) = "1", OFFSET($A$1, 555 - 1, 65 - 1) = "0" ), 2, IF( AND( OFFSET($A$1, 555 - 1, 64 - 1) = "0", OFFSET($A$1, 555 - 1, 65 - 1) = "1" ), 3, 4 ) ) )</f>
        <v>2</v>
      </c>
    </row>
    <row r="556" spans="58:66" x14ac:dyDescent="0.2">
      <c r="BF556" s="3">
        <v>0</v>
      </c>
      <c r="BG556" s="3" t="str">
        <f>"0"</f>
        <v>0</v>
      </c>
      <c r="BH556" t="str">
        <f ca="1">IF((OFFSET($A$1, 556 - 1, 58 - 1)) &gt;= (OFFSET($A$1, 96 - 1, 7 - 1)), "1","0")</f>
        <v>0</v>
      </c>
      <c r="BI556">
        <f ca="1" xml:space="preserve"> IF( AND( OFFSET($A$1, 556 - 1, 59 - 1) = "1", OFFSET($A$1, 556 - 1, 60 - 1) = "1" ), 1, IF( AND( OFFSET($A$1, 556 - 1, 59 - 1) = "1", OFFSET($A$1, 556 - 1, 60 - 1) = "0" ), 2, IF( AND( OFFSET($A$1, 556 - 1, 59 - 1) = "0", OFFSET($A$1, 556 - 1, 60 - 1) = "1" ), 3, 4 ) ) )</f>
        <v>4</v>
      </c>
      <c r="BK556" s="3">
        <v>6.6350710900473939E-2</v>
      </c>
      <c r="BL556" s="3" t="str">
        <f t="shared" ref="BL556:BL570" si="61">"0"</f>
        <v>0</v>
      </c>
      <c r="BM556" t="str">
        <f ca="1">IF((OFFSET($A$1, 556 - 1, 63 - 1)) &gt;= (OFFSET($A$1, 135 - 1, 7 - 1)), "1","0")</f>
        <v>0</v>
      </c>
      <c r="BN556">
        <f ca="1" xml:space="preserve"> IF( AND( OFFSET($A$1, 556 - 1, 64 - 1) = "1", OFFSET($A$1, 556 - 1, 65 - 1) = "1" ), 1, IF( AND( OFFSET($A$1, 556 - 1, 64 - 1) = "1", OFFSET($A$1, 556 - 1, 65 - 1) = "0" ), 2, IF( AND( OFFSET($A$1, 556 - 1, 64 - 1) = "0", OFFSET($A$1, 556 - 1, 65 - 1) = "1" ), 3, 4 ) ) )</f>
        <v>4</v>
      </c>
    </row>
    <row r="557" spans="58:66" x14ac:dyDescent="0.2">
      <c r="BF557" s="3">
        <v>0.90579710144927539</v>
      </c>
      <c r="BG557" s="3" t="str">
        <f>"1"</f>
        <v>1</v>
      </c>
      <c r="BH557" t="str">
        <f ca="1">IF((OFFSET($A$1, 557 - 1, 58 - 1)) &gt;= (OFFSET($A$1, 96 - 1, 7 - 1)), "1","0")</f>
        <v>1</v>
      </c>
      <c r="BI557">
        <f ca="1" xml:space="preserve"> IF( AND( OFFSET($A$1, 557 - 1, 59 - 1) = "1", OFFSET($A$1, 557 - 1, 60 - 1) = "1" ), 1, IF( AND( OFFSET($A$1, 557 - 1, 59 - 1) = "1", OFFSET($A$1, 557 - 1, 60 - 1) = "0" ), 2, IF( AND( OFFSET($A$1, 557 - 1, 59 - 1) = "0", OFFSET($A$1, 557 - 1, 60 - 1) = "1" ), 3, 4 ) ) )</f>
        <v>1</v>
      </c>
      <c r="BK557" s="3">
        <v>6.6350710900473939E-2</v>
      </c>
      <c r="BL557" s="3" t="str">
        <f t="shared" si="61"/>
        <v>0</v>
      </c>
      <c r="BM557" t="str">
        <f ca="1">IF((OFFSET($A$1, 557 - 1, 63 - 1)) &gt;= (OFFSET($A$1, 135 - 1, 7 - 1)), "1","0")</f>
        <v>0</v>
      </c>
      <c r="BN557">
        <f ca="1" xml:space="preserve"> IF( AND( OFFSET($A$1, 557 - 1, 64 - 1) = "1", OFFSET($A$1, 557 - 1, 65 - 1) = "1" ), 1, IF( AND( OFFSET($A$1, 557 - 1, 64 - 1) = "1", OFFSET($A$1, 557 - 1, 65 - 1) = "0" ), 2, IF( AND( OFFSET($A$1, 557 - 1, 64 - 1) = "0", OFFSET($A$1, 557 - 1, 65 - 1) = "1" ), 3, 4 ) ) )</f>
        <v>4</v>
      </c>
    </row>
    <row r="558" spans="58:66" x14ac:dyDescent="0.2">
      <c r="BF558" s="3">
        <v>0</v>
      </c>
      <c r="BG558" s="3" t="str">
        <f t="shared" ref="BG558:BG569" si="62">"0"</f>
        <v>0</v>
      </c>
      <c r="BH558" t="str">
        <f ca="1">IF((OFFSET($A$1, 558 - 1, 58 - 1)) &gt;= (OFFSET($A$1, 96 - 1, 7 - 1)), "1","0")</f>
        <v>0</v>
      </c>
      <c r="BI558">
        <f ca="1" xml:space="preserve"> IF( AND( OFFSET($A$1, 558 - 1, 59 - 1) = "1", OFFSET($A$1, 558 - 1, 60 - 1) = "1" ), 1, IF( AND( OFFSET($A$1, 558 - 1, 59 - 1) = "1", OFFSET($A$1, 558 - 1, 60 - 1) = "0" ), 2, IF( AND( OFFSET($A$1, 558 - 1, 59 - 1) = "0", OFFSET($A$1, 558 - 1, 60 - 1) = "1" ), 3, 4 ) ) )</f>
        <v>4</v>
      </c>
      <c r="BK558" s="3">
        <v>6.6350710900473939E-2</v>
      </c>
      <c r="BL558" s="3" t="str">
        <f t="shared" si="61"/>
        <v>0</v>
      </c>
      <c r="BM558" t="str">
        <f ca="1">IF((OFFSET($A$1, 558 - 1, 63 - 1)) &gt;= (OFFSET($A$1, 135 - 1, 7 - 1)), "1","0")</f>
        <v>0</v>
      </c>
      <c r="BN558">
        <f ca="1" xml:space="preserve"> IF( AND( OFFSET($A$1, 558 - 1, 64 - 1) = "1", OFFSET($A$1, 558 - 1, 65 - 1) = "1" ), 1, IF( AND( OFFSET($A$1, 558 - 1, 64 - 1) = "1", OFFSET($A$1, 558 - 1, 65 - 1) = "0" ), 2, IF( AND( OFFSET($A$1, 558 - 1, 64 - 1) = "0", OFFSET($A$1, 558 - 1, 65 - 1) = "1" ), 3, 4 ) ) )</f>
        <v>4</v>
      </c>
    </row>
    <row r="559" spans="58:66" x14ac:dyDescent="0.2">
      <c r="BF559" s="3">
        <v>0</v>
      </c>
      <c r="BG559" s="3" t="str">
        <f t="shared" si="62"/>
        <v>0</v>
      </c>
      <c r="BH559" t="str">
        <f ca="1">IF((OFFSET($A$1, 559 - 1, 58 - 1)) &gt;= (OFFSET($A$1, 96 - 1, 7 - 1)), "1","0")</f>
        <v>0</v>
      </c>
      <c r="BI559">
        <f ca="1" xml:space="preserve"> IF( AND( OFFSET($A$1, 559 - 1, 59 - 1) = "1", OFFSET($A$1, 559 - 1, 60 - 1) = "1" ), 1, IF( AND( OFFSET($A$1, 559 - 1, 59 - 1) = "1", OFFSET($A$1, 559 - 1, 60 - 1) = "0" ), 2, IF( AND( OFFSET($A$1, 559 - 1, 59 - 1) = "0", OFFSET($A$1, 559 - 1, 60 - 1) = "1" ), 3, 4 ) ) )</f>
        <v>4</v>
      </c>
      <c r="BK559" s="3">
        <v>6.6350710900473939E-2</v>
      </c>
      <c r="BL559" s="3" t="str">
        <f t="shared" si="61"/>
        <v>0</v>
      </c>
      <c r="BM559" t="str">
        <f ca="1">IF((OFFSET($A$1, 559 - 1, 63 - 1)) &gt;= (OFFSET($A$1, 135 - 1, 7 - 1)), "1","0")</f>
        <v>0</v>
      </c>
      <c r="BN559">
        <f ca="1" xml:space="preserve"> IF( AND( OFFSET($A$1, 559 - 1, 64 - 1) = "1", OFFSET($A$1, 559 - 1, 65 - 1) = "1" ), 1, IF( AND( OFFSET($A$1, 559 - 1, 64 - 1) = "1", OFFSET($A$1, 559 - 1, 65 - 1) = "0" ), 2, IF( AND( OFFSET($A$1, 559 - 1, 64 - 1) = "0", OFFSET($A$1, 559 - 1, 65 - 1) = "1" ), 3, 4 ) ) )</f>
        <v>4</v>
      </c>
    </row>
    <row r="560" spans="58:66" x14ac:dyDescent="0.2">
      <c r="BF560" s="3">
        <v>0</v>
      </c>
      <c r="BG560" s="3" t="str">
        <f t="shared" si="62"/>
        <v>0</v>
      </c>
      <c r="BH560" t="str">
        <f ca="1">IF((OFFSET($A$1, 560 - 1, 58 - 1)) &gt;= (OFFSET($A$1, 96 - 1, 7 - 1)), "1","0")</f>
        <v>0</v>
      </c>
      <c r="BI560">
        <f ca="1" xml:space="preserve"> IF( AND( OFFSET($A$1, 560 - 1, 59 - 1) = "1", OFFSET($A$1, 560 - 1, 60 - 1) = "1" ), 1, IF( AND( OFFSET($A$1, 560 - 1, 59 - 1) = "1", OFFSET($A$1, 560 - 1, 60 - 1) = "0" ), 2, IF( AND( OFFSET($A$1, 560 - 1, 59 - 1) = "0", OFFSET($A$1, 560 - 1, 60 - 1) = "1" ), 3, 4 ) ) )</f>
        <v>4</v>
      </c>
      <c r="BK560" s="3">
        <v>6.6350710900473939E-2</v>
      </c>
      <c r="BL560" s="3" t="str">
        <f t="shared" si="61"/>
        <v>0</v>
      </c>
      <c r="BM560" t="str">
        <f ca="1">IF((OFFSET($A$1, 560 - 1, 63 - 1)) &gt;= (OFFSET($A$1, 135 - 1, 7 - 1)), "1","0")</f>
        <v>0</v>
      </c>
      <c r="BN560">
        <f ca="1" xml:space="preserve"> IF( AND( OFFSET($A$1, 560 - 1, 64 - 1) = "1", OFFSET($A$1, 560 - 1, 65 - 1) = "1" ), 1, IF( AND( OFFSET($A$1, 560 - 1, 64 - 1) = "1", OFFSET($A$1, 560 - 1, 65 - 1) = "0" ), 2, IF( AND( OFFSET($A$1, 560 - 1, 64 - 1) = "0", OFFSET($A$1, 560 - 1, 65 - 1) = "1" ), 3, 4 ) ) )</f>
        <v>4</v>
      </c>
    </row>
    <row r="561" spans="58:66" x14ac:dyDescent="0.2">
      <c r="BF561" s="3">
        <v>0.90579710144927539</v>
      </c>
      <c r="BG561" s="3" t="str">
        <f t="shared" si="62"/>
        <v>0</v>
      </c>
      <c r="BH561" t="str">
        <f ca="1">IF((OFFSET($A$1, 561 - 1, 58 - 1)) &gt;= (OFFSET($A$1, 96 - 1, 7 - 1)), "1","0")</f>
        <v>1</v>
      </c>
      <c r="BI561">
        <f ca="1" xml:space="preserve"> IF( AND( OFFSET($A$1, 561 - 1, 59 - 1) = "1", OFFSET($A$1, 561 - 1, 60 - 1) = "1" ), 1, IF( AND( OFFSET($A$1, 561 - 1, 59 - 1) = "1", OFFSET($A$1, 561 - 1, 60 - 1) = "0" ), 2, IF( AND( OFFSET($A$1, 561 - 1, 59 - 1) = "0", OFFSET($A$1, 561 - 1, 60 - 1) = "1" ), 3, 4 ) ) )</f>
        <v>3</v>
      </c>
      <c r="BK561" s="3">
        <v>6.6350710900473939E-2</v>
      </c>
      <c r="BL561" s="3" t="str">
        <f t="shared" si="61"/>
        <v>0</v>
      </c>
      <c r="BM561" t="str">
        <f ca="1">IF((OFFSET($A$1, 561 - 1, 63 - 1)) &gt;= (OFFSET($A$1, 135 - 1, 7 - 1)), "1","0")</f>
        <v>0</v>
      </c>
      <c r="BN561">
        <f ca="1" xml:space="preserve"> IF( AND( OFFSET($A$1, 561 - 1, 64 - 1) = "1", OFFSET($A$1, 561 - 1, 65 - 1) = "1" ), 1, IF( AND( OFFSET($A$1, 561 - 1, 64 - 1) = "1", OFFSET($A$1, 561 - 1, 65 - 1) = "0" ), 2, IF( AND( OFFSET($A$1, 561 - 1, 64 - 1) = "0", OFFSET($A$1, 561 - 1, 65 - 1) = "1" ), 3, 4 ) ) )</f>
        <v>4</v>
      </c>
    </row>
    <row r="562" spans="58:66" x14ac:dyDescent="0.2">
      <c r="BF562" s="3">
        <v>0</v>
      </c>
      <c r="BG562" s="3" t="str">
        <f t="shared" si="62"/>
        <v>0</v>
      </c>
      <c r="BH562" t="str">
        <f ca="1">IF((OFFSET($A$1, 562 - 1, 58 - 1)) &gt;= (OFFSET($A$1, 96 - 1, 7 - 1)), "1","0")</f>
        <v>0</v>
      </c>
      <c r="BI562">
        <f ca="1" xml:space="preserve"> IF( AND( OFFSET($A$1, 562 - 1, 59 - 1) = "1", OFFSET($A$1, 562 - 1, 60 - 1) = "1" ), 1, IF( AND( OFFSET($A$1, 562 - 1, 59 - 1) = "1", OFFSET($A$1, 562 - 1, 60 - 1) = "0" ), 2, IF( AND( OFFSET($A$1, 562 - 1, 59 - 1) = "0", OFFSET($A$1, 562 - 1, 60 - 1) = "1" ), 3, 4 ) ) )</f>
        <v>4</v>
      </c>
      <c r="BK562" s="3">
        <v>6.6350710900473939E-2</v>
      </c>
      <c r="BL562" s="3" t="str">
        <f t="shared" si="61"/>
        <v>0</v>
      </c>
      <c r="BM562" t="str">
        <f ca="1">IF((OFFSET($A$1, 562 - 1, 63 - 1)) &gt;= (OFFSET($A$1, 135 - 1, 7 - 1)), "1","0")</f>
        <v>0</v>
      </c>
      <c r="BN562">
        <f ca="1" xml:space="preserve"> IF( AND( OFFSET($A$1, 562 - 1, 64 - 1) = "1", OFFSET($A$1, 562 - 1, 65 - 1) = "1" ), 1, IF( AND( OFFSET($A$1, 562 - 1, 64 - 1) = "1", OFFSET($A$1, 562 - 1, 65 - 1) = "0" ), 2, IF( AND( OFFSET($A$1, 562 - 1, 64 - 1) = "0", OFFSET($A$1, 562 - 1, 65 - 1) = "1" ), 3, 4 ) ) )</f>
        <v>4</v>
      </c>
    </row>
    <row r="563" spans="58:66" x14ac:dyDescent="0.2">
      <c r="BF563" s="3">
        <v>0</v>
      </c>
      <c r="BG563" s="3" t="str">
        <f t="shared" si="62"/>
        <v>0</v>
      </c>
      <c r="BH563" t="str">
        <f ca="1">IF((OFFSET($A$1, 563 - 1, 58 - 1)) &gt;= (OFFSET($A$1, 96 - 1, 7 - 1)), "1","0")</f>
        <v>0</v>
      </c>
      <c r="BI563">
        <f ca="1" xml:space="preserve"> IF( AND( OFFSET($A$1, 563 - 1, 59 - 1) = "1", OFFSET($A$1, 563 - 1, 60 - 1) = "1" ), 1, IF( AND( OFFSET($A$1, 563 - 1, 59 - 1) = "1", OFFSET($A$1, 563 - 1, 60 - 1) = "0" ), 2, IF( AND( OFFSET($A$1, 563 - 1, 59 - 1) = "0", OFFSET($A$1, 563 - 1, 60 - 1) = "1" ), 3, 4 ) ) )</f>
        <v>4</v>
      </c>
      <c r="BK563" s="3">
        <v>6.6350710900473939E-2</v>
      </c>
      <c r="BL563" s="3" t="str">
        <f t="shared" si="61"/>
        <v>0</v>
      </c>
      <c r="BM563" t="str">
        <f ca="1">IF((OFFSET($A$1, 563 - 1, 63 - 1)) &gt;= (OFFSET($A$1, 135 - 1, 7 - 1)), "1","0")</f>
        <v>0</v>
      </c>
      <c r="BN563">
        <f ca="1" xml:space="preserve"> IF( AND( OFFSET($A$1, 563 - 1, 64 - 1) = "1", OFFSET($A$1, 563 - 1, 65 - 1) = "1" ), 1, IF( AND( OFFSET($A$1, 563 - 1, 64 - 1) = "1", OFFSET($A$1, 563 - 1, 65 - 1) = "0" ), 2, IF( AND( OFFSET($A$1, 563 - 1, 64 - 1) = "0", OFFSET($A$1, 563 - 1, 65 - 1) = "1" ), 3, 4 ) ) )</f>
        <v>4</v>
      </c>
    </row>
    <row r="564" spans="58:66" x14ac:dyDescent="0.2">
      <c r="BF564" s="3">
        <v>0</v>
      </c>
      <c r="BG564" s="3" t="str">
        <f t="shared" si="62"/>
        <v>0</v>
      </c>
      <c r="BH564" t="str">
        <f ca="1">IF((OFFSET($A$1, 564 - 1, 58 - 1)) &gt;= (OFFSET($A$1, 96 - 1, 7 - 1)), "1","0")</f>
        <v>0</v>
      </c>
      <c r="BI564">
        <f ca="1" xml:space="preserve"> IF( AND( OFFSET($A$1, 564 - 1, 59 - 1) = "1", OFFSET($A$1, 564 - 1, 60 - 1) = "1" ), 1, IF( AND( OFFSET($A$1, 564 - 1, 59 - 1) = "1", OFFSET($A$1, 564 - 1, 60 - 1) = "0" ), 2, IF( AND( OFFSET($A$1, 564 - 1, 59 - 1) = "0", OFFSET($A$1, 564 - 1, 60 - 1) = "1" ), 3, 4 ) ) )</f>
        <v>4</v>
      </c>
      <c r="BK564" s="3">
        <v>2.5316455696202531E-2</v>
      </c>
      <c r="BL564" s="3" t="str">
        <f t="shared" si="61"/>
        <v>0</v>
      </c>
      <c r="BM564" t="str">
        <f ca="1">IF((OFFSET($A$1, 564 - 1, 63 - 1)) &gt;= (OFFSET($A$1, 135 - 1, 7 - 1)), "1","0")</f>
        <v>0</v>
      </c>
      <c r="BN564">
        <f ca="1" xml:space="preserve"> IF( AND( OFFSET($A$1, 564 - 1, 64 - 1) = "1", OFFSET($A$1, 564 - 1, 65 - 1) = "1" ), 1, IF( AND( OFFSET($A$1, 564 - 1, 64 - 1) = "1", OFFSET($A$1, 564 - 1, 65 - 1) = "0" ), 2, IF( AND( OFFSET($A$1, 564 - 1, 64 - 1) = "0", OFFSET($A$1, 564 - 1, 65 - 1) = "1" ), 3, 4 ) ) )</f>
        <v>4</v>
      </c>
    </row>
    <row r="565" spans="58:66" x14ac:dyDescent="0.2">
      <c r="BF565" s="3">
        <v>0</v>
      </c>
      <c r="BG565" s="3" t="str">
        <f t="shared" si="62"/>
        <v>0</v>
      </c>
      <c r="BH565" t="str">
        <f ca="1">IF((OFFSET($A$1, 565 - 1, 58 - 1)) &gt;= (OFFSET($A$1, 96 - 1, 7 - 1)), "1","0")</f>
        <v>0</v>
      </c>
      <c r="BI565">
        <f ca="1" xml:space="preserve"> IF( AND( OFFSET($A$1, 565 - 1, 59 - 1) = "1", OFFSET($A$1, 565 - 1, 60 - 1) = "1" ), 1, IF( AND( OFFSET($A$1, 565 - 1, 59 - 1) = "1", OFFSET($A$1, 565 - 1, 60 - 1) = "0" ), 2, IF( AND( OFFSET($A$1, 565 - 1, 59 - 1) = "0", OFFSET($A$1, 565 - 1, 60 - 1) = "1" ), 3, 4 ) ) )</f>
        <v>4</v>
      </c>
      <c r="BK565" s="3">
        <v>6.6350710900473939E-2</v>
      </c>
      <c r="BL565" s="3" t="str">
        <f t="shared" si="61"/>
        <v>0</v>
      </c>
      <c r="BM565" t="str">
        <f ca="1">IF((OFFSET($A$1, 565 - 1, 63 - 1)) &gt;= (OFFSET($A$1, 135 - 1, 7 - 1)), "1","0")</f>
        <v>0</v>
      </c>
      <c r="BN565">
        <f ca="1" xml:space="preserve"> IF( AND( OFFSET($A$1, 565 - 1, 64 - 1) = "1", OFFSET($A$1, 565 - 1, 65 - 1) = "1" ), 1, IF( AND( OFFSET($A$1, 565 - 1, 64 - 1) = "1", OFFSET($A$1, 565 - 1, 65 - 1) = "0" ), 2, IF( AND( OFFSET($A$1, 565 - 1, 64 - 1) = "0", OFFSET($A$1, 565 - 1, 65 - 1) = "1" ), 3, 4 ) ) )</f>
        <v>4</v>
      </c>
    </row>
    <row r="566" spans="58:66" x14ac:dyDescent="0.2">
      <c r="BF566" s="3">
        <v>0</v>
      </c>
      <c r="BG566" s="3" t="str">
        <f t="shared" si="62"/>
        <v>0</v>
      </c>
      <c r="BH566" t="str">
        <f ca="1">IF((OFFSET($A$1, 566 - 1, 58 - 1)) &gt;= (OFFSET($A$1, 96 - 1, 7 - 1)), "1","0")</f>
        <v>0</v>
      </c>
      <c r="BI566">
        <f ca="1" xml:space="preserve"> IF( AND( OFFSET($A$1, 566 - 1, 59 - 1) = "1", OFFSET($A$1, 566 - 1, 60 - 1) = "1" ), 1, IF( AND( OFFSET($A$1, 566 - 1, 59 - 1) = "1", OFFSET($A$1, 566 - 1, 60 - 1) = "0" ), 2, IF( AND( OFFSET($A$1, 566 - 1, 59 - 1) = "0", OFFSET($A$1, 566 - 1, 60 - 1) = "1" ), 3, 4 ) ) )</f>
        <v>4</v>
      </c>
      <c r="BK566" s="3">
        <v>6.6350710900473939E-2</v>
      </c>
      <c r="BL566" s="3" t="str">
        <f t="shared" si="61"/>
        <v>0</v>
      </c>
      <c r="BM566" t="str">
        <f ca="1">IF((OFFSET($A$1, 566 - 1, 63 - 1)) &gt;= (OFFSET($A$1, 135 - 1, 7 - 1)), "1","0")</f>
        <v>0</v>
      </c>
      <c r="BN566">
        <f ca="1" xml:space="preserve"> IF( AND( OFFSET($A$1, 566 - 1, 64 - 1) = "1", OFFSET($A$1, 566 - 1, 65 - 1) = "1" ), 1, IF( AND( OFFSET($A$1, 566 - 1, 64 - 1) = "1", OFFSET($A$1, 566 - 1, 65 - 1) = "0" ), 2, IF( AND( OFFSET($A$1, 566 - 1, 64 - 1) = "0", OFFSET($A$1, 566 - 1, 65 - 1) = "1" ), 3, 4 ) ) )</f>
        <v>4</v>
      </c>
    </row>
    <row r="567" spans="58:66" x14ac:dyDescent="0.2">
      <c r="BF567" s="3">
        <v>3.7037037037037042E-2</v>
      </c>
      <c r="BG567" s="3" t="str">
        <f t="shared" si="62"/>
        <v>0</v>
      </c>
      <c r="BH567" t="str">
        <f ca="1">IF((OFFSET($A$1, 567 - 1, 58 - 1)) &gt;= (OFFSET($A$1, 96 - 1, 7 - 1)), "1","0")</f>
        <v>0</v>
      </c>
      <c r="BI567">
        <f ca="1" xml:space="preserve"> IF( AND( OFFSET($A$1, 567 - 1, 59 - 1) = "1", OFFSET($A$1, 567 - 1, 60 - 1) = "1" ), 1, IF( AND( OFFSET($A$1, 567 - 1, 59 - 1) = "1", OFFSET($A$1, 567 - 1, 60 - 1) = "0" ), 2, IF( AND( OFFSET($A$1, 567 - 1, 59 - 1) = "0", OFFSET($A$1, 567 - 1, 60 - 1) = "1" ), 3, 4 ) ) )</f>
        <v>4</v>
      </c>
      <c r="BK567" s="3">
        <v>6.6350710900473939E-2</v>
      </c>
      <c r="BL567" s="3" t="str">
        <f t="shared" si="61"/>
        <v>0</v>
      </c>
      <c r="BM567" t="str">
        <f ca="1">IF((OFFSET($A$1, 567 - 1, 63 - 1)) &gt;= (OFFSET($A$1, 135 - 1, 7 - 1)), "1","0")</f>
        <v>0</v>
      </c>
      <c r="BN567">
        <f ca="1" xml:space="preserve"> IF( AND( OFFSET($A$1, 567 - 1, 64 - 1) = "1", OFFSET($A$1, 567 - 1, 65 - 1) = "1" ), 1, IF( AND( OFFSET($A$1, 567 - 1, 64 - 1) = "1", OFFSET($A$1, 567 - 1, 65 - 1) = "0" ), 2, IF( AND( OFFSET($A$1, 567 - 1, 64 - 1) = "0", OFFSET($A$1, 567 - 1, 65 - 1) = "1" ), 3, 4 ) ) )</f>
        <v>4</v>
      </c>
    </row>
    <row r="568" spans="58:66" x14ac:dyDescent="0.2">
      <c r="BF568" s="3">
        <v>3.7037037037037042E-2</v>
      </c>
      <c r="BG568" s="3" t="str">
        <f t="shared" si="62"/>
        <v>0</v>
      </c>
      <c r="BH568" t="str">
        <f ca="1">IF((OFFSET($A$1, 568 - 1, 58 - 1)) &gt;= (OFFSET($A$1, 96 - 1, 7 - 1)), "1","0")</f>
        <v>0</v>
      </c>
      <c r="BI568">
        <f ca="1" xml:space="preserve"> IF( AND( OFFSET($A$1, 568 - 1, 59 - 1) = "1", OFFSET($A$1, 568 - 1, 60 - 1) = "1" ), 1, IF( AND( OFFSET($A$1, 568 - 1, 59 - 1) = "1", OFFSET($A$1, 568 - 1, 60 - 1) = "0" ), 2, IF( AND( OFFSET($A$1, 568 - 1, 59 - 1) = "0", OFFSET($A$1, 568 - 1, 60 - 1) = "1" ), 3, 4 ) ) )</f>
        <v>4</v>
      </c>
      <c r="BK568" s="3">
        <v>6.6350710900473939E-2</v>
      </c>
      <c r="BL568" s="3" t="str">
        <f t="shared" si="61"/>
        <v>0</v>
      </c>
      <c r="BM568" t="str">
        <f ca="1">IF((OFFSET($A$1, 568 - 1, 63 - 1)) &gt;= (OFFSET($A$1, 135 - 1, 7 - 1)), "1","0")</f>
        <v>0</v>
      </c>
      <c r="BN568">
        <f ca="1" xml:space="preserve"> IF( AND( OFFSET($A$1, 568 - 1, 64 - 1) = "1", OFFSET($A$1, 568 - 1, 65 - 1) = "1" ), 1, IF( AND( OFFSET($A$1, 568 - 1, 64 - 1) = "1", OFFSET($A$1, 568 - 1, 65 - 1) = "0" ), 2, IF( AND( OFFSET($A$1, 568 - 1, 64 - 1) = "0", OFFSET($A$1, 568 - 1, 65 - 1) = "1" ), 3, 4 ) ) )</f>
        <v>4</v>
      </c>
    </row>
    <row r="569" spans="58:66" x14ac:dyDescent="0.2">
      <c r="BF569" s="3">
        <v>0.36</v>
      </c>
      <c r="BG569" s="3" t="str">
        <f t="shared" si="62"/>
        <v>0</v>
      </c>
      <c r="BH569" t="str">
        <f ca="1">IF((OFFSET($A$1, 569 - 1, 58 - 1)) &gt;= (OFFSET($A$1, 96 - 1, 7 - 1)), "1","0")</f>
        <v>0</v>
      </c>
      <c r="BI569">
        <f ca="1" xml:space="preserve"> IF( AND( OFFSET($A$1, 569 - 1, 59 - 1) = "1", OFFSET($A$1, 569 - 1, 60 - 1) = "1" ), 1, IF( AND( OFFSET($A$1, 569 - 1, 59 - 1) = "1", OFFSET($A$1, 569 - 1, 60 - 1) = "0" ), 2, IF( AND( OFFSET($A$1, 569 - 1, 59 - 1) = "0", OFFSET($A$1, 569 - 1, 60 - 1) = "1" ), 3, 4 ) ) )</f>
        <v>4</v>
      </c>
      <c r="BK569" s="3">
        <v>2.5316455696202531E-2</v>
      </c>
      <c r="BL569" s="3" t="str">
        <f t="shared" si="61"/>
        <v>0</v>
      </c>
      <c r="BM569" t="str">
        <f ca="1">IF((OFFSET($A$1, 569 - 1, 63 - 1)) &gt;= (OFFSET($A$1, 135 - 1, 7 - 1)), "1","0")</f>
        <v>0</v>
      </c>
      <c r="BN569">
        <f ca="1" xml:space="preserve"> IF( AND( OFFSET($A$1, 569 - 1, 64 - 1) = "1", OFFSET($A$1, 569 - 1, 65 - 1) = "1" ), 1, IF( AND( OFFSET($A$1, 569 - 1, 64 - 1) = "1", OFFSET($A$1, 569 - 1, 65 - 1) = "0" ), 2, IF( AND( OFFSET($A$1, 569 - 1, 64 - 1) = "0", OFFSET($A$1, 569 - 1, 65 - 1) = "1" ), 3, 4 ) ) )</f>
        <v>4</v>
      </c>
    </row>
    <row r="570" spans="58:66" x14ac:dyDescent="0.2">
      <c r="BF570" s="3">
        <v>0.38775510204081637</v>
      </c>
      <c r="BG570" s="3" t="str">
        <f>"1"</f>
        <v>1</v>
      </c>
      <c r="BH570" t="str">
        <f ca="1">IF((OFFSET($A$1, 570 - 1, 58 - 1)) &gt;= (OFFSET($A$1, 96 - 1, 7 - 1)), "1","0")</f>
        <v>0</v>
      </c>
      <c r="BI570">
        <f ca="1" xml:space="preserve"> IF( AND( OFFSET($A$1, 570 - 1, 59 - 1) = "1", OFFSET($A$1, 570 - 1, 60 - 1) = "1" ), 1, IF( AND( OFFSET($A$1, 570 - 1, 59 - 1) = "1", OFFSET($A$1, 570 - 1, 60 - 1) = "0" ), 2, IF( AND( OFFSET($A$1, 570 - 1, 59 - 1) = "0", OFFSET($A$1, 570 - 1, 60 - 1) = "1" ), 3, 4 ) ) )</f>
        <v>2</v>
      </c>
      <c r="BK570" s="3">
        <v>6.6350710900473939E-2</v>
      </c>
      <c r="BL570" s="3" t="str">
        <f t="shared" si="61"/>
        <v>0</v>
      </c>
      <c r="BM570" t="str">
        <f ca="1">IF((OFFSET($A$1, 570 - 1, 63 - 1)) &gt;= (OFFSET($A$1, 135 - 1, 7 - 1)), "1","0")</f>
        <v>0</v>
      </c>
      <c r="BN570">
        <f ca="1" xml:space="preserve"> IF( AND( OFFSET($A$1, 570 - 1, 64 - 1) = "1", OFFSET($A$1, 570 - 1, 65 - 1) = "1" ), 1, IF( AND( OFFSET($A$1, 570 - 1, 64 - 1) = "1", OFFSET($A$1, 570 - 1, 65 - 1) = "0" ), 2, IF( AND( OFFSET($A$1, 570 - 1, 64 - 1) = "0", OFFSET($A$1, 570 - 1, 65 - 1) = "1" ), 3, 4 ) ) )</f>
        <v>4</v>
      </c>
    </row>
    <row r="571" spans="58:66" x14ac:dyDescent="0.2">
      <c r="BF571" s="3">
        <v>0.47692307692307689</v>
      </c>
      <c r="BG571" s="3" t="str">
        <f>"1"</f>
        <v>1</v>
      </c>
      <c r="BH571" t="str">
        <f ca="1">IF((OFFSET($A$1, 571 - 1, 58 - 1)) &gt;= (OFFSET($A$1, 96 - 1, 7 - 1)), "1","0")</f>
        <v>0</v>
      </c>
      <c r="BI571">
        <f ca="1" xml:space="preserve"> IF( AND( OFFSET($A$1, 571 - 1, 59 - 1) = "1", OFFSET($A$1, 571 - 1, 60 - 1) = "1" ), 1, IF( AND( OFFSET($A$1, 571 - 1, 59 - 1) = "1", OFFSET($A$1, 571 - 1, 60 - 1) = "0" ), 2, IF( AND( OFFSET($A$1, 571 - 1, 59 - 1) = "0", OFFSET($A$1, 571 - 1, 60 - 1) = "1" ), 3, 4 ) ) )</f>
        <v>2</v>
      </c>
      <c r="BK571" s="3">
        <v>0.90579710144927539</v>
      </c>
      <c r="BL571" s="3" t="str">
        <f>"1"</f>
        <v>1</v>
      </c>
      <c r="BM571" t="str">
        <f ca="1">IF((OFFSET($A$1, 571 - 1, 63 - 1)) &gt;= (OFFSET($A$1, 135 - 1, 7 - 1)), "1","0")</f>
        <v>1</v>
      </c>
      <c r="BN571">
        <f ca="1" xml:space="preserve"> IF( AND( OFFSET($A$1, 571 - 1, 64 - 1) = "1", OFFSET($A$1, 571 - 1, 65 - 1) = "1" ), 1, IF( AND( OFFSET($A$1, 571 - 1, 64 - 1) = "1", OFFSET($A$1, 571 - 1, 65 - 1) = "0" ), 2, IF( AND( OFFSET($A$1, 571 - 1, 64 - 1) = "0", OFFSET($A$1, 571 - 1, 65 - 1) = "1" ), 3, 4 ) ) )</f>
        <v>1</v>
      </c>
    </row>
    <row r="572" spans="58:66" x14ac:dyDescent="0.2">
      <c r="BF572" s="3">
        <v>0</v>
      </c>
      <c r="BG572" s="3" t="str">
        <f t="shared" ref="BG572:BG581" si="63">"0"</f>
        <v>0</v>
      </c>
      <c r="BH572" t="str">
        <f ca="1">IF((OFFSET($A$1, 572 - 1, 58 - 1)) &gt;= (OFFSET($A$1, 96 - 1, 7 - 1)), "1","0")</f>
        <v>0</v>
      </c>
      <c r="BI572">
        <f ca="1" xml:space="preserve"> IF( AND( OFFSET($A$1, 572 - 1, 59 - 1) = "1", OFFSET($A$1, 572 - 1, 60 - 1) = "1" ), 1, IF( AND( OFFSET($A$1, 572 - 1, 59 - 1) = "1", OFFSET($A$1, 572 - 1, 60 - 1) = "0" ), 2, IF( AND( OFFSET($A$1, 572 - 1, 59 - 1) = "0", OFFSET($A$1, 572 - 1, 60 - 1) = "1" ), 3, 4 ) ) )</f>
        <v>4</v>
      </c>
      <c r="BK572" s="3">
        <v>0.36</v>
      </c>
      <c r="BL572" s="3" t="str">
        <f>"0"</f>
        <v>0</v>
      </c>
      <c r="BM572" t="str">
        <f ca="1">IF((OFFSET($A$1, 572 - 1, 63 - 1)) &gt;= (OFFSET($A$1, 135 - 1, 7 - 1)), "1","0")</f>
        <v>0</v>
      </c>
      <c r="BN572">
        <f ca="1" xml:space="preserve"> IF( AND( OFFSET($A$1, 572 - 1, 64 - 1) = "1", OFFSET($A$1, 572 - 1, 65 - 1) = "1" ), 1, IF( AND( OFFSET($A$1, 572 - 1, 64 - 1) = "1", OFFSET($A$1, 572 - 1, 65 - 1) = "0" ), 2, IF( AND( OFFSET($A$1, 572 - 1, 64 - 1) = "0", OFFSET($A$1, 572 - 1, 65 - 1) = "1" ), 3, 4 ) ) )</f>
        <v>4</v>
      </c>
    </row>
    <row r="573" spans="58:66" x14ac:dyDescent="0.2">
      <c r="BF573" s="3">
        <v>0</v>
      </c>
      <c r="BG573" s="3" t="str">
        <f t="shared" si="63"/>
        <v>0</v>
      </c>
      <c r="BH573" t="str">
        <f ca="1">IF((OFFSET($A$1, 573 - 1, 58 - 1)) &gt;= (OFFSET($A$1, 96 - 1, 7 - 1)), "1","0")</f>
        <v>0</v>
      </c>
      <c r="BI573">
        <f ca="1" xml:space="preserve"> IF( AND( OFFSET($A$1, 573 - 1, 59 - 1) = "1", OFFSET($A$1, 573 - 1, 60 - 1) = "1" ), 1, IF( AND( OFFSET($A$1, 573 - 1, 59 - 1) = "1", OFFSET($A$1, 573 - 1, 60 - 1) = "0" ), 2, IF( AND( OFFSET($A$1, 573 - 1, 59 - 1) = "0", OFFSET($A$1, 573 - 1, 60 - 1) = "1" ), 3, 4 ) ) )</f>
        <v>4</v>
      </c>
      <c r="BK573" s="3">
        <v>6.6350710900473939E-2</v>
      </c>
      <c r="BL573" s="3" t="str">
        <f>"1"</f>
        <v>1</v>
      </c>
      <c r="BM573" t="str">
        <f ca="1">IF((OFFSET($A$1, 573 - 1, 63 - 1)) &gt;= (OFFSET($A$1, 135 - 1, 7 - 1)), "1","0")</f>
        <v>0</v>
      </c>
      <c r="BN573">
        <f ca="1" xml:space="preserve"> IF( AND( OFFSET($A$1, 573 - 1, 64 - 1) = "1", OFFSET($A$1, 573 - 1, 65 - 1) = "1" ), 1, IF( AND( OFFSET($A$1, 573 - 1, 64 - 1) = "1", OFFSET($A$1, 573 - 1, 65 - 1) = "0" ), 2, IF( AND( OFFSET($A$1, 573 - 1, 64 - 1) = "0", OFFSET($A$1, 573 - 1, 65 - 1) = "1" ), 3, 4 ) ) )</f>
        <v>2</v>
      </c>
    </row>
    <row r="574" spans="58:66" x14ac:dyDescent="0.2">
      <c r="BF574" s="3">
        <v>0</v>
      </c>
      <c r="BG574" s="3" t="str">
        <f t="shared" si="63"/>
        <v>0</v>
      </c>
      <c r="BH574" t="str">
        <f ca="1">IF((OFFSET($A$1, 574 - 1, 58 - 1)) &gt;= (OFFSET($A$1, 96 - 1, 7 - 1)), "1","0")</f>
        <v>0</v>
      </c>
      <c r="BI574">
        <f ca="1" xml:space="preserve"> IF( AND( OFFSET($A$1, 574 - 1, 59 - 1) = "1", OFFSET($A$1, 574 - 1, 60 - 1) = "1" ), 1, IF( AND( OFFSET($A$1, 574 - 1, 59 - 1) = "1", OFFSET($A$1, 574 - 1, 60 - 1) = "0" ), 2, IF( AND( OFFSET($A$1, 574 - 1, 59 - 1) = "0", OFFSET($A$1, 574 - 1, 60 - 1) = "1" ), 3, 4 ) ) )</f>
        <v>4</v>
      </c>
      <c r="BK574" s="3">
        <v>6.6350710900473939E-2</v>
      </c>
      <c r="BL574" s="3" t="str">
        <f t="shared" ref="BL574:BL580" si="64">"0"</f>
        <v>0</v>
      </c>
      <c r="BM574" t="str">
        <f ca="1">IF((OFFSET($A$1, 574 - 1, 63 - 1)) &gt;= (OFFSET($A$1, 135 - 1, 7 - 1)), "1","0")</f>
        <v>0</v>
      </c>
      <c r="BN574">
        <f ca="1" xml:space="preserve"> IF( AND( OFFSET($A$1, 574 - 1, 64 - 1) = "1", OFFSET($A$1, 574 - 1, 65 - 1) = "1" ), 1, IF( AND( OFFSET($A$1, 574 - 1, 64 - 1) = "1", OFFSET($A$1, 574 - 1, 65 - 1) = "0" ), 2, IF( AND( OFFSET($A$1, 574 - 1, 64 - 1) = "0", OFFSET($A$1, 574 - 1, 65 - 1) = "1" ), 3, 4 ) ) )</f>
        <v>4</v>
      </c>
    </row>
    <row r="575" spans="58:66" x14ac:dyDescent="0.2">
      <c r="BF575" s="3">
        <v>0</v>
      </c>
      <c r="BG575" s="3" t="str">
        <f t="shared" si="63"/>
        <v>0</v>
      </c>
      <c r="BH575" t="str">
        <f ca="1">IF((OFFSET($A$1, 575 - 1, 58 - 1)) &gt;= (OFFSET($A$1, 96 - 1, 7 - 1)), "1","0")</f>
        <v>0</v>
      </c>
      <c r="BI575">
        <f ca="1" xml:space="preserve"> IF( AND( OFFSET($A$1, 575 - 1, 59 - 1) = "1", OFFSET($A$1, 575 - 1, 60 - 1) = "1" ), 1, IF( AND( OFFSET($A$1, 575 - 1, 59 - 1) = "1", OFFSET($A$1, 575 - 1, 60 - 1) = "0" ), 2, IF( AND( OFFSET($A$1, 575 - 1, 59 - 1) = "0", OFFSET($A$1, 575 - 1, 60 - 1) = "1" ), 3, 4 ) ) )</f>
        <v>4</v>
      </c>
      <c r="BK575" s="3">
        <v>6.6350710900473939E-2</v>
      </c>
      <c r="BL575" s="3" t="str">
        <f t="shared" si="64"/>
        <v>0</v>
      </c>
      <c r="BM575" t="str">
        <f ca="1">IF((OFFSET($A$1, 575 - 1, 63 - 1)) &gt;= (OFFSET($A$1, 135 - 1, 7 - 1)), "1","0")</f>
        <v>0</v>
      </c>
      <c r="BN575">
        <f ca="1" xml:space="preserve"> IF( AND( OFFSET($A$1, 575 - 1, 64 - 1) = "1", OFFSET($A$1, 575 - 1, 65 - 1) = "1" ), 1, IF( AND( OFFSET($A$1, 575 - 1, 64 - 1) = "1", OFFSET($A$1, 575 - 1, 65 - 1) = "0" ), 2, IF( AND( OFFSET($A$1, 575 - 1, 64 - 1) = "0", OFFSET($A$1, 575 - 1, 65 - 1) = "1" ), 3, 4 ) ) )</f>
        <v>4</v>
      </c>
    </row>
    <row r="576" spans="58:66" x14ac:dyDescent="0.2">
      <c r="BF576" s="3">
        <v>0.1081081081081081</v>
      </c>
      <c r="BG576" s="3" t="str">
        <f t="shared" si="63"/>
        <v>0</v>
      </c>
      <c r="BH576" t="str">
        <f ca="1">IF((OFFSET($A$1, 576 - 1, 58 - 1)) &gt;= (OFFSET($A$1, 96 - 1, 7 - 1)), "1","0")</f>
        <v>0</v>
      </c>
      <c r="BI576">
        <f ca="1" xml:space="preserve"> IF( AND( OFFSET($A$1, 576 - 1, 59 - 1) = "1", OFFSET($A$1, 576 - 1, 60 - 1) = "1" ), 1, IF( AND( OFFSET($A$1, 576 - 1, 59 - 1) = "1", OFFSET($A$1, 576 - 1, 60 - 1) = "0" ), 2, IF( AND( OFFSET($A$1, 576 - 1, 59 - 1) = "0", OFFSET($A$1, 576 - 1, 60 - 1) = "1" ), 3, 4 ) ) )</f>
        <v>4</v>
      </c>
      <c r="BK576" s="3">
        <v>6.6350710900473939E-2</v>
      </c>
      <c r="BL576" s="3" t="str">
        <f t="shared" si="64"/>
        <v>0</v>
      </c>
      <c r="BM576" t="str">
        <f ca="1">IF((OFFSET($A$1, 576 - 1, 63 - 1)) &gt;= (OFFSET($A$1, 135 - 1, 7 - 1)), "1","0")</f>
        <v>0</v>
      </c>
      <c r="BN576">
        <f ca="1" xml:space="preserve"> IF( AND( OFFSET($A$1, 576 - 1, 64 - 1) = "1", OFFSET($A$1, 576 - 1, 65 - 1) = "1" ), 1, IF( AND( OFFSET($A$1, 576 - 1, 64 - 1) = "1", OFFSET($A$1, 576 - 1, 65 - 1) = "0" ), 2, IF( AND( OFFSET($A$1, 576 - 1, 64 - 1) = "0", OFFSET($A$1, 576 - 1, 65 - 1) = "1" ), 3, 4 ) ) )</f>
        <v>4</v>
      </c>
    </row>
    <row r="577" spans="58:66" x14ac:dyDescent="0.2">
      <c r="BF577" s="3">
        <v>0</v>
      </c>
      <c r="BG577" s="3" t="str">
        <f t="shared" si="63"/>
        <v>0</v>
      </c>
      <c r="BH577" t="str">
        <f ca="1">IF((OFFSET($A$1, 577 - 1, 58 - 1)) &gt;= (OFFSET($A$1, 96 - 1, 7 - 1)), "1","0")</f>
        <v>0</v>
      </c>
      <c r="BI577">
        <f ca="1" xml:space="preserve"> IF( AND( OFFSET($A$1, 577 - 1, 59 - 1) = "1", OFFSET($A$1, 577 - 1, 60 - 1) = "1" ), 1, IF( AND( OFFSET($A$1, 577 - 1, 59 - 1) = "1", OFFSET($A$1, 577 - 1, 60 - 1) = "0" ), 2, IF( AND( OFFSET($A$1, 577 - 1, 59 - 1) = "0", OFFSET($A$1, 577 - 1, 60 - 1) = "1" ), 3, 4 ) ) )</f>
        <v>4</v>
      </c>
      <c r="BK577" s="3">
        <v>2.5316455696202531E-2</v>
      </c>
      <c r="BL577" s="3" t="str">
        <f t="shared" si="64"/>
        <v>0</v>
      </c>
      <c r="BM577" t="str">
        <f ca="1">IF((OFFSET($A$1, 577 - 1, 63 - 1)) &gt;= (OFFSET($A$1, 135 - 1, 7 - 1)), "1","0")</f>
        <v>0</v>
      </c>
      <c r="BN577">
        <f ca="1" xml:space="preserve"> IF( AND( OFFSET($A$1, 577 - 1, 64 - 1) = "1", OFFSET($A$1, 577 - 1, 65 - 1) = "1" ), 1, IF( AND( OFFSET($A$1, 577 - 1, 64 - 1) = "1", OFFSET($A$1, 577 - 1, 65 - 1) = "0" ), 2, IF( AND( OFFSET($A$1, 577 - 1, 64 - 1) = "0", OFFSET($A$1, 577 - 1, 65 - 1) = "1" ), 3, 4 ) ) )</f>
        <v>4</v>
      </c>
    </row>
    <row r="578" spans="58:66" x14ac:dyDescent="0.2">
      <c r="BF578" s="3">
        <v>0.36</v>
      </c>
      <c r="BG578" s="3" t="str">
        <f t="shared" si="63"/>
        <v>0</v>
      </c>
      <c r="BH578" t="str">
        <f ca="1">IF((OFFSET($A$1, 578 - 1, 58 - 1)) &gt;= (OFFSET($A$1, 96 - 1, 7 - 1)), "1","0")</f>
        <v>0</v>
      </c>
      <c r="BI578">
        <f ca="1" xml:space="preserve"> IF( AND( OFFSET($A$1, 578 - 1, 59 - 1) = "1", OFFSET($A$1, 578 - 1, 60 - 1) = "1" ), 1, IF( AND( OFFSET($A$1, 578 - 1, 59 - 1) = "1", OFFSET($A$1, 578 - 1, 60 - 1) = "0" ), 2, IF( AND( OFFSET($A$1, 578 - 1, 59 - 1) = "0", OFFSET($A$1, 578 - 1, 60 - 1) = "1" ), 3, 4 ) ) )</f>
        <v>4</v>
      </c>
      <c r="BK578" s="3">
        <v>2.5316455696202531E-2</v>
      </c>
      <c r="BL578" s="3" t="str">
        <f t="shared" si="64"/>
        <v>0</v>
      </c>
      <c r="BM578" t="str">
        <f ca="1">IF((OFFSET($A$1, 578 - 1, 63 - 1)) &gt;= (OFFSET($A$1, 135 - 1, 7 - 1)), "1","0")</f>
        <v>0</v>
      </c>
      <c r="BN578">
        <f ca="1" xml:space="preserve"> IF( AND( OFFSET($A$1, 578 - 1, 64 - 1) = "1", OFFSET($A$1, 578 - 1, 65 - 1) = "1" ), 1, IF( AND( OFFSET($A$1, 578 - 1, 64 - 1) = "1", OFFSET($A$1, 578 - 1, 65 - 1) = "0" ), 2, IF( AND( OFFSET($A$1, 578 - 1, 64 - 1) = "0", OFFSET($A$1, 578 - 1, 65 - 1) = "1" ), 3, 4 ) ) )</f>
        <v>4</v>
      </c>
    </row>
    <row r="579" spans="58:66" x14ac:dyDescent="0.2">
      <c r="BF579" s="3">
        <v>0</v>
      </c>
      <c r="BG579" s="3" t="str">
        <f t="shared" si="63"/>
        <v>0</v>
      </c>
      <c r="BH579" t="str">
        <f ca="1">IF((OFFSET($A$1, 579 - 1, 58 - 1)) &gt;= (OFFSET($A$1, 96 - 1, 7 - 1)), "1","0")</f>
        <v>0</v>
      </c>
      <c r="BI579">
        <f ca="1" xml:space="preserve"> IF( AND( OFFSET($A$1, 579 - 1, 59 - 1) = "1", OFFSET($A$1, 579 - 1, 60 - 1) = "1" ), 1, IF( AND( OFFSET($A$1, 579 - 1, 59 - 1) = "1", OFFSET($A$1, 579 - 1, 60 - 1) = "0" ), 2, IF( AND( OFFSET($A$1, 579 - 1, 59 - 1) = "0", OFFSET($A$1, 579 - 1, 60 - 1) = "1" ), 3, 4 ) ) )</f>
        <v>4</v>
      </c>
      <c r="BK579" s="3">
        <v>6.6350710900473939E-2</v>
      </c>
      <c r="BL579" s="3" t="str">
        <f t="shared" si="64"/>
        <v>0</v>
      </c>
      <c r="BM579" t="str">
        <f ca="1">IF((OFFSET($A$1, 579 - 1, 63 - 1)) &gt;= (OFFSET($A$1, 135 - 1, 7 - 1)), "1","0")</f>
        <v>0</v>
      </c>
      <c r="BN579">
        <f ca="1" xml:space="preserve"> IF( AND( OFFSET($A$1, 579 - 1, 64 - 1) = "1", OFFSET($A$1, 579 - 1, 65 - 1) = "1" ), 1, IF( AND( OFFSET($A$1, 579 - 1, 64 - 1) = "1", OFFSET($A$1, 579 - 1, 65 - 1) = "0" ), 2, IF( AND( OFFSET($A$1, 579 - 1, 64 - 1) = "0", OFFSET($A$1, 579 - 1, 65 - 1) = "1" ), 3, 4 ) ) )</f>
        <v>4</v>
      </c>
    </row>
    <row r="580" spans="58:66" x14ac:dyDescent="0.2">
      <c r="BF580" s="3">
        <v>0</v>
      </c>
      <c r="BG580" s="3" t="str">
        <f t="shared" si="63"/>
        <v>0</v>
      </c>
      <c r="BH580" t="str">
        <f ca="1">IF((OFFSET($A$1, 580 - 1, 58 - 1)) &gt;= (OFFSET($A$1, 96 - 1, 7 - 1)), "1","0")</f>
        <v>0</v>
      </c>
      <c r="BI580">
        <f ca="1" xml:space="preserve"> IF( AND( OFFSET($A$1, 580 - 1, 59 - 1) = "1", OFFSET($A$1, 580 - 1, 60 - 1) = "1" ), 1, IF( AND( OFFSET($A$1, 580 - 1, 59 - 1) = "1", OFFSET($A$1, 580 - 1, 60 - 1) = "0" ), 2, IF( AND( OFFSET($A$1, 580 - 1, 59 - 1) = "0", OFFSET($A$1, 580 - 1, 60 - 1) = "1" ), 3, 4 ) ) )</f>
        <v>4</v>
      </c>
      <c r="BK580" s="3">
        <v>6.6350710900473939E-2</v>
      </c>
      <c r="BL580" s="3" t="str">
        <f t="shared" si="64"/>
        <v>0</v>
      </c>
      <c r="BM580" t="str">
        <f ca="1">IF((OFFSET($A$1, 580 - 1, 63 - 1)) &gt;= (OFFSET($A$1, 135 - 1, 7 - 1)), "1","0")</f>
        <v>0</v>
      </c>
      <c r="BN580">
        <f ca="1" xml:space="preserve"> IF( AND( OFFSET($A$1, 580 - 1, 64 - 1) = "1", OFFSET($A$1, 580 - 1, 65 - 1) = "1" ), 1, IF( AND( OFFSET($A$1, 580 - 1, 64 - 1) = "1", OFFSET($A$1, 580 - 1, 65 - 1) = "0" ), 2, IF( AND( OFFSET($A$1, 580 - 1, 64 - 1) = "0", OFFSET($A$1, 580 - 1, 65 - 1) = "1" ), 3, 4 ) ) )</f>
        <v>4</v>
      </c>
    </row>
    <row r="581" spans="58:66" x14ac:dyDescent="0.2">
      <c r="BF581" s="3">
        <v>0.36</v>
      </c>
      <c r="BG581" s="3" t="str">
        <f t="shared" si="63"/>
        <v>0</v>
      </c>
      <c r="BH581" t="str">
        <f ca="1">IF((OFFSET($A$1, 581 - 1, 58 - 1)) &gt;= (OFFSET($A$1, 96 - 1, 7 - 1)), "1","0")</f>
        <v>0</v>
      </c>
      <c r="BI581">
        <f ca="1" xml:space="preserve"> IF( AND( OFFSET($A$1, 581 - 1, 59 - 1) = "1", OFFSET($A$1, 581 - 1, 60 - 1) = "1" ), 1, IF( AND( OFFSET($A$1, 581 - 1, 59 - 1) = "1", OFFSET($A$1, 581 - 1, 60 - 1) = "0" ), 2, IF( AND( OFFSET($A$1, 581 - 1, 59 - 1) = "0", OFFSET($A$1, 581 - 1, 60 - 1) = "1" ), 3, 4 ) ) )</f>
        <v>4</v>
      </c>
      <c r="BK581" s="3">
        <v>0.90579710144927539</v>
      </c>
      <c r="BL581" s="3" t="str">
        <f>"1"</f>
        <v>1</v>
      </c>
      <c r="BM581" t="str">
        <f ca="1">IF((OFFSET($A$1, 581 - 1, 63 - 1)) &gt;= (OFFSET($A$1, 135 - 1, 7 - 1)), "1","0")</f>
        <v>1</v>
      </c>
      <c r="BN581">
        <f ca="1" xml:space="preserve"> IF( AND( OFFSET($A$1, 581 - 1, 64 - 1) = "1", OFFSET($A$1, 581 - 1, 65 - 1) = "1" ), 1, IF( AND( OFFSET($A$1, 581 - 1, 64 - 1) = "1", OFFSET($A$1, 581 - 1, 65 - 1) = "0" ), 2, IF( AND( OFFSET($A$1, 581 - 1, 64 - 1) = "0", OFFSET($A$1, 581 - 1, 65 - 1) = "1" ), 3, 4 ) ) )</f>
        <v>1</v>
      </c>
    </row>
    <row r="582" spans="58:66" x14ac:dyDescent="0.2">
      <c r="BF582" s="3">
        <v>0.36</v>
      </c>
      <c r="BG582" s="3" t="str">
        <f>"1"</f>
        <v>1</v>
      </c>
      <c r="BH582" t="str">
        <f ca="1">IF((OFFSET($A$1, 582 - 1, 58 - 1)) &gt;= (OFFSET($A$1, 96 - 1, 7 - 1)), "1","0")</f>
        <v>0</v>
      </c>
      <c r="BI582">
        <f ca="1" xml:space="preserve"> IF( AND( OFFSET($A$1, 582 - 1, 59 - 1) = "1", OFFSET($A$1, 582 - 1, 60 - 1) = "1" ), 1, IF( AND( OFFSET($A$1, 582 - 1, 59 - 1) = "1", OFFSET($A$1, 582 - 1, 60 - 1) = "0" ), 2, IF( AND( OFFSET($A$1, 582 - 1, 59 - 1) = "0", OFFSET($A$1, 582 - 1, 60 - 1) = "1" ), 3, 4 ) ) )</f>
        <v>2</v>
      </c>
      <c r="BK582" s="3">
        <v>0.38775510204081637</v>
      </c>
      <c r="BL582" s="3" t="str">
        <f>"0"</f>
        <v>0</v>
      </c>
      <c r="BM582" t="str">
        <f ca="1">IF((OFFSET($A$1, 582 - 1, 63 - 1)) &gt;= (OFFSET($A$1, 135 - 1, 7 - 1)), "1","0")</f>
        <v>0</v>
      </c>
      <c r="BN582">
        <f ca="1" xml:space="preserve"> IF( AND( OFFSET($A$1, 582 - 1, 64 - 1) = "1", OFFSET($A$1, 582 - 1, 65 - 1) = "1" ), 1, IF( AND( OFFSET($A$1, 582 - 1, 64 - 1) = "1", OFFSET($A$1, 582 - 1, 65 - 1) = "0" ), 2, IF( AND( OFFSET($A$1, 582 - 1, 64 - 1) = "0", OFFSET($A$1, 582 - 1, 65 - 1) = "1" ), 3, 4 ) ) )</f>
        <v>4</v>
      </c>
    </row>
    <row r="583" spans="58:66" x14ac:dyDescent="0.2">
      <c r="BF583" s="3">
        <v>0</v>
      </c>
      <c r="BG583" s="3" t="str">
        <f>"0"</f>
        <v>0</v>
      </c>
      <c r="BH583" t="str">
        <f ca="1">IF((OFFSET($A$1, 583 - 1, 58 - 1)) &gt;= (OFFSET($A$1, 96 - 1, 7 - 1)), "1","0")</f>
        <v>0</v>
      </c>
      <c r="BI583">
        <f ca="1" xml:space="preserve"> IF( AND( OFFSET($A$1, 583 - 1, 59 - 1) = "1", OFFSET($A$1, 583 - 1, 60 - 1) = "1" ), 1, IF( AND( OFFSET($A$1, 583 - 1, 59 - 1) = "1", OFFSET($A$1, 583 - 1, 60 - 1) = "0" ), 2, IF( AND( OFFSET($A$1, 583 - 1, 59 - 1) = "0", OFFSET($A$1, 583 - 1, 60 - 1) = "1" ), 3, 4 ) ) )</f>
        <v>4</v>
      </c>
      <c r="BK583" s="3">
        <v>0.38775510204081637</v>
      </c>
      <c r="BL583" s="3" t="str">
        <f>"1"</f>
        <v>1</v>
      </c>
      <c r="BM583" t="str">
        <f ca="1">IF((OFFSET($A$1, 583 - 1, 63 - 1)) &gt;= (OFFSET($A$1, 135 - 1, 7 - 1)), "1","0")</f>
        <v>0</v>
      </c>
      <c r="BN583">
        <f ca="1" xml:space="preserve"> IF( AND( OFFSET($A$1, 583 - 1, 64 - 1) = "1", OFFSET($A$1, 583 - 1, 65 - 1) = "1" ), 1, IF( AND( OFFSET($A$1, 583 - 1, 64 - 1) = "1", OFFSET($A$1, 583 - 1, 65 - 1) = "0" ), 2, IF( AND( OFFSET($A$1, 583 - 1, 64 - 1) = "0", OFFSET($A$1, 583 - 1, 65 - 1) = "1" ), 3, 4 ) ) )</f>
        <v>2</v>
      </c>
    </row>
    <row r="584" spans="58:66" x14ac:dyDescent="0.2">
      <c r="BF584" s="3">
        <v>0</v>
      </c>
      <c r="BG584" s="3" t="str">
        <f>"0"</f>
        <v>0</v>
      </c>
      <c r="BH584" t="str">
        <f ca="1">IF((OFFSET($A$1, 584 - 1, 58 - 1)) &gt;= (OFFSET($A$1, 96 - 1, 7 - 1)), "1","0")</f>
        <v>0</v>
      </c>
      <c r="BI584">
        <f ca="1" xml:space="preserve"> IF( AND( OFFSET($A$1, 584 - 1, 59 - 1) = "1", OFFSET($A$1, 584 - 1, 60 - 1) = "1" ), 1, IF( AND( OFFSET($A$1, 584 - 1, 59 - 1) = "1", OFFSET($A$1, 584 - 1, 60 - 1) = "0" ), 2, IF( AND( OFFSET($A$1, 584 - 1, 59 - 1) = "0", OFFSET($A$1, 584 - 1, 60 - 1) = "1" ), 3, 4 ) ) )</f>
        <v>4</v>
      </c>
      <c r="BK584" s="3">
        <v>0.36</v>
      </c>
      <c r="BL584" s="3" t="str">
        <f>"1"</f>
        <v>1</v>
      </c>
      <c r="BM584" t="str">
        <f ca="1">IF((OFFSET($A$1, 584 - 1, 63 - 1)) &gt;= (OFFSET($A$1, 135 - 1, 7 - 1)), "1","0")</f>
        <v>0</v>
      </c>
      <c r="BN584">
        <f ca="1" xml:space="preserve"> IF( AND( OFFSET($A$1, 584 - 1, 64 - 1) = "1", OFFSET($A$1, 584 - 1, 65 - 1) = "1" ), 1, IF( AND( OFFSET($A$1, 584 - 1, 64 - 1) = "1", OFFSET($A$1, 584 - 1, 65 - 1) = "0" ), 2, IF( AND( OFFSET($A$1, 584 - 1, 64 - 1) = "0", OFFSET($A$1, 584 - 1, 65 - 1) = "1" ), 3, 4 ) ) )</f>
        <v>2</v>
      </c>
    </row>
    <row r="585" spans="58:66" x14ac:dyDescent="0.2">
      <c r="BF585" s="3">
        <v>0.34722222222222221</v>
      </c>
      <c r="BG585" s="3" t="str">
        <f>"1"</f>
        <v>1</v>
      </c>
      <c r="BH585" t="str">
        <f ca="1">IF((OFFSET($A$1, 585 - 1, 58 - 1)) &gt;= (OFFSET($A$1, 96 - 1, 7 - 1)), "1","0")</f>
        <v>0</v>
      </c>
      <c r="BI585">
        <f ca="1" xml:space="preserve"> IF( AND( OFFSET($A$1, 585 - 1, 59 - 1) = "1", OFFSET($A$1, 585 - 1, 60 - 1) = "1" ), 1, IF( AND( OFFSET($A$1, 585 - 1, 59 - 1) = "1", OFFSET($A$1, 585 - 1, 60 - 1) = "0" ), 2, IF( AND( OFFSET($A$1, 585 - 1, 59 - 1) = "0", OFFSET($A$1, 585 - 1, 60 - 1) = "1" ), 3, 4 ) ) )</f>
        <v>2</v>
      </c>
      <c r="BK585" s="3">
        <v>0.36</v>
      </c>
      <c r="BL585" s="3" t="str">
        <f t="shared" ref="BL585:BL590" si="65">"0"</f>
        <v>0</v>
      </c>
      <c r="BM585" t="str">
        <f ca="1">IF((OFFSET($A$1, 585 - 1, 63 - 1)) &gt;= (OFFSET($A$1, 135 - 1, 7 - 1)), "1","0")</f>
        <v>0</v>
      </c>
      <c r="BN585">
        <f ca="1" xml:space="preserve"> IF( AND( OFFSET($A$1, 585 - 1, 64 - 1) = "1", OFFSET($A$1, 585 - 1, 65 - 1) = "1" ), 1, IF( AND( OFFSET($A$1, 585 - 1, 64 - 1) = "1", OFFSET($A$1, 585 - 1, 65 - 1) = "0" ), 2, IF( AND( OFFSET($A$1, 585 - 1, 64 - 1) = "0", OFFSET($A$1, 585 - 1, 65 - 1) = "1" ), 3, 4 ) ) )</f>
        <v>4</v>
      </c>
    </row>
    <row r="586" spans="58:66" x14ac:dyDescent="0.2">
      <c r="BF586" s="3">
        <v>0.38775510204081637</v>
      </c>
      <c r="BG586" s="3" t="str">
        <f>"1"</f>
        <v>1</v>
      </c>
      <c r="BH586" t="str">
        <f ca="1">IF((OFFSET($A$1, 586 - 1, 58 - 1)) &gt;= (OFFSET($A$1, 96 - 1, 7 - 1)), "1","0")</f>
        <v>0</v>
      </c>
      <c r="BI586">
        <f ca="1" xml:space="preserve"> IF( AND( OFFSET($A$1, 586 - 1, 59 - 1) = "1", OFFSET($A$1, 586 - 1, 60 - 1) = "1" ), 1, IF( AND( OFFSET($A$1, 586 - 1, 59 - 1) = "1", OFFSET($A$1, 586 - 1, 60 - 1) = "0" ), 2, IF( AND( OFFSET($A$1, 586 - 1, 59 - 1) = "0", OFFSET($A$1, 586 - 1, 60 - 1) = "1" ), 3, 4 ) ) )</f>
        <v>2</v>
      </c>
      <c r="BK586" s="3">
        <v>6.6350710900473939E-2</v>
      </c>
      <c r="BL586" s="3" t="str">
        <f t="shared" si="65"/>
        <v>0</v>
      </c>
      <c r="BM586" t="str">
        <f ca="1">IF((OFFSET($A$1, 586 - 1, 63 - 1)) &gt;= (OFFSET($A$1, 135 - 1, 7 - 1)), "1","0")</f>
        <v>0</v>
      </c>
      <c r="BN586">
        <f ca="1" xml:space="preserve"> IF( AND( OFFSET($A$1, 586 - 1, 64 - 1) = "1", OFFSET($A$1, 586 - 1, 65 - 1) = "1" ), 1, IF( AND( OFFSET($A$1, 586 - 1, 64 - 1) = "1", OFFSET($A$1, 586 - 1, 65 - 1) = "0" ), 2, IF( AND( OFFSET($A$1, 586 - 1, 64 - 1) = "0", OFFSET($A$1, 586 - 1, 65 - 1) = "1" ), 3, 4 ) ) )</f>
        <v>4</v>
      </c>
    </row>
    <row r="587" spans="58:66" x14ac:dyDescent="0.2">
      <c r="BF587" s="3">
        <v>4.3478260869565216E-2</v>
      </c>
      <c r="BG587" s="3" t="str">
        <f t="shared" ref="BG587:BG605" si="66">"0"</f>
        <v>0</v>
      </c>
      <c r="BH587" t="str">
        <f ca="1">IF((OFFSET($A$1, 587 - 1, 58 - 1)) &gt;= (OFFSET($A$1, 96 - 1, 7 - 1)), "1","0")</f>
        <v>0</v>
      </c>
      <c r="BI587">
        <f ca="1" xml:space="preserve"> IF( AND( OFFSET($A$1, 587 - 1, 59 - 1) = "1", OFFSET($A$1, 587 - 1, 60 - 1) = "1" ), 1, IF( AND( OFFSET($A$1, 587 - 1, 59 - 1) = "1", OFFSET($A$1, 587 - 1, 60 - 1) = "0" ), 2, IF( AND( OFFSET($A$1, 587 - 1, 59 - 1) = "0", OFFSET($A$1, 587 - 1, 60 - 1) = "1" ), 3, 4 ) ) )</f>
        <v>4</v>
      </c>
      <c r="BK587" s="3">
        <v>6.6350710900473939E-2</v>
      </c>
      <c r="BL587" s="3" t="str">
        <f t="shared" si="65"/>
        <v>0</v>
      </c>
      <c r="BM587" t="str">
        <f ca="1">IF((OFFSET($A$1, 587 - 1, 63 - 1)) &gt;= (OFFSET($A$1, 135 - 1, 7 - 1)), "1","0")</f>
        <v>0</v>
      </c>
      <c r="BN587">
        <f ca="1" xml:space="preserve"> IF( AND( OFFSET($A$1, 587 - 1, 64 - 1) = "1", OFFSET($A$1, 587 - 1, 65 - 1) = "1" ), 1, IF( AND( OFFSET($A$1, 587 - 1, 64 - 1) = "1", OFFSET($A$1, 587 - 1, 65 - 1) = "0" ), 2, IF( AND( OFFSET($A$1, 587 - 1, 64 - 1) = "0", OFFSET($A$1, 587 - 1, 65 - 1) = "1" ), 3, 4 ) ) )</f>
        <v>4</v>
      </c>
    </row>
    <row r="588" spans="58:66" x14ac:dyDescent="0.2">
      <c r="BF588" s="3">
        <v>0</v>
      </c>
      <c r="BG588" s="3" t="str">
        <f t="shared" si="66"/>
        <v>0</v>
      </c>
      <c r="BH588" t="str">
        <f ca="1">IF((OFFSET($A$1, 588 - 1, 58 - 1)) &gt;= (OFFSET($A$1, 96 - 1, 7 - 1)), "1","0")</f>
        <v>0</v>
      </c>
      <c r="BI588">
        <f ca="1" xml:space="preserve"> IF( AND( OFFSET($A$1, 588 - 1, 59 - 1) = "1", OFFSET($A$1, 588 - 1, 60 - 1) = "1" ), 1, IF( AND( OFFSET($A$1, 588 - 1, 59 - 1) = "1", OFFSET($A$1, 588 - 1, 60 - 1) = "0" ), 2, IF( AND( OFFSET($A$1, 588 - 1, 59 - 1) = "0", OFFSET($A$1, 588 - 1, 60 - 1) = "1" ), 3, 4 ) ) )</f>
        <v>4</v>
      </c>
      <c r="BK588" s="3">
        <v>6.6350710900473939E-2</v>
      </c>
      <c r="BL588" s="3" t="str">
        <f t="shared" si="65"/>
        <v>0</v>
      </c>
      <c r="BM588" t="str">
        <f ca="1">IF((OFFSET($A$1, 588 - 1, 63 - 1)) &gt;= (OFFSET($A$1, 135 - 1, 7 - 1)), "1","0")</f>
        <v>0</v>
      </c>
      <c r="BN588">
        <f ca="1" xml:space="preserve"> IF( AND( OFFSET($A$1, 588 - 1, 64 - 1) = "1", OFFSET($A$1, 588 - 1, 65 - 1) = "1" ), 1, IF( AND( OFFSET($A$1, 588 - 1, 64 - 1) = "1", OFFSET($A$1, 588 - 1, 65 - 1) = "0" ), 2, IF( AND( OFFSET($A$1, 588 - 1, 64 - 1) = "0", OFFSET($A$1, 588 - 1, 65 - 1) = "1" ), 3, 4 ) ) )</f>
        <v>4</v>
      </c>
    </row>
    <row r="589" spans="58:66" x14ac:dyDescent="0.2">
      <c r="BF589" s="3">
        <v>0.90579710144927539</v>
      </c>
      <c r="BG589" s="3" t="str">
        <f t="shared" si="66"/>
        <v>0</v>
      </c>
      <c r="BH589" t="str">
        <f ca="1">IF((OFFSET($A$1, 589 - 1, 58 - 1)) &gt;= (OFFSET($A$1, 96 - 1, 7 - 1)), "1","0")</f>
        <v>1</v>
      </c>
      <c r="BI589">
        <f ca="1" xml:space="preserve"> IF( AND( OFFSET($A$1, 589 - 1, 59 - 1) = "1", OFFSET($A$1, 589 - 1, 60 - 1) = "1" ), 1, IF( AND( OFFSET($A$1, 589 - 1, 59 - 1) = "1", OFFSET($A$1, 589 - 1, 60 - 1) = "0" ), 2, IF( AND( OFFSET($A$1, 589 - 1, 59 - 1) = "0", OFFSET($A$1, 589 - 1, 60 - 1) = "1" ), 3, 4 ) ) )</f>
        <v>3</v>
      </c>
      <c r="BK589" s="3">
        <v>6.6350710900473939E-2</v>
      </c>
      <c r="BL589" s="3" t="str">
        <f t="shared" si="65"/>
        <v>0</v>
      </c>
      <c r="BM589" t="str">
        <f ca="1">IF((OFFSET($A$1, 589 - 1, 63 - 1)) &gt;= (OFFSET($A$1, 135 - 1, 7 - 1)), "1","0")</f>
        <v>0</v>
      </c>
      <c r="BN589">
        <f ca="1" xml:space="preserve"> IF( AND( OFFSET($A$1, 589 - 1, 64 - 1) = "1", OFFSET($A$1, 589 - 1, 65 - 1) = "1" ), 1, IF( AND( OFFSET($A$1, 589 - 1, 64 - 1) = "1", OFFSET($A$1, 589 - 1, 65 - 1) = "0" ), 2, IF( AND( OFFSET($A$1, 589 - 1, 64 - 1) = "0", OFFSET($A$1, 589 - 1, 65 - 1) = "1" ), 3, 4 ) ) )</f>
        <v>4</v>
      </c>
    </row>
    <row r="590" spans="58:66" x14ac:dyDescent="0.2">
      <c r="BF590" s="3">
        <v>0.1081081081081081</v>
      </c>
      <c r="BG590" s="3" t="str">
        <f t="shared" si="66"/>
        <v>0</v>
      </c>
      <c r="BH590" t="str">
        <f ca="1">IF((OFFSET($A$1, 590 - 1, 58 - 1)) &gt;= (OFFSET($A$1, 96 - 1, 7 - 1)), "1","0")</f>
        <v>0</v>
      </c>
      <c r="BI590">
        <f ca="1" xml:space="preserve"> IF( AND( OFFSET($A$1, 590 - 1, 59 - 1) = "1", OFFSET($A$1, 590 - 1, 60 - 1) = "1" ), 1, IF( AND( OFFSET($A$1, 590 - 1, 59 - 1) = "1", OFFSET($A$1, 590 - 1, 60 - 1) = "0" ), 2, IF( AND( OFFSET($A$1, 590 - 1, 59 - 1) = "0", OFFSET($A$1, 590 - 1, 60 - 1) = "1" ), 3, 4 ) ) )</f>
        <v>4</v>
      </c>
      <c r="BK590" s="3">
        <v>6.6350710900473939E-2</v>
      </c>
      <c r="BL590" s="3" t="str">
        <f t="shared" si="65"/>
        <v>0</v>
      </c>
      <c r="BM590" t="str">
        <f ca="1">IF((OFFSET($A$1, 590 - 1, 63 - 1)) &gt;= (OFFSET($A$1, 135 - 1, 7 - 1)), "1","0")</f>
        <v>0</v>
      </c>
      <c r="BN590">
        <f ca="1" xml:space="preserve"> IF( AND( OFFSET($A$1, 590 - 1, 64 - 1) = "1", OFFSET($A$1, 590 - 1, 65 - 1) = "1" ), 1, IF( AND( OFFSET($A$1, 590 - 1, 64 - 1) = "1", OFFSET($A$1, 590 - 1, 65 - 1) = "0" ), 2, IF( AND( OFFSET($A$1, 590 - 1, 64 - 1) = "0", OFFSET($A$1, 590 - 1, 65 - 1) = "1" ), 3, 4 ) ) )</f>
        <v>4</v>
      </c>
    </row>
    <row r="591" spans="58:66" x14ac:dyDescent="0.2">
      <c r="BF591" s="3">
        <v>0</v>
      </c>
      <c r="BG591" s="3" t="str">
        <f t="shared" si="66"/>
        <v>0</v>
      </c>
      <c r="BH591" t="str">
        <f ca="1">IF((OFFSET($A$1, 591 - 1, 58 - 1)) &gt;= (OFFSET($A$1, 96 - 1, 7 - 1)), "1","0")</f>
        <v>0</v>
      </c>
      <c r="BI591">
        <f ca="1" xml:space="preserve"> IF( AND( OFFSET($A$1, 591 - 1, 59 - 1) = "1", OFFSET($A$1, 591 - 1, 60 - 1) = "1" ), 1, IF( AND( OFFSET($A$1, 591 - 1, 59 - 1) = "1", OFFSET($A$1, 591 - 1, 60 - 1) = "0" ), 2, IF( AND( OFFSET($A$1, 591 - 1, 59 - 1) = "0", OFFSET($A$1, 591 - 1, 60 - 1) = "1" ), 3, 4 ) ) )</f>
        <v>4</v>
      </c>
      <c r="BK591" s="3">
        <v>0.90579710144927539</v>
      </c>
      <c r="BL591" s="3" t="str">
        <f>"1"</f>
        <v>1</v>
      </c>
      <c r="BM591" t="str">
        <f ca="1">IF((OFFSET($A$1, 591 - 1, 63 - 1)) &gt;= (OFFSET($A$1, 135 - 1, 7 - 1)), "1","0")</f>
        <v>1</v>
      </c>
      <c r="BN591">
        <f ca="1" xml:space="preserve"> IF( AND( OFFSET($A$1, 591 - 1, 64 - 1) = "1", OFFSET($A$1, 591 - 1, 65 - 1) = "1" ), 1, IF( AND( OFFSET($A$1, 591 - 1, 64 - 1) = "1", OFFSET($A$1, 591 - 1, 65 - 1) = "0" ), 2, IF( AND( OFFSET($A$1, 591 - 1, 64 - 1) = "0", OFFSET($A$1, 591 - 1, 65 - 1) = "1" ), 3, 4 ) ) )</f>
        <v>1</v>
      </c>
    </row>
    <row r="592" spans="58:66" x14ac:dyDescent="0.2">
      <c r="BF592" s="3">
        <v>0</v>
      </c>
      <c r="BG592" s="3" t="str">
        <f t="shared" si="66"/>
        <v>0</v>
      </c>
      <c r="BH592" t="str">
        <f ca="1">IF((OFFSET($A$1, 592 - 1, 58 - 1)) &gt;= (OFFSET($A$1, 96 - 1, 7 - 1)), "1","0")</f>
        <v>0</v>
      </c>
      <c r="BI592">
        <f ca="1" xml:space="preserve"> IF( AND( OFFSET($A$1, 592 - 1, 59 - 1) = "1", OFFSET($A$1, 592 - 1, 60 - 1) = "1" ), 1, IF( AND( OFFSET($A$1, 592 - 1, 59 - 1) = "1", OFFSET($A$1, 592 - 1, 60 - 1) = "0" ), 2, IF( AND( OFFSET($A$1, 592 - 1, 59 - 1) = "0", OFFSET($A$1, 592 - 1, 60 - 1) = "1" ), 3, 4 ) ) )</f>
        <v>4</v>
      </c>
      <c r="BK592" s="3">
        <v>6.6350710900473939E-2</v>
      </c>
      <c r="BL592" s="3" t="str">
        <f>"0"</f>
        <v>0</v>
      </c>
      <c r="BM592" t="str">
        <f ca="1">IF((OFFSET($A$1, 592 - 1, 63 - 1)) &gt;= (OFFSET($A$1, 135 - 1, 7 - 1)), "1","0")</f>
        <v>0</v>
      </c>
      <c r="BN592">
        <f ca="1" xml:space="preserve"> IF( AND( OFFSET($A$1, 592 - 1, 64 - 1) = "1", OFFSET($A$1, 592 - 1, 65 - 1) = "1" ), 1, IF( AND( OFFSET($A$1, 592 - 1, 64 - 1) = "1", OFFSET($A$1, 592 - 1, 65 - 1) = "0" ), 2, IF( AND( OFFSET($A$1, 592 - 1, 64 - 1) = "0", OFFSET($A$1, 592 - 1, 65 - 1) = "1" ), 3, 4 ) ) )</f>
        <v>4</v>
      </c>
    </row>
    <row r="593" spans="58:66" x14ac:dyDescent="0.2">
      <c r="BF593" s="3">
        <v>0.08</v>
      </c>
      <c r="BG593" s="3" t="str">
        <f t="shared" si="66"/>
        <v>0</v>
      </c>
      <c r="BH593" t="str">
        <f ca="1">IF((OFFSET($A$1, 593 - 1, 58 - 1)) &gt;= (OFFSET($A$1, 96 - 1, 7 - 1)), "1","0")</f>
        <v>0</v>
      </c>
      <c r="BI593">
        <f ca="1" xml:space="preserve"> IF( AND( OFFSET($A$1, 593 - 1, 59 - 1) = "1", OFFSET($A$1, 593 - 1, 60 - 1) = "1" ), 1, IF( AND( OFFSET($A$1, 593 - 1, 59 - 1) = "1", OFFSET($A$1, 593 - 1, 60 - 1) = "0" ), 2, IF( AND( OFFSET($A$1, 593 - 1, 59 - 1) = "0", OFFSET($A$1, 593 - 1, 60 - 1) = "1" ), 3, 4 ) ) )</f>
        <v>4</v>
      </c>
      <c r="BK593" s="3">
        <v>6.6350710900473939E-2</v>
      </c>
      <c r="BL593" s="3" t="str">
        <f>"0"</f>
        <v>0</v>
      </c>
      <c r="BM593" t="str">
        <f ca="1">IF((OFFSET($A$1, 593 - 1, 63 - 1)) &gt;= (OFFSET($A$1, 135 - 1, 7 - 1)), "1","0")</f>
        <v>0</v>
      </c>
      <c r="BN593">
        <f ca="1" xml:space="preserve"> IF( AND( OFFSET($A$1, 593 - 1, 64 - 1) = "1", OFFSET($A$1, 593 - 1, 65 - 1) = "1" ), 1, IF( AND( OFFSET($A$1, 593 - 1, 64 - 1) = "1", OFFSET($A$1, 593 - 1, 65 - 1) = "0" ), 2, IF( AND( OFFSET($A$1, 593 - 1, 64 - 1) = "0", OFFSET($A$1, 593 - 1, 65 - 1) = "1" ), 3, 4 ) ) )</f>
        <v>4</v>
      </c>
    </row>
    <row r="594" spans="58:66" x14ac:dyDescent="0.2">
      <c r="BF594" s="3">
        <v>0</v>
      </c>
      <c r="BG594" s="3" t="str">
        <f t="shared" si="66"/>
        <v>0</v>
      </c>
      <c r="BH594" t="str">
        <f ca="1">IF((OFFSET($A$1, 594 - 1, 58 - 1)) &gt;= (OFFSET($A$1, 96 - 1, 7 - 1)), "1","0")</f>
        <v>0</v>
      </c>
      <c r="BI594">
        <f ca="1" xml:space="preserve"> IF( AND( OFFSET($A$1, 594 - 1, 59 - 1) = "1", OFFSET($A$1, 594 - 1, 60 - 1) = "1" ), 1, IF( AND( OFFSET($A$1, 594 - 1, 59 - 1) = "1", OFFSET($A$1, 594 - 1, 60 - 1) = "0" ), 2, IF( AND( OFFSET($A$1, 594 - 1, 59 - 1) = "0", OFFSET($A$1, 594 - 1, 60 - 1) = "1" ), 3, 4 ) ) )</f>
        <v>4</v>
      </c>
      <c r="BK594" s="3">
        <v>6.6350710900473939E-2</v>
      </c>
      <c r="BL594" s="3" t="str">
        <f>"0"</f>
        <v>0</v>
      </c>
      <c r="BM594" t="str">
        <f ca="1">IF((OFFSET($A$1, 594 - 1, 63 - 1)) &gt;= (OFFSET($A$1, 135 - 1, 7 - 1)), "1","0")</f>
        <v>0</v>
      </c>
      <c r="BN594">
        <f ca="1" xml:space="preserve"> IF( AND( OFFSET($A$1, 594 - 1, 64 - 1) = "1", OFFSET($A$1, 594 - 1, 65 - 1) = "1" ), 1, IF( AND( OFFSET($A$1, 594 - 1, 64 - 1) = "1", OFFSET($A$1, 594 - 1, 65 - 1) = "0" ), 2, IF( AND( OFFSET($A$1, 594 - 1, 64 - 1) = "0", OFFSET($A$1, 594 - 1, 65 - 1) = "1" ), 3, 4 ) ) )</f>
        <v>4</v>
      </c>
    </row>
    <row r="595" spans="58:66" x14ac:dyDescent="0.2">
      <c r="BF595" s="3">
        <v>0</v>
      </c>
      <c r="BG595" s="3" t="str">
        <f t="shared" si="66"/>
        <v>0</v>
      </c>
      <c r="BH595" t="str">
        <f ca="1">IF((OFFSET($A$1, 595 - 1, 58 - 1)) &gt;= (OFFSET($A$1, 96 - 1, 7 - 1)), "1","0")</f>
        <v>0</v>
      </c>
      <c r="BI595">
        <f ca="1" xml:space="preserve"> IF( AND( OFFSET($A$1, 595 - 1, 59 - 1) = "1", OFFSET($A$1, 595 - 1, 60 - 1) = "1" ), 1, IF( AND( OFFSET($A$1, 595 - 1, 59 - 1) = "1", OFFSET($A$1, 595 - 1, 60 - 1) = "0" ), 2, IF( AND( OFFSET($A$1, 595 - 1, 59 - 1) = "0", OFFSET($A$1, 595 - 1, 60 - 1) = "1" ), 3, 4 ) ) )</f>
        <v>4</v>
      </c>
      <c r="BK595" s="3">
        <v>0.90579710144927539</v>
      </c>
      <c r="BL595" s="3" t="str">
        <f>"1"</f>
        <v>1</v>
      </c>
      <c r="BM595" t="str">
        <f ca="1">IF((OFFSET($A$1, 595 - 1, 63 - 1)) &gt;= (OFFSET($A$1, 135 - 1, 7 - 1)), "1","0")</f>
        <v>1</v>
      </c>
      <c r="BN595">
        <f ca="1" xml:space="preserve"> IF( AND( OFFSET($A$1, 595 - 1, 64 - 1) = "1", OFFSET($A$1, 595 - 1, 65 - 1) = "1" ), 1, IF( AND( OFFSET($A$1, 595 - 1, 64 - 1) = "1", OFFSET($A$1, 595 - 1, 65 - 1) = "0" ), 2, IF( AND( OFFSET($A$1, 595 - 1, 64 - 1) = "0", OFFSET($A$1, 595 - 1, 65 - 1) = "1" ), 3, 4 ) ) )</f>
        <v>1</v>
      </c>
    </row>
    <row r="596" spans="58:66" x14ac:dyDescent="0.2">
      <c r="BF596" s="3">
        <v>0</v>
      </c>
      <c r="BG596" s="3" t="str">
        <f t="shared" si="66"/>
        <v>0</v>
      </c>
      <c r="BH596" t="str">
        <f ca="1">IF((OFFSET($A$1, 596 - 1, 58 - 1)) &gt;= (OFFSET($A$1, 96 - 1, 7 - 1)), "1","0")</f>
        <v>0</v>
      </c>
      <c r="BI596">
        <f ca="1" xml:space="preserve"> IF( AND( OFFSET($A$1, 596 - 1, 59 - 1) = "1", OFFSET($A$1, 596 - 1, 60 - 1) = "1" ), 1, IF( AND( OFFSET($A$1, 596 - 1, 59 - 1) = "1", OFFSET($A$1, 596 - 1, 60 - 1) = "0" ), 2, IF( AND( OFFSET($A$1, 596 - 1, 59 - 1) = "0", OFFSET($A$1, 596 - 1, 60 - 1) = "1" ), 3, 4 ) ) )</f>
        <v>4</v>
      </c>
      <c r="BK596" s="3">
        <v>6.6350710900473939E-2</v>
      </c>
      <c r="BL596" s="3" t="str">
        <f>"0"</f>
        <v>0</v>
      </c>
      <c r="BM596" t="str">
        <f ca="1">IF((OFFSET($A$1, 596 - 1, 63 - 1)) &gt;= (OFFSET($A$1, 135 - 1, 7 - 1)), "1","0")</f>
        <v>0</v>
      </c>
      <c r="BN596">
        <f ca="1" xml:space="preserve"> IF( AND( OFFSET($A$1, 596 - 1, 64 - 1) = "1", OFFSET($A$1, 596 - 1, 65 - 1) = "1" ), 1, IF( AND( OFFSET($A$1, 596 - 1, 64 - 1) = "1", OFFSET($A$1, 596 - 1, 65 - 1) = "0" ), 2, IF( AND( OFFSET($A$1, 596 - 1, 64 - 1) = "0", OFFSET($A$1, 596 - 1, 65 - 1) = "1" ), 3, 4 ) ) )</f>
        <v>4</v>
      </c>
    </row>
    <row r="597" spans="58:66" x14ac:dyDescent="0.2">
      <c r="BF597" s="3">
        <v>3.7037037037037042E-2</v>
      </c>
      <c r="BG597" s="3" t="str">
        <f t="shared" si="66"/>
        <v>0</v>
      </c>
      <c r="BH597" t="str">
        <f ca="1">IF((OFFSET($A$1, 597 - 1, 58 - 1)) &gt;= (OFFSET($A$1, 96 - 1, 7 - 1)), "1","0")</f>
        <v>0</v>
      </c>
      <c r="BI597">
        <f ca="1" xml:space="preserve"> IF( AND( OFFSET($A$1, 597 - 1, 59 - 1) = "1", OFFSET($A$1, 597 - 1, 60 - 1) = "1" ), 1, IF( AND( OFFSET($A$1, 597 - 1, 59 - 1) = "1", OFFSET($A$1, 597 - 1, 60 - 1) = "0" ), 2, IF( AND( OFFSET($A$1, 597 - 1, 59 - 1) = "0", OFFSET($A$1, 597 - 1, 60 - 1) = "1" ), 3, 4 ) ) )</f>
        <v>4</v>
      </c>
      <c r="BK597" s="3">
        <v>6.6350710900473939E-2</v>
      </c>
      <c r="BL597" s="3" t="str">
        <f>"0"</f>
        <v>0</v>
      </c>
      <c r="BM597" t="str">
        <f ca="1">IF((OFFSET($A$1, 597 - 1, 63 - 1)) &gt;= (OFFSET($A$1, 135 - 1, 7 - 1)), "1","0")</f>
        <v>0</v>
      </c>
      <c r="BN597">
        <f ca="1" xml:space="preserve"> IF( AND( OFFSET($A$1, 597 - 1, 64 - 1) = "1", OFFSET($A$1, 597 - 1, 65 - 1) = "1" ), 1, IF( AND( OFFSET($A$1, 597 - 1, 64 - 1) = "1", OFFSET($A$1, 597 - 1, 65 - 1) = "0" ), 2, IF( AND( OFFSET($A$1, 597 - 1, 64 - 1) = "0", OFFSET($A$1, 597 - 1, 65 - 1) = "1" ), 3, 4 ) ) )</f>
        <v>4</v>
      </c>
    </row>
    <row r="598" spans="58:66" x14ac:dyDescent="0.2">
      <c r="BF598" s="3">
        <v>0.38775510204081637</v>
      </c>
      <c r="BG598" s="3" t="str">
        <f t="shared" si="66"/>
        <v>0</v>
      </c>
      <c r="BH598" t="str">
        <f ca="1">IF((OFFSET($A$1, 598 - 1, 58 - 1)) &gt;= (OFFSET($A$1, 96 - 1, 7 - 1)), "1","0")</f>
        <v>0</v>
      </c>
      <c r="BI598">
        <f ca="1" xml:space="preserve"> IF( AND( OFFSET($A$1, 598 - 1, 59 - 1) = "1", OFFSET($A$1, 598 - 1, 60 - 1) = "1" ), 1, IF( AND( OFFSET($A$1, 598 - 1, 59 - 1) = "1", OFFSET($A$1, 598 - 1, 60 - 1) = "0" ), 2, IF( AND( OFFSET($A$1, 598 - 1, 59 - 1) = "0", OFFSET($A$1, 598 - 1, 60 - 1) = "1" ), 3, 4 ) ) )</f>
        <v>4</v>
      </c>
      <c r="BK598" s="3">
        <v>6.6350710900473939E-2</v>
      </c>
      <c r="BL598" s="3" t="str">
        <f>"1"</f>
        <v>1</v>
      </c>
      <c r="BM598" t="str">
        <f ca="1">IF((OFFSET($A$1, 598 - 1, 63 - 1)) &gt;= (OFFSET($A$1, 135 - 1, 7 - 1)), "1","0")</f>
        <v>0</v>
      </c>
      <c r="BN598">
        <f ca="1" xml:space="preserve"> IF( AND( OFFSET($A$1, 598 - 1, 64 - 1) = "1", OFFSET($A$1, 598 - 1, 65 - 1) = "1" ), 1, IF( AND( OFFSET($A$1, 598 - 1, 64 - 1) = "1", OFFSET($A$1, 598 - 1, 65 - 1) = "0" ), 2, IF( AND( OFFSET($A$1, 598 - 1, 64 - 1) = "0", OFFSET($A$1, 598 - 1, 65 - 1) = "1" ), 3, 4 ) ) )</f>
        <v>2</v>
      </c>
    </row>
    <row r="599" spans="58:66" x14ac:dyDescent="0.2">
      <c r="BF599" s="3">
        <v>0.08</v>
      </c>
      <c r="BG599" s="3" t="str">
        <f t="shared" si="66"/>
        <v>0</v>
      </c>
      <c r="BH599" t="str">
        <f ca="1">IF((OFFSET($A$1, 599 - 1, 58 - 1)) &gt;= (OFFSET($A$1, 96 - 1, 7 - 1)), "1","0")</f>
        <v>0</v>
      </c>
      <c r="BI599">
        <f ca="1" xml:space="preserve"> IF( AND( OFFSET($A$1, 599 - 1, 59 - 1) = "1", OFFSET($A$1, 599 - 1, 60 - 1) = "1" ), 1, IF( AND( OFFSET($A$1, 599 - 1, 59 - 1) = "1", OFFSET($A$1, 599 - 1, 60 - 1) = "0" ), 2, IF( AND( OFFSET($A$1, 599 - 1, 59 - 1) = "0", OFFSET($A$1, 599 - 1, 60 - 1) = "1" ), 3, 4 ) ) )</f>
        <v>4</v>
      </c>
      <c r="BK599" s="3">
        <v>6.6350710900473939E-2</v>
      </c>
      <c r="BL599" s="3" t="str">
        <f>"0"</f>
        <v>0</v>
      </c>
      <c r="BM599" t="str">
        <f ca="1">IF((OFFSET($A$1, 599 - 1, 63 - 1)) &gt;= (OFFSET($A$1, 135 - 1, 7 - 1)), "1","0")</f>
        <v>0</v>
      </c>
      <c r="BN599">
        <f ca="1" xml:space="preserve"> IF( AND( OFFSET($A$1, 599 - 1, 64 - 1) = "1", OFFSET($A$1, 599 - 1, 65 - 1) = "1" ), 1, IF( AND( OFFSET($A$1, 599 - 1, 64 - 1) = "1", OFFSET($A$1, 599 - 1, 65 - 1) = "0" ), 2, IF( AND( OFFSET($A$1, 599 - 1, 64 - 1) = "0", OFFSET($A$1, 599 - 1, 65 - 1) = "1" ), 3, 4 ) ) )</f>
        <v>4</v>
      </c>
    </row>
    <row r="600" spans="58:66" x14ac:dyDescent="0.2">
      <c r="BF600" s="3">
        <v>0</v>
      </c>
      <c r="BG600" s="3" t="str">
        <f t="shared" si="66"/>
        <v>0</v>
      </c>
      <c r="BH600" t="str">
        <f ca="1">IF((OFFSET($A$1, 600 - 1, 58 - 1)) &gt;= (OFFSET($A$1, 96 - 1, 7 - 1)), "1","0")</f>
        <v>0</v>
      </c>
      <c r="BI600">
        <f ca="1" xml:space="preserve"> IF( AND( OFFSET($A$1, 600 - 1, 59 - 1) = "1", OFFSET($A$1, 600 - 1, 60 - 1) = "1" ), 1, IF( AND( OFFSET($A$1, 600 - 1, 59 - 1) = "1", OFFSET($A$1, 600 - 1, 60 - 1) = "0" ), 2, IF( AND( OFFSET($A$1, 600 - 1, 59 - 1) = "0", OFFSET($A$1, 600 - 1, 60 - 1) = "1" ), 3, 4 ) ) )</f>
        <v>4</v>
      </c>
      <c r="BK600" s="3">
        <v>2.5316455696202531E-2</v>
      </c>
      <c r="BL600" s="3" t="str">
        <f>"0"</f>
        <v>0</v>
      </c>
      <c r="BM600" t="str">
        <f ca="1">IF((OFFSET($A$1, 600 - 1, 63 - 1)) &gt;= (OFFSET($A$1, 135 - 1, 7 - 1)), "1","0")</f>
        <v>0</v>
      </c>
      <c r="BN600">
        <f ca="1" xml:space="preserve"> IF( AND( OFFSET($A$1, 600 - 1, 64 - 1) = "1", OFFSET($A$1, 600 - 1, 65 - 1) = "1" ), 1, IF( AND( OFFSET($A$1, 600 - 1, 64 - 1) = "1", OFFSET($A$1, 600 - 1, 65 - 1) = "0" ), 2, IF( AND( OFFSET($A$1, 600 - 1, 64 - 1) = "0", OFFSET($A$1, 600 - 1, 65 - 1) = "1" ), 3, 4 ) ) )</f>
        <v>4</v>
      </c>
    </row>
    <row r="601" spans="58:66" x14ac:dyDescent="0.2">
      <c r="BF601" s="3">
        <v>0</v>
      </c>
      <c r="BG601" s="3" t="str">
        <f t="shared" si="66"/>
        <v>0</v>
      </c>
      <c r="BH601" t="str">
        <f ca="1">IF((OFFSET($A$1, 601 - 1, 58 - 1)) &gt;= (OFFSET($A$1, 96 - 1, 7 - 1)), "1","0")</f>
        <v>0</v>
      </c>
      <c r="BI601">
        <f ca="1" xml:space="preserve"> IF( AND( OFFSET($A$1, 601 - 1, 59 - 1) = "1", OFFSET($A$1, 601 - 1, 60 - 1) = "1" ), 1, IF( AND( OFFSET($A$1, 601 - 1, 59 - 1) = "1", OFFSET($A$1, 601 - 1, 60 - 1) = "0" ), 2, IF( AND( OFFSET($A$1, 601 - 1, 59 - 1) = "0", OFFSET($A$1, 601 - 1, 60 - 1) = "1" ), 3, 4 ) ) )</f>
        <v>4</v>
      </c>
      <c r="BK601" s="3">
        <v>6.6350710900473939E-2</v>
      </c>
      <c r="BL601" s="3" t="str">
        <f>"0"</f>
        <v>0</v>
      </c>
      <c r="BM601" t="str">
        <f ca="1">IF((OFFSET($A$1, 601 - 1, 63 - 1)) &gt;= (OFFSET($A$1, 135 - 1, 7 - 1)), "1","0")</f>
        <v>0</v>
      </c>
      <c r="BN601">
        <f ca="1" xml:space="preserve"> IF( AND( OFFSET($A$1, 601 - 1, 64 - 1) = "1", OFFSET($A$1, 601 - 1, 65 - 1) = "1" ), 1, IF( AND( OFFSET($A$1, 601 - 1, 64 - 1) = "1", OFFSET($A$1, 601 - 1, 65 - 1) = "0" ), 2, IF( AND( OFFSET($A$1, 601 - 1, 64 - 1) = "0", OFFSET($A$1, 601 - 1, 65 - 1) = "1" ), 3, 4 ) ) )</f>
        <v>4</v>
      </c>
    </row>
    <row r="602" spans="58:66" x14ac:dyDescent="0.2">
      <c r="BF602" s="3">
        <v>3.7037037037037042E-2</v>
      </c>
      <c r="BG602" s="3" t="str">
        <f t="shared" si="66"/>
        <v>0</v>
      </c>
      <c r="BH602" t="str">
        <f ca="1">IF((OFFSET($A$1, 602 - 1, 58 - 1)) &gt;= (OFFSET($A$1, 96 - 1, 7 - 1)), "1","0")</f>
        <v>0</v>
      </c>
      <c r="BI602">
        <f ca="1" xml:space="preserve"> IF( AND( OFFSET($A$1, 602 - 1, 59 - 1) = "1", OFFSET($A$1, 602 - 1, 60 - 1) = "1" ), 1, IF( AND( OFFSET($A$1, 602 - 1, 59 - 1) = "1", OFFSET($A$1, 602 - 1, 60 - 1) = "0" ), 2, IF( AND( OFFSET($A$1, 602 - 1, 59 - 1) = "0", OFFSET($A$1, 602 - 1, 60 - 1) = "1" ), 3, 4 ) ) )</f>
        <v>4</v>
      </c>
      <c r="BK602" s="3">
        <v>0.90579710144927539</v>
      </c>
      <c r="BL602" s="3" t="str">
        <f>"1"</f>
        <v>1</v>
      </c>
      <c r="BM602" t="str">
        <f ca="1">IF((OFFSET($A$1, 602 - 1, 63 - 1)) &gt;= (OFFSET($A$1, 135 - 1, 7 - 1)), "1","0")</f>
        <v>1</v>
      </c>
      <c r="BN602">
        <f ca="1" xml:space="preserve"> IF( AND( OFFSET($A$1, 602 - 1, 64 - 1) = "1", OFFSET($A$1, 602 - 1, 65 - 1) = "1" ), 1, IF( AND( OFFSET($A$1, 602 - 1, 64 - 1) = "1", OFFSET($A$1, 602 - 1, 65 - 1) = "0" ), 2, IF( AND( OFFSET($A$1, 602 - 1, 64 - 1) = "0", OFFSET($A$1, 602 - 1, 65 - 1) = "1" ), 3, 4 ) ) )</f>
        <v>1</v>
      </c>
    </row>
    <row r="603" spans="58:66" x14ac:dyDescent="0.2">
      <c r="BF603" s="3">
        <v>0</v>
      </c>
      <c r="BG603" s="3" t="str">
        <f t="shared" si="66"/>
        <v>0</v>
      </c>
      <c r="BH603" t="str">
        <f ca="1">IF((OFFSET($A$1, 603 - 1, 58 - 1)) &gt;= (OFFSET($A$1, 96 - 1, 7 - 1)), "1","0")</f>
        <v>0</v>
      </c>
      <c r="BI603">
        <f ca="1" xml:space="preserve"> IF( AND( OFFSET($A$1, 603 - 1, 59 - 1) = "1", OFFSET($A$1, 603 - 1, 60 - 1) = "1" ), 1, IF( AND( OFFSET($A$1, 603 - 1, 59 - 1) = "1", OFFSET($A$1, 603 - 1, 60 - 1) = "0" ), 2, IF( AND( OFFSET($A$1, 603 - 1, 59 - 1) = "0", OFFSET($A$1, 603 - 1, 60 - 1) = "1" ), 3, 4 ) ) )</f>
        <v>4</v>
      </c>
      <c r="BK603" s="3">
        <v>0.38775510204081637</v>
      </c>
      <c r="BL603" s="3" t="str">
        <f>"0"</f>
        <v>0</v>
      </c>
      <c r="BM603" t="str">
        <f ca="1">IF((OFFSET($A$1, 603 - 1, 63 - 1)) &gt;= (OFFSET($A$1, 135 - 1, 7 - 1)), "1","0")</f>
        <v>0</v>
      </c>
      <c r="BN603">
        <f ca="1" xml:space="preserve"> IF( AND( OFFSET($A$1, 603 - 1, 64 - 1) = "1", OFFSET($A$1, 603 - 1, 65 - 1) = "1" ), 1, IF( AND( OFFSET($A$1, 603 - 1, 64 - 1) = "1", OFFSET($A$1, 603 - 1, 65 - 1) = "0" ), 2, IF( AND( OFFSET($A$1, 603 - 1, 64 - 1) = "0", OFFSET($A$1, 603 - 1, 65 - 1) = "1" ), 3, 4 ) ) )</f>
        <v>4</v>
      </c>
    </row>
    <row r="604" spans="58:66" x14ac:dyDescent="0.2">
      <c r="BF604" s="3">
        <v>0</v>
      </c>
      <c r="BG604" s="3" t="str">
        <f t="shared" si="66"/>
        <v>0</v>
      </c>
      <c r="BH604" t="str">
        <f ca="1">IF((OFFSET($A$1, 604 - 1, 58 - 1)) &gt;= (OFFSET($A$1, 96 - 1, 7 - 1)), "1","0")</f>
        <v>0</v>
      </c>
      <c r="BI604">
        <f ca="1" xml:space="preserve"> IF( AND( OFFSET($A$1, 604 - 1, 59 - 1) = "1", OFFSET($A$1, 604 - 1, 60 - 1) = "1" ), 1, IF( AND( OFFSET($A$1, 604 - 1, 59 - 1) = "1", OFFSET($A$1, 604 - 1, 60 - 1) = "0" ), 2, IF( AND( OFFSET($A$1, 604 - 1, 59 - 1) = "0", OFFSET($A$1, 604 - 1, 60 - 1) = "1" ), 3, 4 ) ) )</f>
        <v>4</v>
      </c>
      <c r="BK604" s="3">
        <v>6.6350710900473939E-2</v>
      </c>
      <c r="BL604" s="3" t="str">
        <f>"0"</f>
        <v>0</v>
      </c>
      <c r="BM604" t="str">
        <f ca="1">IF((OFFSET($A$1, 604 - 1, 63 - 1)) &gt;= (OFFSET($A$1, 135 - 1, 7 - 1)), "1","0")</f>
        <v>0</v>
      </c>
      <c r="BN604">
        <f ca="1" xml:space="preserve"> IF( AND( OFFSET($A$1, 604 - 1, 64 - 1) = "1", OFFSET($A$1, 604 - 1, 65 - 1) = "1" ), 1, IF( AND( OFFSET($A$1, 604 - 1, 64 - 1) = "1", OFFSET($A$1, 604 - 1, 65 - 1) = "0" ), 2, IF( AND( OFFSET($A$1, 604 - 1, 64 - 1) = "0", OFFSET($A$1, 604 - 1, 65 - 1) = "1" ), 3, 4 ) ) )</f>
        <v>4</v>
      </c>
    </row>
    <row r="605" spans="58:66" x14ac:dyDescent="0.2">
      <c r="BF605" s="3">
        <v>0</v>
      </c>
      <c r="BG605" s="3" t="str">
        <f t="shared" si="66"/>
        <v>0</v>
      </c>
      <c r="BH605" t="str">
        <f ca="1">IF((OFFSET($A$1, 605 - 1, 58 - 1)) &gt;= (OFFSET($A$1, 96 - 1, 7 - 1)), "1","0")</f>
        <v>0</v>
      </c>
      <c r="BI605">
        <f ca="1" xml:space="preserve"> IF( AND( OFFSET($A$1, 605 - 1, 59 - 1) = "1", OFFSET($A$1, 605 - 1, 60 - 1) = "1" ), 1, IF( AND( OFFSET($A$1, 605 - 1, 59 - 1) = "1", OFFSET($A$1, 605 - 1, 60 - 1) = "0" ), 2, IF( AND( OFFSET($A$1, 605 - 1, 59 - 1) = "0", OFFSET($A$1, 605 - 1, 60 - 1) = "1" ), 3, 4 ) ) )</f>
        <v>4</v>
      </c>
      <c r="BK605" s="3">
        <v>6.6350710900473939E-2</v>
      </c>
      <c r="BL605" s="3" t="str">
        <f>"0"</f>
        <v>0</v>
      </c>
      <c r="BM605" t="str">
        <f ca="1">IF((OFFSET($A$1, 605 - 1, 63 - 1)) &gt;= (OFFSET($A$1, 135 - 1, 7 - 1)), "1","0")</f>
        <v>0</v>
      </c>
      <c r="BN605">
        <f ca="1" xml:space="preserve"> IF( AND( OFFSET($A$1, 605 - 1, 64 - 1) = "1", OFFSET($A$1, 605 - 1, 65 - 1) = "1" ), 1, IF( AND( OFFSET($A$1, 605 - 1, 64 - 1) = "1", OFFSET($A$1, 605 - 1, 65 - 1) = "0" ), 2, IF( AND( OFFSET($A$1, 605 - 1, 64 - 1) = "0", OFFSET($A$1, 605 - 1, 65 - 1) = "1" ), 3, 4 ) ) )</f>
        <v>4</v>
      </c>
    </row>
    <row r="606" spans="58:66" x14ac:dyDescent="0.2">
      <c r="BF606" s="3">
        <v>0.90579710144927539</v>
      </c>
      <c r="BG606" s="3" t="str">
        <f>"1"</f>
        <v>1</v>
      </c>
      <c r="BH606" t="str">
        <f ca="1">IF((OFFSET($A$1, 606 - 1, 58 - 1)) &gt;= (OFFSET($A$1, 96 - 1, 7 - 1)), "1","0")</f>
        <v>1</v>
      </c>
      <c r="BI606">
        <f ca="1" xml:space="preserve"> IF( AND( OFFSET($A$1, 606 - 1, 59 - 1) = "1", OFFSET($A$1, 606 - 1, 60 - 1) = "1" ), 1, IF( AND( OFFSET($A$1, 606 - 1, 59 - 1) = "1", OFFSET($A$1, 606 - 1, 60 - 1) = "0" ), 2, IF( AND( OFFSET($A$1, 606 - 1, 59 - 1) = "0", OFFSET($A$1, 606 - 1, 60 - 1) = "1" ), 3, 4 ) ) )</f>
        <v>1</v>
      </c>
      <c r="BK606" s="3">
        <v>0.38775510204081637</v>
      </c>
      <c r="BL606" s="3" t="str">
        <f>"0"</f>
        <v>0</v>
      </c>
      <c r="BM606" t="str">
        <f ca="1">IF((OFFSET($A$1, 606 - 1, 63 - 1)) &gt;= (OFFSET($A$1, 135 - 1, 7 - 1)), "1","0")</f>
        <v>0</v>
      </c>
      <c r="BN606">
        <f ca="1" xml:space="preserve"> IF( AND( OFFSET($A$1, 606 - 1, 64 - 1) = "1", OFFSET($A$1, 606 - 1, 65 - 1) = "1" ), 1, IF( AND( OFFSET($A$1, 606 - 1, 64 - 1) = "1", OFFSET($A$1, 606 - 1, 65 - 1) = "0" ), 2, IF( AND( OFFSET($A$1, 606 - 1, 64 - 1) = "0", OFFSET($A$1, 606 - 1, 65 - 1) = "1" ), 3, 4 ) ) )</f>
        <v>4</v>
      </c>
    </row>
    <row r="607" spans="58:66" x14ac:dyDescent="0.2">
      <c r="BF607" s="3">
        <v>0</v>
      </c>
      <c r="BG607" s="3" t="str">
        <f t="shared" ref="BG607:BG617" si="67">"0"</f>
        <v>0</v>
      </c>
      <c r="BH607" t="str">
        <f ca="1">IF((OFFSET($A$1, 607 - 1, 58 - 1)) &gt;= (OFFSET($A$1, 96 - 1, 7 - 1)), "1","0")</f>
        <v>0</v>
      </c>
      <c r="BI607">
        <f ca="1" xml:space="preserve"> IF( AND( OFFSET($A$1, 607 - 1, 59 - 1) = "1", OFFSET($A$1, 607 - 1, 60 - 1) = "1" ), 1, IF( AND( OFFSET($A$1, 607 - 1, 59 - 1) = "1", OFFSET($A$1, 607 - 1, 60 - 1) = "0" ), 2, IF( AND( OFFSET($A$1, 607 - 1, 59 - 1) = "0", OFFSET($A$1, 607 - 1, 60 - 1) = "1" ), 3, 4 ) ) )</f>
        <v>4</v>
      </c>
      <c r="BK607" s="3">
        <v>2.5316455696202531E-2</v>
      </c>
      <c r="BL607" s="3" t="str">
        <f>"0"</f>
        <v>0</v>
      </c>
      <c r="BM607" t="str">
        <f ca="1">IF((OFFSET($A$1, 607 - 1, 63 - 1)) &gt;= (OFFSET($A$1, 135 - 1, 7 - 1)), "1","0")</f>
        <v>0</v>
      </c>
      <c r="BN607">
        <f ca="1" xml:space="preserve"> IF( AND( OFFSET($A$1, 607 - 1, 64 - 1) = "1", OFFSET($A$1, 607 - 1, 65 - 1) = "1" ), 1, IF( AND( OFFSET($A$1, 607 - 1, 64 - 1) = "1", OFFSET($A$1, 607 - 1, 65 - 1) = "0" ), 2, IF( AND( OFFSET($A$1, 607 - 1, 64 - 1) = "0", OFFSET($A$1, 607 - 1, 65 - 1) = "1" ), 3, 4 ) ) )</f>
        <v>4</v>
      </c>
    </row>
    <row r="608" spans="58:66" x14ac:dyDescent="0.2">
      <c r="BF608" s="3">
        <v>0</v>
      </c>
      <c r="BG608" s="3" t="str">
        <f t="shared" si="67"/>
        <v>0</v>
      </c>
      <c r="BH608" t="str">
        <f ca="1">IF((OFFSET($A$1, 608 - 1, 58 - 1)) &gt;= (OFFSET($A$1, 96 - 1, 7 - 1)), "1","0")</f>
        <v>0</v>
      </c>
      <c r="BI608">
        <f ca="1" xml:space="preserve"> IF( AND( OFFSET($A$1, 608 - 1, 59 - 1) = "1", OFFSET($A$1, 608 - 1, 60 - 1) = "1" ), 1, IF( AND( OFFSET($A$1, 608 - 1, 59 - 1) = "1", OFFSET($A$1, 608 - 1, 60 - 1) = "0" ), 2, IF( AND( OFFSET($A$1, 608 - 1, 59 - 1) = "0", OFFSET($A$1, 608 - 1, 60 - 1) = "1" ), 3, 4 ) ) )</f>
        <v>4</v>
      </c>
      <c r="BK608" s="3">
        <v>6.6350710900473939E-2</v>
      </c>
      <c r="BL608" s="3" t="str">
        <f>"1"</f>
        <v>1</v>
      </c>
      <c r="BM608" t="str">
        <f ca="1">IF((OFFSET($A$1, 608 - 1, 63 - 1)) &gt;= (OFFSET($A$1, 135 - 1, 7 - 1)), "1","0")</f>
        <v>0</v>
      </c>
      <c r="BN608">
        <f ca="1" xml:space="preserve"> IF( AND( OFFSET($A$1, 608 - 1, 64 - 1) = "1", OFFSET($A$1, 608 - 1, 65 - 1) = "1" ), 1, IF( AND( OFFSET($A$1, 608 - 1, 64 - 1) = "1", OFFSET($A$1, 608 - 1, 65 - 1) = "0" ), 2, IF( AND( OFFSET($A$1, 608 - 1, 64 - 1) = "0", OFFSET($A$1, 608 - 1, 65 - 1) = "1" ), 3, 4 ) ) )</f>
        <v>2</v>
      </c>
    </row>
    <row r="609" spans="58:66" x14ac:dyDescent="0.2">
      <c r="BF609" s="3">
        <v>0.1081081081081081</v>
      </c>
      <c r="BG609" s="3" t="str">
        <f t="shared" si="67"/>
        <v>0</v>
      </c>
      <c r="BH609" t="str">
        <f ca="1">IF((OFFSET($A$1, 609 - 1, 58 - 1)) &gt;= (OFFSET($A$1, 96 - 1, 7 - 1)), "1","0")</f>
        <v>0</v>
      </c>
      <c r="BI609">
        <f ca="1" xml:space="preserve"> IF( AND( OFFSET($A$1, 609 - 1, 59 - 1) = "1", OFFSET($A$1, 609 - 1, 60 - 1) = "1" ), 1, IF( AND( OFFSET($A$1, 609 - 1, 59 - 1) = "1", OFFSET($A$1, 609 - 1, 60 - 1) = "0" ), 2, IF( AND( OFFSET($A$1, 609 - 1, 59 - 1) = "0", OFFSET($A$1, 609 - 1, 60 - 1) = "1" ), 3, 4 ) ) )</f>
        <v>4</v>
      </c>
      <c r="BK609" s="3">
        <v>6.6350710900473939E-2</v>
      </c>
      <c r="BL609" s="3" t="str">
        <f t="shared" ref="BL609:BL627" si="68">"0"</f>
        <v>0</v>
      </c>
      <c r="BM609" t="str">
        <f ca="1">IF((OFFSET($A$1, 609 - 1, 63 - 1)) &gt;= (OFFSET($A$1, 135 - 1, 7 - 1)), "1","0")</f>
        <v>0</v>
      </c>
      <c r="BN609">
        <f ca="1" xml:space="preserve"> IF( AND( OFFSET($A$1, 609 - 1, 64 - 1) = "1", OFFSET($A$1, 609 - 1, 65 - 1) = "1" ), 1, IF( AND( OFFSET($A$1, 609 - 1, 64 - 1) = "1", OFFSET($A$1, 609 - 1, 65 - 1) = "0" ), 2, IF( AND( OFFSET($A$1, 609 - 1, 64 - 1) = "0", OFFSET($A$1, 609 - 1, 65 - 1) = "1" ), 3, 4 ) ) )</f>
        <v>4</v>
      </c>
    </row>
    <row r="610" spans="58:66" x14ac:dyDescent="0.2">
      <c r="BF610" s="3">
        <v>0.08</v>
      </c>
      <c r="BG610" s="3" t="str">
        <f t="shared" si="67"/>
        <v>0</v>
      </c>
      <c r="BH610" t="str">
        <f ca="1">IF((OFFSET($A$1, 610 - 1, 58 - 1)) &gt;= (OFFSET($A$1, 96 - 1, 7 - 1)), "1","0")</f>
        <v>0</v>
      </c>
      <c r="BI610">
        <f ca="1" xml:space="preserve"> IF( AND( OFFSET($A$1, 610 - 1, 59 - 1) = "1", OFFSET($A$1, 610 - 1, 60 - 1) = "1" ), 1, IF( AND( OFFSET($A$1, 610 - 1, 59 - 1) = "1", OFFSET($A$1, 610 - 1, 60 - 1) = "0" ), 2, IF( AND( OFFSET($A$1, 610 - 1, 59 - 1) = "0", OFFSET($A$1, 610 - 1, 60 - 1) = "1" ), 3, 4 ) ) )</f>
        <v>4</v>
      </c>
      <c r="BK610" s="3">
        <v>6.6350710900473939E-2</v>
      </c>
      <c r="BL610" s="3" t="str">
        <f t="shared" si="68"/>
        <v>0</v>
      </c>
      <c r="BM610" t="str">
        <f ca="1">IF((OFFSET($A$1, 610 - 1, 63 - 1)) &gt;= (OFFSET($A$1, 135 - 1, 7 - 1)), "1","0")</f>
        <v>0</v>
      </c>
      <c r="BN610">
        <f ca="1" xml:space="preserve"> IF( AND( OFFSET($A$1, 610 - 1, 64 - 1) = "1", OFFSET($A$1, 610 - 1, 65 - 1) = "1" ), 1, IF( AND( OFFSET($A$1, 610 - 1, 64 - 1) = "1", OFFSET($A$1, 610 - 1, 65 - 1) = "0" ), 2, IF( AND( OFFSET($A$1, 610 - 1, 64 - 1) = "0", OFFSET($A$1, 610 - 1, 65 - 1) = "1" ), 3, 4 ) ) )</f>
        <v>4</v>
      </c>
    </row>
    <row r="611" spans="58:66" x14ac:dyDescent="0.2">
      <c r="BF611" s="3">
        <v>0</v>
      </c>
      <c r="BG611" s="3" t="str">
        <f t="shared" si="67"/>
        <v>0</v>
      </c>
      <c r="BH611" t="str">
        <f ca="1">IF((OFFSET($A$1, 611 - 1, 58 - 1)) &gt;= (OFFSET($A$1, 96 - 1, 7 - 1)), "1","0")</f>
        <v>0</v>
      </c>
      <c r="BI611">
        <f ca="1" xml:space="preserve"> IF( AND( OFFSET($A$1, 611 - 1, 59 - 1) = "1", OFFSET($A$1, 611 - 1, 60 - 1) = "1" ), 1, IF( AND( OFFSET($A$1, 611 - 1, 59 - 1) = "1", OFFSET($A$1, 611 - 1, 60 - 1) = "0" ), 2, IF( AND( OFFSET($A$1, 611 - 1, 59 - 1) = "0", OFFSET($A$1, 611 - 1, 60 - 1) = "1" ), 3, 4 ) ) )</f>
        <v>4</v>
      </c>
      <c r="BK611" s="3">
        <v>6.6350710900473939E-2</v>
      </c>
      <c r="BL611" s="3" t="str">
        <f t="shared" si="68"/>
        <v>0</v>
      </c>
      <c r="BM611" t="str">
        <f ca="1">IF((OFFSET($A$1, 611 - 1, 63 - 1)) &gt;= (OFFSET($A$1, 135 - 1, 7 - 1)), "1","0")</f>
        <v>0</v>
      </c>
      <c r="BN611">
        <f ca="1" xml:space="preserve"> IF( AND( OFFSET($A$1, 611 - 1, 64 - 1) = "1", OFFSET($A$1, 611 - 1, 65 - 1) = "1" ), 1, IF( AND( OFFSET($A$1, 611 - 1, 64 - 1) = "1", OFFSET($A$1, 611 - 1, 65 - 1) = "0" ), 2, IF( AND( OFFSET($A$1, 611 - 1, 64 - 1) = "0", OFFSET($A$1, 611 - 1, 65 - 1) = "1" ), 3, 4 ) ) )</f>
        <v>4</v>
      </c>
    </row>
    <row r="612" spans="58:66" x14ac:dyDescent="0.2">
      <c r="BF612" s="3">
        <v>0</v>
      </c>
      <c r="BG612" s="3" t="str">
        <f t="shared" si="67"/>
        <v>0</v>
      </c>
      <c r="BH612" t="str">
        <f ca="1">IF((OFFSET($A$1, 612 - 1, 58 - 1)) &gt;= (OFFSET($A$1, 96 - 1, 7 - 1)), "1","0")</f>
        <v>0</v>
      </c>
      <c r="BI612">
        <f ca="1" xml:space="preserve"> IF( AND( OFFSET($A$1, 612 - 1, 59 - 1) = "1", OFFSET($A$1, 612 - 1, 60 - 1) = "1" ), 1, IF( AND( OFFSET($A$1, 612 - 1, 59 - 1) = "1", OFFSET($A$1, 612 - 1, 60 - 1) = "0" ), 2, IF( AND( OFFSET($A$1, 612 - 1, 59 - 1) = "0", OFFSET($A$1, 612 - 1, 60 - 1) = "1" ), 3, 4 ) ) )</f>
        <v>4</v>
      </c>
      <c r="BK612" s="3">
        <v>6.6350710900473939E-2</v>
      </c>
      <c r="BL612" s="3" t="str">
        <f t="shared" si="68"/>
        <v>0</v>
      </c>
      <c r="BM612" t="str">
        <f ca="1">IF((OFFSET($A$1, 612 - 1, 63 - 1)) &gt;= (OFFSET($A$1, 135 - 1, 7 - 1)), "1","0")</f>
        <v>0</v>
      </c>
      <c r="BN612">
        <f ca="1" xml:space="preserve"> IF( AND( OFFSET($A$1, 612 - 1, 64 - 1) = "1", OFFSET($A$1, 612 - 1, 65 - 1) = "1" ), 1, IF( AND( OFFSET($A$1, 612 - 1, 64 - 1) = "1", OFFSET($A$1, 612 - 1, 65 - 1) = "0" ), 2, IF( AND( OFFSET($A$1, 612 - 1, 64 - 1) = "0", OFFSET($A$1, 612 - 1, 65 - 1) = "1" ), 3, 4 ) ) )</f>
        <v>4</v>
      </c>
    </row>
    <row r="613" spans="58:66" x14ac:dyDescent="0.2">
      <c r="BF613" s="3">
        <v>0.47692307692307689</v>
      </c>
      <c r="BG613" s="3" t="str">
        <f t="shared" si="67"/>
        <v>0</v>
      </c>
      <c r="BH613" t="str">
        <f ca="1">IF((OFFSET($A$1, 613 - 1, 58 - 1)) &gt;= (OFFSET($A$1, 96 - 1, 7 - 1)), "1","0")</f>
        <v>0</v>
      </c>
      <c r="BI613">
        <f ca="1" xml:space="preserve"> IF( AND( OFFSET($A$1, 613 - 1, 59 - 1) = "1", OFFSET($A$1, 613 - 1, 60 - 1) = "1" ), 1, IF( AND( OFFSET($A$1, 613 - 1, 59 - 1) = "1", OFFSET($A$1, 613 - 1, 60 - 1) = "0" ), 2, IF( AND( OFFSET($A$1, 613 - 1, 59 - 1) = "0", OFFSET($A$1, 613 - 1, 60 - 1) = "1" ), 3, 4 ) ) )</f>
        <v>4</v>
      </c>
      <c r="BK613" s="3">
        <v>6.6350710900473939E-2</v>
      </c>
      <c r="BL613" s="3" t="str">
        <f t="shared" si="68"/>
        <v>0</v>
      </c>
      <c r="BM613" t="str">
        <f ca="1">IF((OFFSET($A$1, 613 - 1, 63 - 1)) &gt;= (OFFSET($A$1, 135 - 1, 7 - 1)), "1","0")</f>
        <v>0</v>
      </c>
      <c r="BN613">
        <f ca="1" xml:space="preserve"> IF( AND( OFFSET($A$1, 613 - 1, 64 - 1) = "1", OFFSET($A$1, 613 - 1, 65 - 1) = "1" ), 1, IF( AND( OFFSET($A$1, 613 - 1, 64 - 1) = "1", OFFSET($A$1, 613 - 1, 65 - 1) = "0" ), 2, IF( AND( OFFSET($A$1, 613 - 1, 64 - 1) = "0", OFFSET($A$1, 613 - 1, 65 - 1) = "1" ), 3, 4 ) ) )</f>
        <v>4</v>
      </c>
    </row>
    <row r="614" spans="58:66" x14ac:dyDescent="0.2">
      <c r="BF614" s="3">
        <v>0</v>
      </c>
      <c r="BG614" s="3" t="str">
        <f t="shared" si="67"/>
        <v>0</v>
      </c>
      <c r="BH614" t="str">
        <f ca="1">IF((OFFSET($A$1, 614 - 1, 58 - 1)) &gt;= (OFFSET($A$1, 96 - 1, 7 - 1)), "1","0")</f>
        <v>0</v>
      </c>
      <c r="BI614">
        <f ca="1" xml:space="preserve"> IF( AND( OFFSET($A$1, 614 - 1, 59 - 1) = "1", OFFSET($A$1, 614 - 1, 60 - 1) = "1" ), 1, IF( AND( OFFSET($A$1, 614 - 1, 59 - 1) = "1", OFFSET($A$1, 614 - 1, 60 - 1) = "0" ), 2, IF( AND( OFFSET($A$1, 614 - 1, 59 - 1) = "0", OFFSET($A$1, 614 - 1, 60 - 1) = "1" ), 3, 4 ) ) )</f>
        <v>4</v>
      </c>
      <c r="BK614" s="3">
        <v>6.6350710900473939E-2</v>
      </c>
      <c r="BL614" s="3" t="str">
        <f t="shared" si="68"/>
        <v>0</v>
      </c>
      <c r="BM614" t="str">
        <f ca="1">IF((OFFSET($A$1, 614 - 1, 63 - 1)) &gt;= (OFFSET($A$1, 135 - 1, 7 - 1)), "1","0")</f>
        <v>0</v>
      </c>
      <c r="BN614">
        <f ca="1" xml:space="preserve"> IF( AND( OFFSET($A$1, 614 - 1, 64 - 1) = "1", OFFSET($A$1, 614 - 1, 65 - 1) = "1" ), 1, IF( AND( OFFSET($A$1, 614 - 1, 64 - 1) = "1", OFFSET($A$1, 614 - 1, 65 - 1) = "0" ), 2, IF( AND( OFFSET($A$1, 614 - 1, 64 - 1) = "0", OFFSET($A$1, 614 - 1, 65 - 1) = "1" ), 3, 4 ) ) )</f>
        <v>4</v>
      </c>
    </row>
    <row r="615" spans="58:66" x14ac:dyDescent="0.2">
      <c r="BF615" s="3">
        <v>0</v>
      </c>
      <c r="BG615" s="3" t="str">
        <f t="shared" si="67"/>
        <v>0</v>
      </c>
      <c r="BH615" t="str">
        <f ca="1">IF((OFFSET($A$1, 615 - 1, 58 - 1)) &gt;= (OFFSET($A$1, 96 - 1, 7 - 1)), "1","0")</f>
        <v>0</v>
      </c>
      <c r="BI615">
        <f ca="1" xml:space="preserve"> IF( AND( OFFSET($A$1, 615 - 1, 59 - 1) = "1", OFFSET($A$1, 615 - 1, 60 - 1) = "1" ), 1, IF( AND( OFFSET($A$1, 615 - 1, 59 - 1) = "1", OFFSET($A$1, 615 - 1, 60 - 1) = "0" ), 2, IF( AND( OFFSET($A$1, 615 - 1, 59 - 1) = "0", OFFSET($A$1, 615 - 1, 60 - 1) = "1" ), 3, 4 ) ) )</f>
        <v>4</v>
      </c>
      <c r="BK615" s="3">
        <v>2.5316455696202531E-2</v>
      </c>
      <c r="BL615" s="3" t="str">
        <f t="shared" si="68"/>
        <v>0</v>
      </c>
      <c r="BM615" t="str">
        <f ca="1">IF((OFFSET($A$1, 615 - 1, 63 - 1)) &gt;= (OFFSET($A$1, 135 - 1, 7 - 1)), "1","0")</f>
        <v>0</v>
      </c>
      <c r="BN615">
        <f ca="1" xml:space="preserve"> IF( AND( OFFSET($A$1, 615 - 1, 64 - 1) = "1", OFFSET($A$1, 615 - 1, 65 - 1) = "1" ), 1, IF( AND( OFFSET($A$1, 615 - 1, 64 - 1) = "1", OFFSET($A$1, 615 - 1, 65 - 1) = "0" ), 2, IF( AND( OFFSET($A$1, 615 - 1, 64 - 1) = "0", OFFSET($A$1, 615 - 1, 65 - 1) = "1" ), 3, 4 ) ) )</f>
        <v>4</v>
      </c>
    </row>
    <row r="616" spans="58:66" x14ac:dyDescent="0.2">
      <c r="BF616" s="3">
        <v>0</v>
      </c>
      <c r="BG616" s="3" t="str">
        <f t="shared" si="67"/>
        <v>0</v>
      </c>
      <c r="BH616" t="str">
        <f ca="1">IF((OFFSET($A$1, 616 - 1, 58 - 1)) &gt;= (OFFSET($A$1, 96 - 1, 7 - 1)), "1","0")</f>
        <v>0</v>
      </c>
      <c r="BI616">
        <f ca="1" xml:space="preserve"> IF( AND( OFFSET($A$1, 616 - 1, 59 - 1) = "1", OFFSET($A$1, 616 - 1, 60 - 1) = "1" ), 1, IF( AND( OFFSET($A$1, 616 - 1, 59 - 1) = "1", OFFSET($A$1, 616 - 1, 60 - 1) = "0" ), 2, IF( AND( OFFSET($A$1, 616 - 1, 59 - 1) = "0", OFFSET($A$1, 616 - 1, 60 - 1) = "1" ), 3, 4 ) ) )</f>
        <v>4</v>
      </c>
      <c r="BK616" s="3">
        <v>6.6350710900473939E-2</v>
      </c>
      <c r="BL616" s="3" t="str">
        <f t="shared" si="68"/>
        <v>0</v>
      </c>
      <c r="BM616" t="str">
        <f ca="1">IF((OFFSET($A$1, 616 - 1, 63 - 1)) &gt;= (OFFSET($A$1, 135 - 1, 7 - 1)), "1","0")</f>
        <v>0</v>
      </c>
      <c r="BN616">
        <f ca="1" xml:space="preserve"> IF( AND( OFFSET($A$1, 616 - 1, 64 - 1) = "1", OFFSET($A$1, 616 - 1, 65 - 1) = "1" ), 1, IF( AND( OFFSET($A$1, 616 - 1, 64 - 1) = "1", OFFSET($A$1, 616 - 1, 65 - 1) = "0" ), 2, IF( AND( OFFSET($A$1, 616 - 1, 64 - 1) = "0", OFFSET($A$1, 616 - 1, 65 - 1) = "1" ), 3, 4 ) ) )</f>
        <v>4</v>
      </c>
    </row>
    <row r="617" spans="58:66" x14ac:dyDescent="0.2">
      <c r="BF617" s="3">
        <v>3.7037037037037042E-2</v>
      </c>
      <c r="BG617" s="3" t="str">
        <f t="shared" si="67"/>
        <v>0</v>
      </c>
      <c r="BH617" t="str">
        <f ca="1">IF((OFFSET($A$1, 617 - 1, 58 - 1)) &gt;= (OFFSET($A$1, 96 - 1, 7 - 1)), "1","0")</f>
        <v>0</v>
      </c>
      <c r="BI617">
        <f ca="1" xml:space="preserve"> IF( AND( OFFSET($A$1, 617 - 1, 59 - 1) = "1", OFFSET($A$1, 617 - 1, 60 - 1) = "1" ), 1, IF( AND( OFFSET($A$1, 617 - 1, 59 - 1) = "1", OFFSET($A$1, 617 - 1, 60 - 1) = "0" ), 2, IF( AND( OFFSET($A$1, 617 - 1, 59 - 1) = "0", OFFSET($A$1, 617 - 1, 60 - 1) = "1" ), 3, 4 ) ) )</f>
        <v>4</v>
      </c>
      <c r="BK617" s="3">
        <v>0.38775510204081637</v>
      </c>
      <c r="BL617" s="3" t="str">
        <f t="shared" si="68"/>
        <v>0</v>
      </c>
      <c r="BM617" t="str">
        <f ca="1">IF((OFFSET($A$1, 617 - 1, 63 - 1)) &gt;= (OFFSET($A$1, 135 - 1, 7 - 1)), "1","0")</f>
        <v>0</v>
      </c>
      <c r="BN617">
        <f ca="1" xml:space="preserve"> IF( AND( OFFSET($A$1, 617 - 1, 64 - 1) = "1", OFFSET($A$1, 617 - 1, 65 - 1) = "1" ), 1, IF( AND( OFFSET($A$1, 617 - 1, 64 - 1) = "1", OFFSET($A$1, 617 - 1, 65 - 1) = "0" ), 2, IF( AND( OFFSET($A$1, 617 - 1, 64 - 1) = "0", OFFSET($A$1, 617 - 1, 65 - 1) = "1" ), 3, 4 ) ) )</f>
        <v>4</v>
      </c>
    </row>
    <row r="618" spans="58:66" x14ac:dyDescent="0.2">
      <c r="BF618" s="3">
        <v>0.47692307692307689</v>
      </c>
      <c r="BG618" s="3" t="str">
        <f>"1"</f>
        <v>1</v>
      </c>
      <c r="BH618" t="str">
        <f ca="1">IF((OFFSET($A$1, 618 - 1, 58 - 1)) &gt;= (OFFSET($A$1, 96 - 1, 7 - 1)), "1","0")</f>
        <v>0</v>
      </c>
      <c r="BI618">
        <f ca="1" xml:space="preserve"> IF( AND( OFFSET($A$1, 618 - 1, 59 - 1) = "1", OFFSET($A$1, 618 - 1, 60 - 1) = "1" ), 1, IF( AND( OFFSET($A$1, 618 - 1, 59 - 1) = "1", OFFSET($A$1, 618 - 1, 60 - 1) = "0" ), 2, IF( AND( OFFSET($A$1, 618 - 1, 59 - 1) = "0", OFFSET($A$1, 618 - 1, 60 - 1) = "1" ), 3, 4 ) ) )</f>
        <v>2</v>
      </c>
      <c r="BK618" s="3">
        <v>6.6350710900473939E-2</v>
      </c>
      <c r="BL618" s="3" t="str">
        <f t="shared" si="68"/>
        <v>0</v>
      </c>
      <c r="BM618" t="str">
        <f ca="1">IF((OFFSET($A$1, 618 - 1, 63 - 1)) &gt;= (OFFSET($A$1, 135 - 1, 7 - 1)), "1","0")</f>
        <v>0</v>
      </c>
      <c r="BN618">
        <f ca="1" xml:space="preserve"> IF( AND( OFFSET($A$1, 618 - 1, 64 - 1) = "1", OFFSET($A$1, 618 - 1, 65 - 1) = "1" ), 1, IF( AND( OFFSET($A$1, 618 - 1, 64 - 1) = "1", OFFSET($A$1, 618 - 1, 65 - 1) = "0" ), 2, IF( AND( OFFSET($A$1, 618 - 1, 64 - 1) = "0", OFFSET($A$1, 618 - 1, 65 - 1) = "1" ), 3, 4 ) ) )</f>
        <v>4</v>
      </c>
    </row>
    <row r="619" spans="58:66" x14ac:dyDescent="0.2">
      <c r="BF619" s="3">
        <v>0.34722222222222221</v>
      </c>
      <c r="BG619" s="3" t="str">
        <f>"0"</f>
        <v>0</v>
      </c>
      <c r="BH619" t="str">
        <f ca="1">IF((OFFSET($A$1, 619 - 1, 58 - 1)) &gt;= (OFFSET($A$1, 96 - 1, 7 - 1)), "1","0")</f>
        <v>0</v>
      </c>
      <c r="BI619">
        <f ca="1" xml:space="preserve"> IF( AND( OFFSET($A$1, 619 - 1, 59 - 1) = "1", OFFSET($A$1, 619 - 1, 60 - 1) = "1" ), 1, IF( AND( OFFSET($A$1, 619 - 1, 59 - 1) = "1", OFFSET($A$1, 619 - 1, 60 - 1) = "0" ), 2, IF( AND( OFFSET($A$1, 619 - 1, 59 - 1) = "0", OFFSET($A$1, 619 - 1, 60 - 1) = "1" ), 3, 4 ) ) )</f>
        <v>4</v>
      </c>
      <c r="BK619" s="3">
        <v>6.6350710900473939E-2</v>
      </c>
      <c r="BL619" s="3" t="str">
        <f t="shared" si="68"/>
        <v>0</v>
      </c>
      <c r="BM619" t="str">
        <f ca="1">IF((OFFSET($A$1, 619 - 1, 63 - 1)) &gt;= (OFFSET($A$1, 135 - 1, 7 - 1)), "1","0")</f>
        <v>0</v>
      </c>
      <c r="BN619">
        <f ca="1" xml:space="preserve"> IF( AND( OFFSET($A$1, 619 - 1, 64 - 1) = "1", OFFSET($A$1, 619 - 1, 65 - 1) = "1" ), 1, IF( AND( OFFSET($A$1, 619 - 1, 64 - 1) = "1", OFFSET($A$1, 619 - 1, 65 - 1) = "0" ), 2, IF( AND( OFFSET($A$1, 619 - 1, 64 - 1) = "0", OFFSET($A$1, 619 - 1, 65 - 1) = "1" ), 3, 4 ) ) )</f>
        <v>4</v>
      </c>
    </row>
    <row r="620" spans="58:66" x14ac:dyDescent="0.2">
      <c r="BF620" s="3">
        <v>4.3478260869565216E-2</v>
      </c>
      <c r="BG620" s="3" t="str">
        <f>"0"</f>
        <v>0</v>
      </c>
      <c r="BH620" t="str">
        <f ca="1">IF((OFFSET($A$1, 620 - 1, 58 - 1)) &gt;= (OFFSET($A$1, 96 - 1, 7 - 1)), "1","0")</f>
        <v>0</v>
      </c>
      <c r="BI620">
        <f ca="1" xml:space="preserve"> IF( AND( OFFSET($A$1, 620 - 1, 59 - 1) = "1", OFFSET($A$1, 620 - 1, 60 - 1) = "1" ), 1, IF( AND( OFFSET($A$1, 620 - 1, 59 - 1) = "1", OFFSET($A$1, 620 - 1, 60 - 1) = "0" ), 2, IF( AND( OFFSET($A$1, 620 - 1, 59 - 1) = "0", OFFSET($A$1, 620 - 1, 60 - 1) = "1" ), 3, 4 ) ) )</f>
        <v>4</v>
      </c>
      <c r="BK620" s="3">
        <v>6.6350710900473939E-2</v>
      </c>
      <c r="BL620" s="3" t="str">
        <f t="shared" si="68"/>
        <v>0</v>
      </c>
      <c r="BM620" t="str">
        <f ca="1">IF((OFFSET($A$1, 620 - 1, 63 - 1)) &gt;= (OFFSET($A$1, 135 - 1, 7 - 1)), "1","0")</f>
        <v>0</v>
      </c>
      <c r="BN620">
        <f ca="1" xml:space="preserve"> IF( AND( OFFSET($A$1, 620 - 1, 64 - 1) = "1", OFFSET($A$1, 620 - 1, 65 - 1) = "1" ), 1, IF( AND( OFFSET($A$1, 620 - 1, 64 - 1) = "1", OFFSET($A$1, 620 - 1, 65 - 1) = "0" ), 2, IF( AND( OFFSET($A$1, 620 - 1, 64 - 1) = "0", OFFSET($A$1, 620 - 1, 65 - 1) = "1" ), 3, 4 ) ) )</f>
        <v>4</v>
      </c>
    </row>
    <row r="621" spans="58:66" x14ac:dyDescent="0.2">
      <c r="BF621" s="3">
        <v>0.90579710144927539</v>
      </c>
      <c r="BG621" s="3" t="str">
        <f>"1"</f>
        <v>1</v>
      </c>
      <c r="BH621" t="str">
        <f ca="1">IF((OFFSET($A$1, 621 - 1, 58 - 1)) &gt;= (OFFSET($A$1, 96 - 1, 7 - 1)), "1","0")</f>
        <v>1</v>
      </c>
      <c r="BI621">
        <f ca="1" xml:space="preserve"> IF( AND( OFFSET($A$1, 621 - 1, 59 - 1) = "1", OFFSET($A$1, 621 - 1, 60 - 1) = "1" ), 1, IF( AND( OFFSET($A$1, 621 - 1, 59 - 1) = "1", OFFSET($A$1, 621 - 1, 60 - 1) = "0" ), 2, IF( AND( OFFSET($A$1, 621 - 1, 59 - 1) = "0", OFFSET($A$1, 621 - 1, 60 - 1) = "1" ), 3, 4 ) ) )</f>
        <v>1</v>
      </c>
      <c r="BK621" s="3">
        <v>6.6350710900473939E-2</v>
      </c>
      <c r="BL621" s="3" t="str">
        <f t="shared" si="68"/>
        <v>0</v>
      </c>
      <c r="BM621" t="str">
        <f ca="1">IF((OFFSET($A$1, 621 - 1, 63 - 1)) &gt;= (OFFSET($A$1, 135 - 1, 7 - 1)), "1","0")</f>
        <v>0</v>
      </c>
      <c r="BN621">
        <f ca="1" xml:space="preserve"> IF( AND( OFFSET($A$1, 621 - 1, 64 - 1) = "1", OFFSET($A$1, 621 - 1, 65 - 1) = "1" ), 1, IF( AND( OFFSET($A$1, 621 - 1, 64 - 1) = "1", OFFSET($A$1, 621 - 1, 65 - 1) = "0" ), 2, IF( AND( OFFSET($A$1, 621 - 1, 64 - 1) = "0", OFFSET($A$1, 621 - 1, 65 - 1) = "1" ), 3, 4 ) ) )</f>
        <v>4</v>
      </c>
    </row>
    <row r="622" spans="58:66" x14ac:dyDescent="0.2">
      <c r="BF622" s="3">
        <v>0</v>
      </c>
      <c r="BG622" s="3" t="str">
        <f t="shared" ref="BG622:BG630" si="69">"0"</f>
        <v>0</v>
      </c>
      <c r="BH622" t="str">
        <f ca="1">IF((OFFSET($A$1, 622 - 1, 58 - 1)) &gt;= (OFFSET($A$1, 96 - 1, 7 - 1)), "1","0")</f>
        <v>0</v>
      </c>
      <c r="BI622">
        <f ca="1" xml:space="preserve"> IF( AND( OFFSET($A$1, 622 - 1, 59 - 1) = "1", OFFSET($A$1, 622 - 1, 60 - 1) = "1" ), 1, IF( AND( OFFSET($A$1, 622 - 1, 59 - 1) = "1", OFFSET($A$1, 622 - 1, 60 - 1) = "0" ), 2, IF( AND( OFFSET($A$1, 622 - 1, 59 - 1) = "0", OFFSET($A$1, 622 - 1, 60 - 1) = "1" ), 3, 4 ) ) )</f>
        <v>4</v>
      </c>
      <c r="BK622" s="3">
        <v>0.38775510204081637</v>
      </c>
      <c r="BL622" s="3" t="str">
        <f t="shared" si="68"/>
        <v>0</v>
      </c>
      <c r="BM622" t="str">
        <f ca="1">IF((OFFSET($A$1, 622 - 1, 63 - 1)) &gt;= (OFFSET($A$1, 135 - 1, 7 - 1)), "1","0")</f>
        <v>0</v>
      </c>
      <c r="BN622">
        <f ca="1" xml:space="preserve"> IF( AND( OFFSET($A$1, 622 - 1, 64 - 1) = "1", OFFSET($A$1, 622 - 1, 65 - 1) = "1" ), 1, IF( AND( OFFSET($A$1, 622 - 1, 64 - 1) = "1", OFFSET($A$1, 622 - 1, 65 - 1) = "0" ), 2, IF( AND( OFFSET($A$1, 622 - 1, 64 - 1) = "0", OFFSET($A$1, 622 - 1, 65 - 1) = "1" ), 3, 4 ) ) )</f>
        <v>4</v>
      </c>
    </row>
    <row r="623" spans="58:66" x14ac:dyDescent="0.2">
      <c r="BF623" s="3">
        <v>0</v>
      </c>
      <c r="BG623" s="3" t="str">
        <f t="shared" si="69"/>
        <v>0</v>
      </c>
      <c r="BH623" t="str">
        <f ca="1">IF((OFFSET($A$1, 623 - 1, 58 - 1)) &gt;= (OFFSET($A$1, 96 - 1, 7 - 1)), "1","0")</f>
        <v>0</v>
      </c>
      <c r="BI623">
        <f ca="1" xml:space="preserve"> IF( AND( OFFSET($A$1, 623 - 1, 59 - 1) = "1", OFFSET($A$1, 623 - 1, 60 - 1) = "1" ), 1, IF( AND( OFFSET($A$1, 623 - 1, 59 - 1) = "1", OFFSET($A$1, 623 - 1, 60 - 1) = "0" ), 2, IF( AND( OFFSET($A$1, 623 - 1, 59 - 1) = "0", OFFSET($A$1, 623 - 1, 60 - 1) = "1" ), 3, 4 ) ) )</f>
        <v>4</v>
      </c>
      <c r="BK623" s="3">
        <v>6.6350710900473939E-2</v>
      </c>
      <c r="BL623" s="3" t="str">
        <f t="shared" si="68"/>
        <v>0</v>
      </c>
      <c r="BM623" t="str">
        <f ca="1">IF((OFFSET($A$1, 623 - 1, 63 - 1)) &gt;= (OFFSET($A$1, 135 - 1, 7 - 1)), "1","0")</f>
        <v>0</v>
      </c>
      <c r="BN623">
        <f ca="1" xml:space="preserve"> IF( AND( OFFSET($A$1, 623 - 1, 64 - 1) = "1", OFFSET($A$1, 623 - 1, 65 - 1) = "1" ), 1, IF( AND( OFFSET($A$1, 623 - 1, 64 - 1) = "1", OFFSET($A$1, 623 - 1, 65 - 1) = "0" ), 2, IF( AND( OFFSET($A$1, 623 - 1, 64 - 1) = "0", OFFSET($A$1, 623 - 1, 65 - 1) = "1" ), 3, 4 ) ) )</f>
        <v>4</v>
      </c>
    </row>
    <row r="624" spans="58:66" x14ac:dyDescent="0.2">
      <c r="BF624" s="3">
        <v>0.47692307692307689</v>
      </c>
      <c r="BG624" s="3" t="str">
        <f t="shared" si="69"/>
        <v>0</v>
      </c>
      <c r="BH624" t="str">
        <f ca="1">IF((OFFSET($A$1, 624 - 1, 58 - 1)) &gt;= (OFFSET($A$1, 96 - 1, 7 - 1)), "1","0")</f>
        <v>0</v>
      </c>
      <c r="BI624">
        <f ca="1" xml:space="preserve"> IF( AND( OFFSET($A$1, 624 - 1, 59 - 1) = "1", OFFSET($A$1, 624 - 1, 60 - 1) = "1" ), 1, IF( AND( OFFSET($A$1, 624 - 1, 59 - 1) = "1", OFFSET($A$1, 624 - 1, 60 - 1) = "0" ), 2, IF( AND( OFFSET($A$1, 624 - 1, 59 - 1) = "0", OFFSET($A$1, 624 - 1, 60 - 1) = "1" ), 3, 4 ) ) )</f>
        <v>4</v>
      </c>
      <c r="BK624" s="3">
        <v>6.6350710900473939E-2</v>
      </c>
      <c r="BL624" s="3" t="str">
        <f t="shared" si="68"/>
        <v>0</v>
      </c>
      <c r="BM624" t="str">
        <f ca="1">IF((OFFSET($A$1, 624 - 1, 63 - 1)) &gt;= (OFFSET($A$1, 135 - 1, 7 - 1)), "1","0")</f>
        <v>0</v>
      </c>
      <c r="BN624">
        <f ca="1" xml:space="preserve"> IF( AND( OFFSET($A$1, 624 - 1, 64 - 1) = "1", OFFSET($A$1, 624 - 1, 65 - 1) = "1" ), 1, IF( AND( OFFSET($A$1, 624 - 1, 64 - 1) = "1", OFFSET($A$1, 624 - 1, 65 - 1) = "0" ), 2, IF( AND( OFFSET($A$1, 624 - 1, 64 - 1) = "0", OFFSET($A$1, 624 - 1, 65 - 1) = "1" ), 3, 4 ) ) )</f>
        <v>4</v>
      </c>
    </row>
    <row r="625" spans="58:66" x14ac:dyDescent="0.2">
      <c r="BF625" s="3">
        <v>0</v>
      </c>
      <c r="BG625" s="3" t="str">
        <f t="shared" si="69"/>
        <v>0</v>
      </c>
      <c r="BH625" t="str">
        <f ca="1">IF((OFFSET($A$1, 625 - 1, 58 - 1)) &gt;= (OFFSET($A$1, 96 - 1, 7 - 1)), "1","0")</f>
        <v>0</v>
      </c>
      <c r="BI625">
        <f ca="1" xml:space="preserve"> IF( AND( OFFSET($A$1, 625 - 1, 59 - 1) = "1", OFFSET($A$1, 625 - 1, 60 - 1) = "1" ), 1, IF( AND( OFFSET($A$1, 625 - 1, 59 - 1) = "1", OFFSET($A$1, 625 - 1, 60 - 1) = "0" ), 2, IF( AND( OFFSET($A$1, 625 - 1, 59 - 1) = "0", OFFSET($A$1, 625 - 1, 60 - 1) = "1" ), 3, 4 ) ) )</f>
        <v>4</v>
      </c>
      <c r="BK625" s="3">
        <v>6.6350710900473939E-2</v>
      </c>
      <c r="BL625" s="3" t="str">
        <f t="shared" si="68"/>
        <v>0</v>
      </c>
      <c r="BM625" t="str">
        <f ca="1">IF((OFFSET($A$1, 625 - 1, 63 - 1)) &gt;= (OFFSET($A$1, 135 - 1, 7 - 1)), "1","0")</f>
        <v>0</v>
      </c>
      <c r="BN625">
        <f ca="1" xml:space="preserve"> IF( AND( OFFSET($A$1, 625 - 1, 64 - 1) = "1", OFFSET($A$1, 625 - 1, 65 - 1) = "1" ), 1, IF( AND( OFFSET($A$1, 625 - 1, 64 - 1) = "1", OFFSET($A$1, 625 - 1, 65 - 1) = "0" ), 2, IF( AND( OFFSET($A$1, 625 - 1, 64 - 1) = "0", OFFSET($A$1, 625 - 1, 65 - 1) = "1" ), 3, 4 ) ) )</f>
        <v>4</v>
      </c>
    </row>
    <row r="626" spans="58:66" x14ac:dyDescent="0.2">
      <c r="BF626" s="3">
        <v>0</v>
      </c>
      <c r="BG626" s="3" t="str">
        <f t="shared" si="69"/>
        <v>0</v>
      </c>
      <c r="BH626" t="str">
        <f ca="1">IF((OFFSET($A$1, 626 - 1, 58 - 1)) &gt;= (OFFSET($A$1, 96 - 1, 7 - 1)), "1","0")</f>
        <v>0</v>
      </c>
      <c r="BI626">
        <f ca="1" xml:space="preserve"> IF( AND( OFFSET($A$1, 626 - 1, 59 - 1) = "1", OFFSET($A$1, 626 - 1, 60 - 1) = "1" ), 1, IF( AND( OFFSET($A$1, 626 - 1, 59 - 1) = "1", OFFSET($A$1, 626 - 1, 60 - 1) = "0" ), 2, IF( AND( OFFSET($A$1, 626 - 1, 59 - 1) = "0", OFFSET($A$1, 626 - 1, 60 - 1) = "1" ), 3, 4 ) ) )</f>
        <v>4</v>
      </c>
      <c r="BK626" s="3">
        <v>6.6350710900473939E-2</v>
      </c>
      <c r="BL626" s="3" t="str">
        <f t="shared" si="68"/>
        <v>0</v>
      </c>
      <c r="BM626" t="str">
        <f ca="1">IF((OFFSET($A$1, 626 - 1, 63 - 1)) &gt;= (OFFSET($A$1, 135 - 1, 7 - 1)), "1","0")</f>
        <v>0</v>
      </c>
      <c r="BN626">
        <f ca="1" xml:space="preserve"> IF( AND( OFFSET($A$1, 626 - 1, 64 - 1) = "1", OFFSET($A$1, 626 - 1, 65 - 1) = "1" ), 1, IF( AND( OFFSET($A$1, 626 - 1, 64 - 1) = "1", OFFSET($A$1, 626 - 1, 65 - 1) = "0" ), 2, IF( AND( OFFSET($A$1, 626 - 1, 64 - 1) = "0", OFFSET($A$1, 626 - 1, 65 - 1) = "1" ), 3, 4 ) ) )</f>
        <v>4</v>
      </c>
    </row>
    <row r="627" spans="58:66" x14ac:dyDescent="0.2">
      <c r="BF627" s="3">
        <v>0.1081081081081081</v>
      </c>
      <c r="BG627" s="3" t="str">
        <f t="shared" si="69"/>
        <v>0</v>
      </c>
      <c r="BH627" t="str">
        <f ca="1">IF((OFFSET($A$1, 627 - 1, 58 - 1)) &gt;= (OFFSET($A$1, 96 - 1, 7 - 1)), "1","0")</f>
        <v>0</v>
      </c>
      <c r="BI627">
        <f ca="1" xml:space="preserve"> IF( AND( OFFSET($A$1, 627 - 1, 59 - 1) = "1", OFFSET($A$1, 627 - 1, 60 - 1) = "1" ), 1, IF( AND( OFFSET($A$1, 627 - 1, 59 - 1) = "1", OFFSET($A$1, 627 - 1, 60 - 1) = "0" ), 2, IF( AND( OFFSET($A$1, 627 - 1, 59 - 1) = "0", OFFSET($A$1, 627 - 1, 60 - 1) = "1" ), 3, 4 ) ) )</f>
        <v>4</v>
      </c>
      <c r="BK627" s="3">
        <v>6.6350710900473939E-2</v>
      </c>
      <c r="BL627" s="3" t="str">
        <f t="shared" si="68"/>
        <v>0</v>
      </c>
      <c r="BM627" t="str">
        <f ca="1">IF((OFFSET($A$1, 627 - 1, 63 - 1)) &gt;= (OFFSET($A$1, 135 - 1, 7 - 1)), "1","0")</f>
        <v>0</v>
      </c>
      <c r="BN627">
        <f ca="1" xml:space="preserve"> IF( AND( OFFSET($A$1, 627 - 1, 64 - 1) = "1", OFFSET($A$1, 627 - 1, 65 - 1) = "1" ), 1, IF( AND( OFFSET($A$1, 627 - 1, 64 - 1) = "1", OFFSET($A$1, 627 - 1, 65 - 1) = "0" ), 2, IF( AND( OFFSET($A$1, 627 - 1, 64 - 1) = "0", OFFSET($A$1, 627 - 1, 65 - 1) = "1" ), 3, 4 ) ) )</f>
        <v>4</v>
      </c>
    </row>
    <row r="628" spans="58:66" x14ac:dyDescent="0.2">
      <c r="BF628" s="3">
        <v>0</v>
      </c>
      <c r="BG628" s="3" t="str">
        <f t="shared" si="69"/>
        <v>0</v>
      </c>
      <c r="BH628" t="str">
        <f ca="1">IF((OFFSET($A$1, 628 - 1, 58 - 1)) &gt;= (OFFSET($A$1, 96 - 1, 7 - 1)), "1","0")</f>
        <v>0</v>
      </c>
      <c r="BI628">
        <f ca="1" xml:space="preserve"> IF( AND( OFFSET($A$1, 628 - 1, 59 - 1) = "1", OFFSET($A$1, 628 - 1, 60 - 1) = "1" ), 1, IF( AND( OFFSET($A$1, 628 - 1, 59 - 1) = "1", OFFSET($A$1, 628 - 1, 60 - 1) = "0" ), 2, IF( AND( OFFSET($A$1, 628 - 1, 59 - 1) = "0", OFFSET($A$1, 628 - 1, 60 - 1) = "1" ), 3, 4 ) ) )</f>
        <v>4</v>
      </c>
      <c r="BK628" s="3">
        <v>0.38775510204081637</v>
      </c>
      <c r="BL628" s="3" t="str">
        <f>"1"</f>
        <v>1</v>
      </c>
      <c r="BM628" t="str">
        <f ca="1">IF((OFFSET($A$1, 628 - 1, 63 - 1)) &gt;= (OFFSET($A$1, 135 - 1, 7 - 1)), "1","0")</f>
        <v>0</v>
      </c>
      <c r="BN628">
        <f ca="1" xml:space="preserve"> IF( AND( OFFSET($A$1, 628 - 1, 64 - 1) = "1", OFFSET($A$1, 628 - 1, 65 - 1) = "1" ), 1, IF( AND( OFFSET($A$1, 628 - 1, 64 - 1) = "1", OFFSET($A$1, 628 - 1, 65 - 1) = "0" ), 2, IF( AND( OFFSET($A$1, 628 - 1, 64 - 1) = "0", OFFSET($A$1, 628 - 1, 65 - 1) = "1" ), 3, 4 ) ) )</f>
        <v>2</v>
      </c>
    </row>
    <row r="629" spans="58:66" x14ac:dyDescent="0.2">
      <c r="BF629" s="3">
        <v>0</v>
      </c>
      <c r="BG629" s="3" t="str">
        <f t="shared" si="69"/>
        <v>0</v>
      </c>
      <c r="BH629" t="str">
        <f ca="1">IF((OFFSET($A$1, 629 - 1, 58 - 1)) &gt;= (OFFSET($A$1, 96 - 1, 7 - 1)), "1","0")</f>
        <v>0</v>
      </c>
      <c r="BI629">
        <f ca="1" xml:space="preserve"> IF( AND( OFFSET($A$1, 629 - 1, 59 - 1) = "1", OFFSET($A$1, 629 - 1, 60 - 1) = "1" ), 1, IF( AND( OFFSET($A$1, 629 - 1, 59 - 1) = "1", OFFSET($A$1, 629 - 1, 60 - 1) = "0" ), 2, IF( AND( OFFSET($A$1, 629 - 1, 59 - 1) = "0", OFFSET($A$1, 629 - 1, 60 - 1) = "1" ), 3, 4 ) ) )</f>
        <v>4</v>
      </c>
      <c r="BK629" s="3">
        <v>6.6350710900473939E-2</v>
      </c>
      <c r="BL629" s="3" t="str">
        <f>"0"</f>
        <v>0</v>
      </c>
      <c r="BM629" t="str">
        <f ca="1">IF((OFFSET($A$1, 629 - 1, 63 - 1)) &gt;= (OFFSET($A$1, 135 - 1, 7 - 1)), "1","0")</f>
        <v>0</v>
      </c>
      <c r="BN629">
        <f ca="1" xml:space="preserve"> IF( AND( OFFSET($A$1, 629 - 1, 64 - 1) = "1", OFFSET($A$1, 629 - 1, 65 - 1) = "1" ), 1, IF( AND( OFFSET($A$1, 629 - 1, 64 - 1) = "1", OFFSET($A$1, 629 - 1, 65 - 1) = "0" ), 2, IF( AND( OFFSET($A$1, 629 - 1, 64 - 1) = "0", OFFSET($A$1, 629 - 1, 65 - 1) = "1" ), 3, 4 ) ) )</f>
        <v>4</v>
      </c>
    </row>
    <row r="630" spans="58:66" x14ac:dyDescent="0.2">
      <c r="BF630" s="3">
        <v>0</v>
      </c>
      <c r="BG630" s="3" t="str">
        <f t="shared" si="69"/>
        <v>0</v>
      </c>
      <c r="BH630" t="str">
        <f ca="1">IF((OFFSET($A$1, 630 - 1, 58 - 1)) &gt;= (OFFSET($A$1, 96 - 1, 7 - 1)), "1","0")</f>
        <v>0</v>
      </c>
      <c r="BI630">
        <f ca="1" xml:space="preserve"> IF( AND( OFFSET($A$1, 630 - 1, 59 - 1) = "1", OFFSET($A$1, 630 - 1, 60 - 1) = "1" ), 1, IF( AND( OFFSET($A$1, 630 - 1, 59 - 1) = "1", OFFSET($A$1, 630 - 1, 60 - 1) = "0" ), 2, IF( AND( OFFSET($A$1, 630 - 1, 59 - 1) = "0", OFFSET($A$1, 630 - 1, 60 - 1) = "1" ), 3, 4 ) ) )</f>
        <v>4</v>
      </c>
      <c r="BK630" s="3">
        <v>0.38775510204081637</v>
      </c>
      <c r="BL630" s="3" t="str">
        <f>"1"</f>
        <v>1</v>
      </c>
      <c r="BM630" t="str">
        <f ca="1">IF((OFFSET($A$1, 630 - 1, 63 - 1)) &gt;= (OFFSET($A$1, 135 - 1, 7 - 1)), "1","0")</f>
        <v>0</v>
      </c>
      <c r="BN630">
        <f ca="1" xml:space="preserve"> IF( AND( OFFSET($A$1, 630 - 1, 64 - 1) = "1", OFFSET($A$1, 630 - 1, 65 - 1) = "1" ), 1, IF( AND( OFFSET($A$1, 630 - 1, 64 - 1) = "1", OFFSET($A$1, 630 - 1, 65 - 1) = "0" ), 2, IF( AND( OFFSET($A$1, 630 - 1, 64 - 1) = "0", OFFSET($A$1, 630 - 1, 65 - 1) = "1" ), 3, 4 ) ) )</f>
        <v>2</v>
      </c>
    </row>
    <row r="631" spans="58:66" x14ac:dyDescent="0.2">
      <c r="BF631" s="3">
        <v>0.36</v>
      </c>
      <c r="BG631" s="3" t="str">
        <f>"1"</f>
        <v>1</v>
      </c>
      <c r="BH631" t="str">
        <f ca="1">IF((OFFSET($A$1, 631 - 1, 58 - 1)) &gt;= (OFFSET($A$1, 96 - 1, 7 - 1)), "1","0")</f>
        <v>0</v>
      </c>
      <c r="BI631">
        <f ca="1" xml:space="preserve"> IF( AND( OFFSET($A$1, 631 - 1, 59 - 1) = "1", OFFSET($A$1, 631 - 1, 60 - 1) = "1" ), 1, IF( AND( OFFSET($A$1, 631 - 1, 59 - 1) = "1", OFFSET($A$1, 631 - 1, 60 - 1) = "0" ), 2, IF( AND( OFFSET($A$1, 631 - 1, 59 - 1) = "0", OFFSET($A$1, 631 - 1, 60 - 1) = "1" ), 3, 4 ) ) )</f>
        <v>2</v>
      </c>
      <c r="BK631" s="3">
        <v>6.6350710900473939E-2</v>
      </c>
      <c r="BL631" s="3" t="str">
        <f t="shared" ref="BL631:BL637" si="70">"0"</f>
        <v>0</v>
      </c>
      <c r="BM631" t="str">
        <f ca="1">IF((OFFSET($A$1, 631 - 1, 63 - 1)) &gt;= (OFFSET($A$1, 135 - 1, 7 - 1)), "1","0")</f>
        <v>0</v>
      </c>
      <c r="BN631">
        <f ca="1" xml:space="preserve"> IF( AND( OFFSET($A$1, 631 - 1, 64 - 1) = "1", OFFSET($A$1, 631 - 1, 65 - 1) = "1" ), 1, IF( AND( OFFSET($A$1, 631 - 1, 64 - 1) = "1", OFFSET($A$1, 631 - 1, 65 - 1) = "0" ), 2, IF( AND( OFFSET($A$1, 631 - 1, 64 - 1) = "0", OFFSET($A$1, 631 - 1, 65 - 1) = "1" ), 3, 4 ) ) )</f>
        <v>4</v>
      </c>
    </row>
    <row r="632" spans="58:66" x14ac:dyDescent="0.2">
      <c r="BF632" s="3">
        <v>0.34722222222222221</v>
      </c>
      <c r="BG632" s="3" t="str">
        <f>"1"</f>
        <v>1</v>
      </c>
      <c r="BH632" t="str">
        <f ca="1">IF((OFFSET($A$1, 632 - 1, 58 - 1)) &gt;= (OFFSET($A$1, 96 - 1, 7 - 1)), "1","0")</f>
        <v>0</v>
      </c>
      <c r="BI632">
        <f ca="1" xml:space="preserve"> IF( AND( OFFSET($A$1, 632 - 1, 59 - 1) = "1", OFFSET($A$1, 632 - 1, 60 - 1) = "1" ), 1, IF( AND( OFFSET($A$1, 632 - 1, 59 - 1) = "1", OFFSET($A$1, 632 - 1, 60 - 1) = "0" ), 2, IF( AND( OFFSET($A$1, 632 - 1, 59 - 1) = "0", OFFSET($A$1, 632 - 1, 60 - 1) = "1" ), 3, 4 ) ) )</f>
        <v>2</v>
      </c>
      <c r="BK632" s="3">
        <v>0.36</v>
      </c>
      <c r="BL632" s="3" t="str">
        <f t="shared" si="70"/>
        <v>0</v>
      </c>
      <c r="BM632" t="str">
        <f ca="1">IF((OFFSET($A$1, 632 - 1, 63 - 1)) &gt;= (OFFSET($A$1, 135 - 1, 7 - 1)), "1","0")</f>
        <v>0</v>
      </c>
      <c r="BN632">
        <f ca="1" xml:space="preserve"> IF( AND( OFFSET($A$1, 632 - 1, 64 - 1) = "1", OFFSET($A$1, 632 - 1, 65 - 1) = "1" ), 1, IF( AND( OFFSET($A$1, 632 - 1, 64 - 1) = "1", OFFSET($A$1, 632 - 1, 65 - 1) = "0" ), 2, IF( AND( OFFSET($A$1, 632 - 1, 64 - 1) = "0", OFFSET($A$1, 632 - 1, 65 - 1) = "1" ), 3, 4 ) ) )</f>
        <v>4</v>
      </c>
    </row>
    <row r="633" spans="58:66" x14ac:dyDescent="0.2">
      <c r="BF633" s="3">
        <v>3.7037037037037042E-2</v>
      </c>
      <c r="BG633" s="3" t="str">
        <f t="shared" ref="BG633:BG641" si="71">"0"</f>
        <v>0</v>
      </c>
      <c r="BH633" t="str">
        <f ca="1">IF((OFFSET($A$1, 633 - 1, 58 - 1)) &gt;= (OFFSET($A$1, 96 - 1, 7 - 1)), "1","0")</f>
        <v>0</v>
      </c>
      <c r="BI633">
        <f ca="1" xml:space="preserve"> IF( AND( OFFSET($A$1, 633 - 1, 59 - 1) = "1", OFFSET($A$1, 633 - 1, 60 - 1) = "1" ), 1, IF( AND( OFFSET($A$1, 633 - 1, 59 - 1) = "1", OFFSET($A$1, 633 - 1, 60 - 1) = "0" ), 2, IF( AND( OFFSET($A$1, 633 - 1, 59 - 1) = "0", OFFSET($A$1, 633 - 1, 60 - 1) = "1" ), 3, 4 ) ) )</f>
        <v>4</v>
      </c>
      <c r="BK633" s="3">
        <v>6.6350710900473939E-2</v>
      </c>
      <c r="BL633" s="3" t="str">
        <f t="shared" si="70"/>
        <v>0</v>
      </c>
      <c r="BM633" t="str">
        <f ca="1">IF((OFFSET($A$1, 633 - 1, 63 - 1)) &gt;= (OFFSET($A$1, 135 - 1, 7 - 1)), "1","0")</f>
        <v>0</v>
      </c>
      <c r="BN633">
        <f ca="1" xml:space="preserve"> IF( AND( OFFSET($A$1, 633 - 1, 64 - 1) = "1", OFFSET($A$1, 633 - 1, 65 - 1) = "1" ), 1, IF( AND( OFFSET($A$1, 633 - 1, 64 - 1) = "1", OFFSET($A$1, 633 - 1, 65 - 1) = "0" ), 2, IF( AND( OFFSET($A$1, 633 - 1, 64 - 1) = "0", OFFSET($A$1, 633 - 1, 65 - 1) = "1" ), 3, 4 ) ) )</f>
        <v>4</v>
      </c>
    </row>
    <row r="634" spans="58:66" x14ac:dyDescent="0.2">
      <c r="BF634" s="3">
        <v>0</v>
      </c>
      <c r="BG634" s="3" t="str">
        <f t="shared" si="71"/>
        <v>0</v>
      </c>
      <c r="BH634" t="str">
        <f ca="1">IF((OFFSET($A$1, 634 - 1, 58 - 1)) &gt;= (OFFSET($A$1, 96 - 1, 7 - 1)), "1","0")</f>
        <v>0</v>
      </c>
      <c r="BI634">
        <f ca="1" xml:space="preserve"> IF( AND( OFFSET($A$1, 634 - 1, 59 - 1) = "1", OFFSET($A$1, 634 - 1, 60 - 1) = "1" ), 1, IF( AND( OFFSET($A$1, 634 - 1, 59 - 1) = "1", OFFSET($A$1, 634 - 1, 60 - 1) = "0" ), 2, IF( AND( OFFSET($A$1, 634 - 1, 59 - 1) = "0", OFFSET($A$1, 634 - 1, 60 - 1) = "1" ), 3, 4 ) ) )</f>
        <v>4</v>
      </c>
      <c r="BK634" s="3">
        <v>6.6350710900473939E-2</v>
      </c>
      <c r="BL634" s="3" t="str">
        <f t="shared" si="70"/>
        <v>0</v>
      </c>
      <c r="BM634" t="str">
        <f ca="1">IF((OFFSET($A$1, 634 - 1, 63 - 1)) &gt;= (OFFSET($A$1, 135 - 1, 7 - 1)), "1","0")</f>
        <v>0</v>
      </c>
      <c r="BN634">
        <f ca="1" xml:space="preserve"> IF( AND( OFFSET($A$1, 634 - 1, 64 - 1) = "1", OFFSET($A$1, 634 - 1, 65 - 1) = "1" ), 1, IF( AND( OFFSET($A$1, 634 - 1, 64 - 1) = "1", OFFSET($A$1, 634 - 1, 65 - 1) = "0" ), 2, IF( AND( OFFSET($A$1, 634 - 1, 64 - 1) = "0", OFFSET($A$1, 634 - 1, 65 - 1) = "1" ), 3, 4 ) ) )</f>
        <v>4</v>
      </c>
    </row>
    <row r="635" spans="58:66" x14ac:dyDescent="0.2">
      <c r="BF635" s="3">
        <v>0.34722222222222221</v>
      </c>
      <c r="BG635" s="3" t="str">
        <f t="shared" si="71"/>
        <v>0</v>
      </c>
      <c r="BH635" t="str">
        <f ca="1">IF((OFFSET($A$1, 635 - 1, 58 - 1)) &gt;= (OFFSET($A$1, 96 - 1, 7 - 1)), "1","0")</f>
        <v>0</v>
      </c>
      <c r="BI635">
        <f ca="1" xml:space="preserve"> IF( AND( OFFSET($A$1, 635 - 1, 59 - 1) = "1", OFFSET($A$1, 635 - 1, 60 - 1) = "1" ), 1, IF( AND( OFFSET($A$1, 635 - 1, 59 - 1) = "1", OFFSET($A$1, 635 - 1, 60 - 1) = "0" ), 2, IF( AND( OFFSET($A$1, 635 - 1, 59 - 1) = "0", OFFSET($A$1, 635 - 1, 60 - 1) = "1" ), 3, 4 ) ) )</f>
        <v>4</v>
      </c>
      <c r="BK635" s="3">
        <v>0.38775510204081637</v>
      </c>
      <c r="BL635" s="3" t="str">
        <f t="shared" si="70"/>
        <v>0</v>
      </c>
      <c r="BM635" t="str">
        <f ca="1">IF((OFFSET($A$1, 635 - 1, 63 - 1)) &gt;= (OFFSET($A$1, 135 - 1, 7 - 1)), "1","0")</f>
        <v>0</v>
      </c>
      <c r="BN635">
        <f ca="1" xml:space="preserve"> IF( AND( OFFSET($A$1, 635 - 1, 64 - 1) = "1", OFFSET($A$1, 635 - 1, 65 - 1) = "1" ), 1, IF( AND( OFFSET($A$1, 635 - 1, 64 - 1) = "1", OFFSET($A$1, 635 - 1, 65 - 1) = "0" ), 2, IF( AND( OFFSET($A$1, 635 - 1, 64 - 1) = "0", OFFSET($A$1, 635 - 1, 65 - 1) = "1" ), 3, 4 ) ) )</f>
        <v>4</v>
      </c>
    </row>
    <row r="636" spans="58:66" x14ac:dyDescent="0.2">
      <c r="BF636" s="3">
        <v>0</v>
      </c>
      <c r="BG636" s="3" t="str">
        <f t="shared" si="71"/>
        <v>0</v>
      </c>
      <c r="BH636" t="str">
        <f ca="1">IF((OFFSET($A$1, 636 - 1, 58 - 1)) &gt;= (OFFSET($A$1, 96 - 1, 7 - 1)), "1","0")</f>
        <v>0</v>
      </c>
      <c r="BI636">
        <f ca="1" xml:space="preserve"> IF( AND( OFFSET($A$1, 636 - 1, 59 - 1) = "1", OFFSET($A$1, 636 - 1, 60 - 1) = "1" ), 1, IF( AND( OFFSET($A$1, 636 - 1, 59 - 1) = "1", OFFSET($A$1, 636 - 1, 60 - 1) = "0" ), 2, IF( AND( OFFSET($A$1, 636 - 1, 59 - 1) = "0", OFFSET($A$1, 636 - 1, 60 - 1) = "1" ), 3, 4 ) ) )</f>
        <v>4</v>
      </c>
      <c r="BK636" s="3">
        <v>6.6350710900473939E-2</v>
      </c>
      <c r="BL636" s="3" t="str">
        <f t="shared" si="70"/>
        <v>0</v>
      </c>
      <c r="BM636" t="str">
        <f ca="1">IF((OFFSET($A$1, 636 - 1, 63 - 1)) &gt;= (OFFSET($A$1, 135 - 1, 7 - 1)), "1","0")</f>
        <v>0</v>
      </c>
      <c r="BN636">
        <f ca="1" xml:space="preserve"> IF( AND( OFFSET($A$1, 636 - 1, 64 - 1) = "1", OFFSET($A$1, 636 - 1, 65 - 1) = "1" ), 1, IF( AND( OFFSET($A$1, 636 - 1, 64 - 1) = "1", OFFSET($A$1, 636 - 1, 65 - 1) = "0" ), 2, IF( AND( OFFSET($A$1, 636 - 1, 64 - 1) = "0", OFFSET($A$1, 636 - 1, 65 - 1) = "1" ), 3, 4 ) ) )</f>
        <v>4</v>
      </c>
    </row>
    <row r="637" spans="58:66" x14ac:dyDescent="0.2">
      <c r="BF637" s="3">
        <v>0</v>
      </c>
      <c r="BG637" s="3" t="str">
        <f t="shared" si="71"/>
        <v>0</v>
      </c>
      <c r="BH637" t="str">
        <f ca="1">IF((OFFSET($A$1, 637 - 1, 58 - 1)) &gt;= (OFFSET($A$1, 96 - 1, 7 - 1)), "1","0")</f>
        <v>0</v>
      </c>
      <c r="BI637">
        <f ca="1" xml:space="preserve"> IF( AND( OFFSET($A$1, 637 - 1, 59 - 1) = "1", OFFSET($A$1, 637 - 1, 60 - 1) = "1" ), 1, IF( AND( OFFSET($A$1, 637 - 1, 59 - 1) = "1", OFFSET($A$1, 637 - 1, 60 - 1) = "0" ), 2, IF( AND( OFFSET($A$1, 637 - 1, 59 - 1) = "0", OFFSET($A$1, 637 - 1, 60 - 1) = "1" ), 3, 4 ) ) )</f>
        <v>4</v>
      </c>
      <c r="BK637" s="3">
        <v>6.6350710900473939E-2</v>
      </c>
      <c r="BL637" s="3" t="str">
        <f t="shared" si="70"/>
        <v>0</v>
      </c>
      <c r="BM637" t="str">
        <f ca="1">IF((OFFSET($A$1, 637 - 1, 63 - 1)) &gt;= (OFFSET($A$1, 135 - 1, 7 - 1)), "1","0")</f>
        <v>0</v>
      </c>
      <c r="BN637">
        <f ca="1" xml:space="preserve"> IF( AND( OFFSET($A$1, 637 - 1, 64 - 1) = "1", OFFSET($A$1, 637 - 1, 65 - 1) = "1" ), 1, IF( AND( OFFSET($A$1, 637 - 1, 64 - 1) = "1", OFFSET($A$1, 637 - 1, 65 - 1) = "0" ), 2, IF( AND( OFFSET($A$1, 637 - 1, 64 - 1) = "0", OFFSET($A$1, 637 - 1, 65 - 1) = "1" ), 3, 4 ) ) )</f>
        <v>4</v>
      </c>
    </row>
    <row r="638" spans="58:66" x14ac:dyDescent="0.2">
      <c r="BF638" s="3">
        <v>0</v>
      </c>
      <c r="BG638" s="3" t="str">
        <f t="shared" si="71"/>
        <v>0</v>
      </c>
      <c r="BH638" t="str">
        <f ca="1">IF((OFFSET($A$1, 638 - 1, 58 - 1)) &gt;= (OFFSET($A$1, 96 - 1, 7 - 1)), "1","0")</f>
        <v>0</v>
      </c>
      <c r="BI638">
        <f ca="1" xml:space="preserve"> IF( AND( OFFSET($A$1, 638 - 1, 59 - 1) = "1", OFFSET($A$1, 638 - 1, 60 - 1) = "1" ), 1, IF( AND( OFFSET($A$1, 638 - 1, 59 - 1) = "1", OFFSET($A$1, 638 - 1, 60 - 1) = "0" ), 2, IF( AND( OFFSET($A$1, 638 - 1, 59 - 1) = "0", OFFSET($A$1, 638 - 1, 60 - 1) = "1" ), 3, 4 ) ) )</f>
        <v>4</v>
      </c>
      <c r="BK638" s="3">
        <v>0.36</v>
      </c>
      <c r="BL638" s="3" t="str">
        <f>"1"</f>
        <v>1</v>
      </c>
      <c r="BM638" t="str">
        <f ca="1">IF((OFFSET($A$1, 638 - 1, 63 - 1)) &gt;= (OFFSET($A$1, 135 - 1, 7 - 1)), "1","0")</f>
        <v>0</v>
      </c>
      <c r="BN638">
        <f ca="1" xml:space="preserve"> IF( AND( OFFSET($A$1, 638 - 1, 64 - 1) = "1", OFFSET($A$1, 638 - 1, 65 - 1) = "1" ), 1, IF( AND( OFFSET($A$1, 638 - 1, 64 - 1) = "1", OFFSET($A$1, 638 - 1, 65 - 1) = "0" ), 2, IF( AND( OFFSET($A$1, 638 - 1, 64 - 1) = "0", OFFSET($A$1, 638 - 1, 65 - 1) = "1" ), 3, 4 ) ) )</f>
        <v>2</v>
      </c>
    </row>
    <row r="639" spans="58:66" x14ac:dyDescent="0.2">
      <c r="BF639" s="3">
        <v>0</v>
      </c>
      <c r="BG639" s="3" t="str">
        <f t="shared" si="71"/>
        <v>0</v>
      </c>
      <c r="BH639" t="str">
        <f ca="1">IF((OFFSET($A$1, 639 - 1, 58 - 1)) &gt;= (OFFSET($A$1, 96 - 1, 7 - 1)), "1","0")</f>
        <v>0</v>
      </c>
      <c r="BI639">
        <f ca="1" xml:space="preserve"> IF( AND( OFFSET($A$1, 639 - 1, 59 - 1) = "1", OFFSET($A$1, 639 - 1, 60 - 1) = "1" ), 1, IF( AND( OFFSET($A$1, 639 - 1, 59 - 1) = "1", OFFSET($A$1, 639 - 1, 60 - 1) = "0" ), 2, IF( AND( OFFSET($A$1, 639 - 1, 59 - 1) = "0", OFFSET($A$1, 639 - 1, 60 - 1) = "1" ), 3, 4 ) ) )</f>
        <v>4</v>
      </c>
      <c r="BK639" s="3">
        <v>6.6350710900473939E-2</v>
      </c>
      <c r="BL639" s="3" t="str">
        <f>"0"</f>
        <v>0</v>
      </c>
      <c r="BM639" t="str">
        <f ca="1">IF((OFFSET($A$1, 639 - 1, 63 - 1)) &gt;= (OFFSET($A$1, 135 - 1, 7 - 1)), "1","0")</f>
        <v>0</v>
      </c>
      <c r="BN639">
        <f ca="1" xml:space="preserve"> IF( AND( OFFSET($A$1, 639 - 1, 64 - 1) = "1", OFFSET($A$1, 639 - 1, 65 - 1) = "1" ), 1, IF( AND( OFFSET($A$1, 639 - 1, 64 - 1) = "1", OFFSET($A$1, 639 - 1, 65 - 1) = "0" ), 2, IF( AND( OFFSET($A$1, 639 - 1, 64 - 1) = "0", OFFSET($A$1, 639 - 1, 65 - 1) = "1" ), 3, 4 ) ) )</f>
        <v>4</v>
      </c>
    </row>
    <row r="640" spans="58:66" x14ac:dyDescent="0.2">
      <c r="BF640" s="3">
        <v>0</v>
      </c>
      <c r="BG640" s="3" t="str">
        <f t="shared" si="71"/>
        <v>0</v>
      </c>
      <c r="BH640" t="str">
        <f ca="1">IF((OFFSET($A$1, 640 - 1, 58 - 1)) &gt;= (OFFSET($A$1, 96 - 1, 7 - 1)), "1","0")</f>
        <v>0</v>
      </c>
      <c r="BI640">
        <f ca="1" xml:space="preserve"> IF( AND( OFFSET($A$1, 640 - 1, 59 - 1) = "1", OFFSET($A$1, 640 - 1, 60 - 1) = "1" ), 1, IF( AND( OFFSET($A$1, 640 - 1, 59 - 1) = "1", OFFSET($A$1, 640 - 1, 60 - 1) = "0" ), 2, IF( AND( OFFSET($A$1, 640 - 1, 59 - 1) = "0", OFFSET($A$1, 640 - 1, 60 - 1) = "1" ), 3, 4 ) ) )</f>
        <v>4</v>
      </c>
      <c r="BK640" s="3">
        <v>6.6350710900473939E-2</v>
      </c>
      <c r="BL640" s="3" t="str">
        <f>"0"</f>
        <v>0</v>
      </c>
      <c r="BM640" t="str">
        <f ca="1">IF((OFFSET($A$1, 640 - 1, 63 - 1)) &gt;= (OFFSET($A$1, 135 - 1, 7 - 1)), "1","0")</f>
        <v>0</v>
      </c>
      <c r="BN640">
        <f ca="1" xml:space="preserve"> IF( AND( OFFSET($A$1, 640 - 1, 64 - 1) = "1", OFFSET($A$1, 640 - 1, 65 - 1) = "1" ), 1, IF( AND( OFFSET($A$1, 640 - 1, 64 - 1) = "1", OFFSET($A$1, 640 - 1, 65 - 1) = "0" ), 2, IF( AND( OFFSET($A$1, 640 - 1, 64 - 1) = "0", OFFSET($A$1, 640 - 1, 65 - 1) = "1" ), 3, 4 ) ) )</f>
        <v>4</v>
      </c>
    </row>
    <row r="641" spans="58:66" x14ac:dyDescent="0.2">
      <c r="BF641" s="3">
        <v>0.90579710144927539</v>
      </c>
      <c r="BG641" s="3" t="str">
        <f t="shared" si="71"/>
        <v>0</v>
      </c>
      <c r="BH641" t="str">
        <f ca="1">IF((OFFSET($A$1, 641 - 1, 58 - 1)) &gt;= (OFFSET($A$1, 96 - 1, 7 - 1)), "1","0")</f>
        <v>1</v>
      </c>
      <c r="BI641">
        <f ca="1" xml:space="preserve"> IF( AND( OFFSET($A$1, 641 - 1, 59 - 1) = "1", OFFSET($A$1, 641 - 1, 60 - 1) = "1" ), 1, IF( AND( OFFSET($A$1, 641 - 1, 59 - 1) = "1", OFFSET($A$1, 641 - 1, 60 - 1) = "0" ), 2, IF( AND( OFFSET($A$1, 641 - 1, 59 - 1) = "0", OFFSET($A$1, 641 - 1, 60 - 1) = "1" ), 3, 4 ) ) )</f>
        <v>3</v>
      </c>
      <c r="BK641" s="3">
        <v>6.6350710900473939E-2</v>
      </c>
      <c r="BL641" s="3" t="str">
        <f>"0"</f>
        <v>0</v>
      </c>
      <c r="BM641" t="str">
        <f ca="1">IF((OFFSET($A$1, 641 - 1, 63 - 1)) &gt;= (OFFSET($A$1, 135 - 1, 7 - 1)), "1","0")</f>
        <v>0</v>
      </c>
      <c r="BN641">
        <f ca="1" xml:space="preserve"> IF( AND( OFFSET($A$1, 641 - 1, 64 - 1) = "1", OFFSET($A$1, 641 - 1, 65 - 1) = "1" ), 1, IF( AND( OFFSET($A$1, 641 - 1, 64 - 1) = "1", OFFSET($A$1, 641 - 1, 65 - 1) = "0" ), 2, IF( AND( OFFSET($A$1, 641 - 1, 64 - 1) = "0", OFFSET($A$1, 641 - 1, 65 - 1) = "1" ), 3, 4 ) ) )</f>
        <v>4</v>
      </c>
    </row>
    <row r="642" spans="58:66" x14ac:dyDescent="0.2">
      <c r="BF642" s="3">
        <v>0.90579710144927539</v>
      </c>
      <c r="BG642" s="3" t="str">
        <f>"1"</f>
        <v>1</v>
      </c>
      <c r="BH642" t="str">
        <f ca="1">IF((OFFSET($A$1, 642 - 1, 58 - 1)) &gt;= (OFFSET($A$1, 96 - 1, 7 - 1)), "1","0")</f>
        <v>1</v>
      </c>
      <c r="BI642">
        <f ca="1" xml:space="preserve"> IF( AND( OFFSET($A$1, 642 - 1, 59 - 1) = "1", OFFSET($A$1, 642 - 1, 60 - 1) = "1" ), 1, IF( AND( OFFSET($A$1, 642 - 1, 59 - 1) = "1", OFFSET($A$1, 642 - 1, 60 - 1) = "0" ), 2, IF( AND( OFFSET($A$1, 642 - 1, 59 - 1) = "0", OFFSET($A$1, 642 - 1, 60 - 1) = "1" ), 3, 4 ) ) )</f>
        <v>1</v>
      </c>
      <c r="BK642" s="3">
        <v>6.6350710900473939E-2</v>
      </c>
      <c r="BL642" s="3" t="str">
        <f>"1"</f>
        <v>1</v>
      </c>
      <c r="BM642" t="str">
        <f ca="1">IF((OFFSET($A$1, 642 - 1, 63 - 1)) &gt;= (OFFSET($A$1, 135 - 1, 7 - 1)), "1","0")</f>
        <v>0</v>
      </c>
      <c r="BN642">
        <f ca="1" xml:space="preserve"> IF( AND( OFFSET($A$1, 642 - 1, 64 - 1) = "1", OFFSET($A$1, 642 - 1, 65 - 1) = "1" ), 1, IF( AND( OFFSET($A$1, 642 - 1, 64 - 1) = "1", OFFSET($A$1, 642 - 1, 65 - 1) = "0" ), 2, IF( AND( OFFSET($A$1, 642 - 1, 64 - 1) = "0", OFFSET($A$1, 642 - 1, 65 - 1) = "1" ), 3, 4 ) ) )</f>
        <v>2</v>
      </c>
    </row>
    <row r="643" spans="58:66" x14ac:dyDescent="0.2">
      <c r="BF643" s="3">
        <v>0.34722222222222221</v>
      </c>
      <c r="BG643" s="3" t="str">
        <f>"0"</f>
        <v>0</v>
      </c>
      <c r="BH643" t="str">
        <f ca="1">IF((OFFSET($A$1, 643 - 1, 58 - 1)) &gt;= (OFFSET($A$1, 96 - 1, 7 - 1)), "1","0")</f>
        <v>0</v>
      </c>
      <c r="BI643">
        <f ca="1" xml:space="preserve"> IF( AND( OFFSET($A$1, 643 - 1, 59 - 1) = "1", OFFSET($A$1, 643 - 1, 60 - 1) = "1" ), 1, IF( AND( OFFSET($A$1, 643 - 1, 59 - 1) = "1", OFFSET($A$1, 643 - 1, 60 - 1) = "0" ), 2, IF( AND( OFFSET($A$1, 643 - 1, 59 - 1) = "0", OFFSET($A$1, 643 - 1, 60 - 1) = "1" ), 3, 4 ) ) )</f>
        <v>4</v>
      </c>
      <c r="BK643" s="3">
        <v>6.6350710900473939E-2</v>
      </c>
      <c r="BL643" s="3" t="str">
        <f>"0"</f>
        <v>0</v>
      </c>
      <c r="BM643" t="str">
        <f ca="1">IF((OFFSET($A$1, 643 - 1, 63 - 1)) &gt;= (OFFSET($A$1, 135 - 1, 7 - 1)), "1","0")</f>
        <v>0</v>
      </c>
      <c r="BN643">
        <f ca="1" xml:space="preserve"> IF( AND( OFFSET($A$1, 643 - 1, 64 - 1) = "1", OFFSET($A$1, 643 - 1, 65 - 1) = "1" ), 1, IF( AND( OFFSET($A$1, 643 - 1, 64 - 1) = "1", OFFSET($A$1, 643 - 1, 65 - 1) = "0" ), 2, IF( AND( OFFSET($A$1, 643 - 1, 64 - 1) = "0", OFFSET($A$1, 643 - 1, 65 - 1) = "1" ), 3, 4 ) ) )</f>
        <v>4</v>
      </c>
    </row>
    <row r="644" spans="58:66" x14ac:dyDescent="0.2">
      <c r="BF644" s="3">
        <v>0</v>
      </c>
      <c r="BG644" s="3" t="str">
        <f>"0"</f>
        <v>0</v>
      </c>
      <c r="BH644" t="str">
        <f ca="1">IF((OFFSET($A$1, 644 - 1, 58 - 1)) &gt;= (OFFSET($A$1, 96 - 1, 7 - 1)), "1","0")</f>
        <v>0</v>
      </c>
      <c r="BI644">
        <f ca="1" xml:space="preserve"> IF( AND( OFFSET($A$1, 644 - 1, 59 - 1) = "1", OFFSET($A$1, 644 - 1, 60 - 1) = "1" ), 1, IF( AND( OFFSET($A$1, 644 - 1, 59 - 1) = "1", OFFSET($A$1, 644 - 1, 60 - 1) = "0" ), 2, IF( AND( OFFSET($A$1, 644 - 1, 59 - 1) = "0", OFFSET($A$1, 644 - 1, 60 - 1) = "1" ), 3, 4 ) ) )</f>
        <v>4</v>
      </c>
      <c r="BK644" s="3">
        <v>6.6350710900473939E-2</v>
      </c>
      <c r="BL644" s="3" t="str">
        <f>"0"</f>
        <v>0</v>
      </c>
      <c r="BM644" t="str">
        <f ca="1">IF((OFFSET($A$1, 644 - 1, 63 - 1)) &gt;= (OFFSET($A$1, 135 - 1, 7 - 1)), "1","0")</f>
        <v>0</v>
      </c>
      <c r="BN644">
        <f ca="1" xml:space="preserve"> IF( AND( OFFSET($A$1, 644 - 1, 64 - 1) = "1", OFFSET($A$1, 644 - 1, 65 - 1) = "1" ), 1, IF( AND( OFFSET($A$1, 644 - 1, 64 - 1) = "1", OFFSET($A$1, 644 - 1, 65 - 1) = "0" ), 2, IF( AND( OFFSET($A$1, 644 - 1, 64 - 1) = "0", OFFSET($A$1, 644 - 1, 65 - 1) = "1" ), 3, 4 ) ) )</f>
        <v>4</v>
      </c>
    </row>
    <row r="645" spans="58:66" x14ac:dyDescent="0.2">
      <c r="BF645" s="3">
        <v>0.90579710144927539</v>
      </c>
      <c r="BG645" s="3" t="str">
        <f>"1"</f>
        <v>1</v>
      </c>
      <c r="BH645" t="str">
        <f ca="1">IF((OFFSET($A$1, 645 - 1, 58 - 1)) &gt;= (OFFSET($A$1, 96 - 1, 7 - 1)), "1","0")</f>
        <v>1</v>
      </c>
      <c r="BI645">
        <f ca="1" xml:space="preserve"> IF( AND( OFFSET($A$1, 645 - 1, 59 - 1) = "1", OFFSET($A$1, 645 - 1, 60 - 1) = "1" ), 1, IF( AND( OFFSET($A$1, 645 - 1, 59 - 1) = "1", OFFSET($A$1, 645 - 1, 60 - 1) = "0" ), 2, IF( AND( OFFSET($A$1, 645 - 1, 59 - 1) = "0", OFFSET($A$1, 645 - 1, 60 - 1) = "1" ), 3, 4 ) ) )</f>
        <v>1</v>
      </c>
      <c r="BK645" s="3">
        <v>0.90579710144927539</v>
      </c>
      <c r="BL645" s="3" t="str">
        <f>"1"</f>
        <v>1</v>
      </c>
      <c r="BM645" t="str">
        <f ca="1">IF((OFFSET($A$1, 645 - 1, 63 - 1)) &gt;= (OFFSET($A$1, 135 - 1, 7 - 1)), "1","0")</f>
        <v>1</v>
      </c>
      <c r="BN645">
        <f ca="1" xml:space="preserve"> IF( AND( OFFSET($A$1, 645 - 1, 64 - 1) = "1", OFFSET($A$1, 645 - 1, 65 - 1) = "1" ), 1, IF( AND( OFFSET($A$1, 645 - 1, 64 - 1) = "1", OFFSET($A$1, 645 - 1, 65 - 1) = "0" ), 2, IF( AND( OFFSET($A$1, 645 - 1, 64 - 1) = "0", OFFSET($A$1, 645 - 1, 65 - 1) = "1" ), 3, 4 ) ) )</f>
        <v>1</v>
      </c>
    </row>
    <row r="646" spans="58:66" x14ac:dyDescent="0.2">
      <c r="BF646" s="3">
        <v>0</v>
      </c>
      <c r="BG646" s="3" t="str">
        <f>"0"</f>
        <v>0</v>
      </c>
      <c r="BH646" t="str">
        <f ca="1">IF((OFFSET($A$1, 646 - 1, 58 - 1)) &gt;= (OFFSET($A$1, 96 - 1, 7 - 1)), "1","0")</f>
        <v>0</v>
      </c>
      <c r="BI646">
        <f ca="1" xml:space="preserve"> IF( AND( OFFSET($A$1, 646 - 1, 59 - 1) = "1", OFFSET($A$1, 646 - 1, 60 - 1) = "1" ), 1, IF( AND( OFFSET($A$1, 646 - 1, 59 - 1) = "1", OFFSET($A$1, 646 - 1, 60 - 1) = "0" ), 2, IF( AND( OFFSET($A$1, 646 - 1, 59 - 1) = "0", OFFSET($A$1, 646 - 1, 60 - 1) = "1" ), 3, 4 ) ) )</f>
        <v>4</v>
      </c>
      <c r="BK646" s="3">
        <v>6.6350710900473939E-2</v>
      </c>
      <c r="BL646" s="3" t="str">
        <f t="shared" ref="BL646:BL662" si="72">"0"</f>
        <v>0</v>
      </c>
      <c r="BM646" t="str">
        <f ca="1">IF((OFFSET($A$1, 646 - 1, 63 - 1)) &gt;= (OFFSET($A$1, 135 - 1, 7 - 1)), "1","0")</f>
        <v>0</v>
      </c>
      <c r="BN646">
        <f ca="1" xml:space="preserve"> IF( AND( OFFSET($A$1, 646 - 1, 64 - 1) = "1", OFFSET($A$1, 646 - 1, 65 - 1) = "1" ), 1, IF( AND( OFFSET($A$1, 646 - 1, 64 - 1) = "1", OFFSET($A$1, 646 - 1, 65 - 1) = "0" ), 2, IF( AND( OFFSET($A$1, 646 - 1, 64 - 1) = "0", OFFSET($A$1, 646 - 1, 65 - 1) = "1" ), 3, 4 ) ) )</f>
        <v>4</v>
      </c>
    </row>
    <row r="647" spans="58:66" x14ac:dyDescent="0.2">
      <c r="BF647" s="3">
        <v>0</v>
      </c>
      <c r="BG647" s="3" t="str">
        <f>"0"</f>
        <v>0</v>
      </c>
      <c r="BH647" t="str">
        <f ca="1">IF((OFFSET($A$1, 647 - 1, 58 - 1)) &gt;= (OFFSET($A$1, 96 - 1, 7 - 1)), "1","0")</f>
        <v>0</v>
      </c>
      <c r="BI647">
        <f ca="1" xml:space="preserve"> IF( AND( OFFSET($A$1, 647 - 1, 59 - 1) = "1", OFFSET($A$1, 647 - 1, 60 - 1) = "1" ), 1, IF( AND( OFFSET($A$1, 647 - 1, 59 - 1) = "1", OFFSET($A$1, 647 - 1, 60 - 1) = "0" ), 2, IF( AND( OFFSET($A$1, 647 - 1, 59 - 1) = "0", OFFSET($A$1, 647 - 1, 60 - 1) = "1" ), 3, 4 ) ) )</f>
        <v>4</v>
      </c>
      <c r="BK647" s="3">
        <v>6.6350710900473939E-2</v>
      </c>
      <c r="BL647" s="3" t="str">
        <f t="shared" si="72"/>
        <v>0</v>
      </c>
      <c r="BM647" t="str">
        <f ca="1">IF((OFFSET($A$1, 647 - 1, 63 - 1)) &gt;= (OFFSET($A$1, 135 - 1, 7 - 1)), "1","0")</f>
        <v>0</v>
      </c>
      <c r="BN647">
        <f ca="1" xml:space="preserve"> IF( AND( OFFSET($A$1, 647 - 1, 64 - 1) = "1", OFFSET($A$1, 647 - 1, 65 - 1) = "1" ), 1, IF( AND( OFFSET($A$1, 647 - 1, 64 - 1) = "1", OFFSET($A$1, 647 - 1, 65 - 1) = "0" ), 2, IF( AND( OFFSET($A$1, 647 - 1, 64 - 1) = "0", OFFSET($A$1, 647 - 1, 65 - 1) = "1" ), 3, 4 ) ) )</f>
        <v>4</v>
      </c>
    </row>
    <row r="648" spans="58:66" x14ac:dyDescent="0.2">
      <c r="BF648" s="3">
        <v>0</v>
      </c>
      <c r="BG648" s="3" t="str">
        <f>"0"</f>
        <v>0</v>
      </c>
      <c r="BH648" t="str">
        <f ca="1">IF((OFFSET($A$1, 648 - 1, 58 - 1)) &gt;= (OFFSET($A$1, 96 - 1, 7 - 1)), "1","0")</f>
        <v>0</v>
      </c>
      <c r="BI648">
        <f ca="1" xml:space="preserve"> IF( AND( OFFSET($A$1, 648 - 1, 59 - 1) = "1", OFFSET($A$1, 648 - 1, 60 - 1) = "1" ), 1, IF( AND( OFFSET($A$1, 648 - 1, 59 - 1) = "1", OFFSET($A$1, 648 - 1, 60 - 1) = "0" ), 2, IF( AND( OFFSET($A$1, 648 - 1, 59 - 1) = "0", OFFSET($A$1, 648 - 1, 60 - 1) = "1" ), 3, 4 ) ) )</f>
        <v>4</v>
      </c>
      <c r="BK648" s="3">
        <v>2.5316455696202531E-2</v>
      </c>
      <c r="BL648" s="3" t="str">
        <f t="shared" si="72"/>
        <v>0</v>
      </c>
      <c r="BM648" t="str">
        <f ca="1">IF((OFFSET($A$1, 648 - 1, 63 - 1)) &gt;= (OFFSET($A$1, 135 - 1, 7 - 1)), "1","0")</f>
        <v>0</v>
      </c>
      <c r="BN648">
        <f ca="1" xml:space="preserve"> IF( AND( OFFSET($A$1, 648 - 1, 64 - 1) = "1", OFFSET($A$1, 648 - 1, 65 - 1) = "1" ), 1, IF( AND( OFFSET($A$1, 648 - 1, 64 - 1) = "1", OFFSET($A$1, 648 - 1, 65 - 1) = "0" ), 2, IF( AND( OFFSET($A$1, 648 - 1, 64 - 1) = "0", OFFSET($A$1, 648 - 1, 65 - 1) = "1" ), 3, 4 ) ) )</f>
        <v>4</v>
      </c>
    </row>
    <row r="649" spans="58:66" x14ac:dyDescent="0.2">
      <c r="BF649" s="3">
        <v>0.08</v>
      </c>
      <c r="BG649" s="3" t="str">
        <f>"0"</f>
        <v>0</v>
      </c>
      <c r="BH649" t="str">
        <f ca="1">IF((OFFSET($A$1, 649 - 1, 58 - 1)) &gt;= (OFFSET($A$1, 96 - 1, 7 - 1)), "1","0")</f>
        <v>0</v>
      </c>
      <c r="BI649">
        <f ca="1" xml:space="preserve"> IF( AND( OFFSET($A$1, 649 - 1, 59 - 1) = "1", OFFSET($A$1, 649 - 1, 60 - 1) = "1" ), 1, IF( AND( OFFSET($A$1, 649 - 1, 59 - 1) = "1", OFFSET($A$1, 649 - 1, 60 - 1) = "0" ), 2, IF( AND( OFFSET($A$1, 649 - 1, 59 - 1) = "0", OFFSET($A$1, 649 - 1, 60 - 1) = "1" ), 3, 4 ) ) )</f>
        <v>4</v>
      </c>
      <c r="BK649" s="3">
        <v>6.6350710900473939E-2</v>
      </c>
      <c r="BL649" s="3" t="str">
        <f t="shared" si="72"/>
        <v>0</v>
      </c>
      <c r="BM649" t="str">
        <f ca="1">IF((OFFSET($A$1, 649 - 1, 63 - 1)) &gt;= (OFFSET($A$1, 135 - 1, 7 - 1)), "1","0")</f>
        <v>0</v>
      </c>
      <c r="BN649">
        <f ca="1" xml:space="preserve"> IF( AND( OFFSET($A$1, 649 - 1, 64 - 1) = "1", OFFSET($A$1, 649 - 1, 65 - 1) = "1" ), 1, IF( AND( OFFSET($A$1, 649 - 1, 64 - 1) = "1", OFFSET($A$1, 649 - 1, 65 - 1) = "0" ), 2, IF( AND( OFFSET($A$1, 649 - 1, 64 - 1) = "0", OFFSET($A$1, 649 - 1, 65 - 1) = "1" ), 3, 4 ) ) )</f>
        <v>4</v>
      </c>
    </row>
    <row r="650" spans="58:66" x14ac:dyDescent="0.2">
      <c r="BF650" s="3">
        <v>0.47692307692307689</v>
      </c>
      <c r="BG650" s="3" t="str">
        <f>"1"</f>
        <v>1</v>
      </c>
      <c r="BH650" t="str">
        <f ca="1">IF((OFFSET($A$1, 650 - 1, 58 - 1)) &gt;= (OFFSET($A$1, 96 - 1, 7 - 1)), "1","0")</f>
        <v>0</v>
      </c>
      <c r="BI650">
        <f ca="1" xml:space="preserve"> IF( AND( OFFSET($A$1, 650 - 1, 59 - 1) = "1", OFFSET($A$1, 650 - 1, 60 - 1) = "1" ), 1, IF( AND( OFFSET($A$1, 650 - 1, 59 - 1) = "1", OFFSET($A$1, 650 - 1, 60 - 1) = "0" ), 2, IF( AND( OFFSET($A$1, 650 - 1, 59 - 1) = "0", OFFSET($A$1, 650 - 1, 60 - 1) = "1" ), 3, 4 ) ) )</f>
        <v>2</v>
      </c>
      <c r="BK650" s="3">
        <v>2.5316455696202531E-2</v>
      </c>
      <c r="BL650" s="3" t="str">
        <f t="shared" si="72"/>
        <v>0</v>
      </c>
      <c r="BM650" t="str">
        <f ca="1">IF((OFFSET($A$1, 650 - 1, 63 - 1)) &gt;= (OFFSET($A$1, 135 - 1, 7 - 1)), "1","0")</f>
        <v>0</v>
      </c>
      <c r="BN650">
        <f ca="1" xml:space="preserve"> IF( AND( OFFSET($A$1, 650 - 1, 64 - 1) = "1", OFFSET($A$1, 650 - 1, 65 - 1) = "1" ), 1, IF( AND( OFFSET($A$1, 650 - 1, 64 - 1) = "1", OFFSET($A$1, 650 - 1, 65 - 1) = "0" ), 2, IF( AND( OFFSET($A$1, 650 - 1, 64 - 1) = "0", OFFSET($A$1, 650 - 1, 65 - 1) = "1" ), 3, 4 ) ) )</f>
        <v>4</v>
      </c>
    </row>
    <row r="651" spans="58:66" x14ac:dyDescent="0.2">
      <c r="BF651" s="3">
        <v>0</v>
      </c>
      <c r="BG651" s="3" t="str">
        <f t="shared" ref="BG651:BG667" si="73">"0"</f>
        <v>0</v>
      </c>
      <c r="BH651" t="str">
        <f ca="1">IF((OFFSET($A$1, 651 - 1, 58 - 1)) &gt;= (OFFSET($A$1, 96 - 1, 7 - 1)), "1","0")</f>
        <v>0</v>
      </c>
      <c r="BI651">
        <f ca="1" xml:space="preserve"> IF( AND( OFFSET($A$1, 651 - 1, 59 - 1) = "1", OFFSET($A$1, 651 - 1, 60 - 1) = "1" ), 1, IF( AND( OFFSET($A$1, 651 - 1, 59 - 1) = "1", OFFSET($A$1, 651 - 1, 60 - 1) = "0" ), 2, IF( AND( OFFSET($A$1, 651 - 1, 59 - 1) = "0", OFFSET($A$1, 651 - 1, 60 - 1) = "1" ), 3, 4 ) ) )</f>
        <v>4</v>
      </c>
      <c r="BK651" s="3">
        <v>6.6350710900473939E-2</v>
      </c>
      <c r="BL651" s="3" t="str">
        <f t="shared" si="72"/>
        <v>0</v>
      </c>
      <c r="BM651" t="str">
        <f ca="1">IF((OFFSET($A$1, 651 - 1, 63 - 1)) &gt;= (OFFSET($A$1, 135 - 1, 7 - 1)), "1","0")</f>
        <v>0</v>
      </c>
      <c r="BN651">
        <f ca="1" xml:space="preserve"> IF( AND( OFFSET($A$1, 651 - 1, 64 - 1) = "1", OFFSET($A$1, 651 - 1, 65 - 1) = "1" ), 1, IF( AND( OFFSET($A$1, 651 - 1, 64 - 1) = "1", OFFSET($A$1, 651 - 1, 65 - 1) = "0" ), 2, IF( AND( OFFSET($A$1, 651 - 1, 64 - 1) = "0", OFFSET($A$1, 651 - 1, 65 - 1) = "1" ), 3, 4 ) ) )</f>
        <v>4</v>
      </c>
    </row>
    <row r="652" spans="58:66" x14ac:dyDescent="0.2">
      <c r="BF652" s="3">
        <v>0</v>
      </c>
      <c r="BG652" s="3" t="str">
        <f t="shared" si="73"/>
        <v>0</v>
      </c>
      <c r="BH652" t="str">
        <f ca="1">IF((OFFSET($A$1, 652 - 1, 58 - 1)) &gt;= (OFFSET($A$1, 96 - 1, 7 - 1)), "1","0")</f>
        <v>0</v>
      </c>
      <c r="BI652">
        <f ca="1" xml:space="preserve"> IF( AND( OFFSET($A$1, 652 - 1, 59 - 1) = "1", OFFSET($A$1, 652 - 1, 60 - 1) = "1" ), 1, IF( AND( OFFSET($A$1, 652 - 1, 59 - 1) = "1", OFFSET($A$1, 652 - 1, 60 - 1) = "0" ), 2, IF( AND( OFFSET($A$1, 652 - 1, 59 - 1) = "0", OFFSET($A$1, 652 - 1, 60 - 1) = "1" ), 3, 4 ) ) )</f>
        <v>4</v>
      </c>
      <c r="BK652" s="3">
        <v>6.6350710900473939E-2</v>
      </c>
      <c r="BL652" s="3" t="str">
        <f t="shared" si="72"/>
        <v>0</v>
      </c>
      <c r="BM652" t="str">
        <f ca="1">IF((OFFSET($A$1, 652 - 1, 63 - 1)) &gt;= (OFFSET($A$1, 135 - 1, 7 - 1)), "1","0")</f>
        <v>0</v>
      </c>
      <c r="BN652">
        <f ca="1" xml:space="preserve"> IF( AND( OFFSET($A$1, 652 - 1, 64 - 1) = "1", OFFSET($A$1, 652 - 1, 65 - 1) = "1" ), 1, IF( AND( OFFSET($A$1, 652 - 1, 64 - 1) = "1", OFFSET($A$1, 652 - 1, 65 - 1) = "0" ), 2, IF( AND( OFFSET($A$1, 652 - 1, 64 - 1) = "0", OFFSET($A$1, 652 - 1, 65 - 1) = "1" ), 3, 4 ) ) )</f>
        <v>4</v>
      </c>
    </row>
    <row r="653" spans="58:66" x14ac:dyDescent="0.2">
      <c r="BF653" s="3">
        <v>0</v>
      </c>
      <c r="BG653" s="3" t="str">
        <f t="shared" si="73"/>
        <v>0</v>
      </c>
      <c r="BH653" t="str">
        <f ca="1">IF((OFFSET($A$1, 653 - 1, 58 - 1)) &gt;= (OFFSET($A$1, 96 - 1, 7 - 1)), "1","0")</f>
        <v>0</v>
      </c>
      <c r="BI653">
        <f ca="1" xml:space="preserve"> IF( AND( OFFSET($A$1, 653 - 1, 59 - 1) = "1", OFFSET($A$1, 653 - 1, 60 - 1) = "1" ), 1, IF( AND( OFFSET($A$1, 653 - 1, 59 - 1) = "1", OFFSET($A$1, 653 - 1, 60 - 1) = "0" ), 2, IF( AND( OFFSET($A$1, 653 - 1, 59 - 1) = "0", OFFSET($A$1, 653 - 1, 60 - 1) = "1" ), 3, 4 ) ) )</f>
        <v>4</v>
      </c>
      <c r="BK653" s="3">
        <v>6.6350710900473939E-2</v>
      </c>
      <c r="BL653" s="3" t="str">
        <f t="shared" si="72"/>
        <v>0</v>
      </c>
      <c r="BM653" t="str">
        <f ca="1">IF((OFFSET($A$1, 653 - 1, 63 - 1)) &gt;= (OFFSET($A$1, 135 - 1, 7 - 1)), "1","0")</f>
        <v>0</v>
      </c>
      <c r="BN653">
        <f ca="1" xml:space="preserve"> IF( AND( OFFSET($A$1, 653 - 1, 64 - 1) = "1", OFFSET($A$1, 653 - 1, 65 - 1) = "1" ), 1, IF( AND( OFFSET($A$1, 653 - 1, 64 - 1) = "1", OFFSET($A$1, 653 - 1, 65 - 1) = "0" ), 2, IF( AND( OFFSET($A$1, 653 - 1, 64 - 1) = "0", OFFSET($A$1, 653 - 1, 65 - 1) = "1" ), 3, 4 ) ) )</f>
        <v>4</v>
      </c>
    </row>
    <row r="654" spans="58:66" x14ac:dyDescent="0.2">
      <c r="BF654" s="3">
        <v>0</v>
      </c>
      <c r="BG654" s="3" t="str">
        <f t="shared" si="73"/>
        <v>0</v>
      </c>
      <c r="BH654" t="str">
        <f ca="1">IF((OFFSET($A$1, 654 - 1, 58 - 1)) &gt;= (OFFSET($A$1, 96 - 1, 7 - 1)), "1","0")</f>
        <v>0</v>
      </c>
      <c r="BI654">
        <f ca="1" xml:space="preserve"> IF( AND( OFFSET($A$1, 654 - 1, 59 - 1) = "1", OFFSET($A$1, 654 - 1, 60 - 1) = "1" ), 1, IF( AND( OFFSET($A$1, 654 - 1, 59 - 1) = "1", OFFSET($A$1, 654 - 1, 60 - 1) = "0" ), 2, IF( AND( OFFSET($A$1, 654 - 1, 59 - 1) = "0", OFFSET($A$1, 654 - 1, 60 - 1) = "1" ), 3, 4 ) ) )</f>
        <v>4</v>
      </c>
      <c r="BK654" s="3">
        <v>6.6350710900473939E-2</v>
      </c>
      <c r="BL654" s="3" t="str">
        <f t="shared" si="72"/>
        <v>0</v>
      </c>
      <c r="BM654" t="str">
        <f ca="1">IF((OFFSET($A$1, 654 - 1, 63 - 1)) &gt;= (OFFSET($A$1, 135 - 1, 7 - 1)), "1","0")</f>
        <v>0</v>
      </c>
      <c r="BN654">
        <f ca="1" xml:space="preserve"> IF( AND( OFFSET($A$1, 654 - 1, 64 - 1) = "1", OFFSET($A$1, 654 - 1, 65 - 1) = "1" ), 1, IF( AND( OFFSET($A$1, 654 - 1, 64 - 1) = "1", OFFSET($A$1, 654 - 1, 65 - 1) = "0" ), 2, IF( AND( OFFSET($A$1, 654 - 1, 64 - 1) = "0", OFFSET($A$1, 654 - 1, 65 - 1) = "1" ), 3, 4 ) ) )</f>
        <v>4</v>
      </c>
    </row>
    <row r="655" spans="58:66" x14ac:dyDescent="0.2">
      <c r="BF655" s="3">
        <v>0</v>
      </c>
      <c r="BG655" s="3" t="str">
        <f t="shared" si="73"/>
        <v>0</v>
      </c>
      <c r="BH655" t="str">
        <f ca="1">IF((OFFSET($A$1, 655 - 1, 58 - 1)) &gt;= (OFFSET($A$1, 96 - 1, 7 - 1)), "1","0")</f>
        <v>0</v>
      </c>
      <c r="BI655">
        <f ca="1" xml:space="preserve"> IF( AND( OFFSET($A$1, 655 - 1, 59 - 1) = "1", OFFSET($A$1, 655 - 1, 60 - 1) = "1" ), 1, IF( AND( OFFSET($A$1, 655 - 1, 59 - 1) = "1", OFFSET($A$1, 655 - 1, 60 - 1) = "0" ), 2, IF( AND( OFFSET($A$1, 655 - 1, 59 - 1) = "0", OFFSET($A$1, 655 - 1, 60 - 1) = "1" ), 3, 4 ) ) )</f>
        <v>4</v>
      </c>
      <c r="BK655" s="3">
        <v>6.6350710900473939E-2</v>
      </c>
      <c r="BL655" s="3" t="str">
        <f t="shared" si="72"/>
        <v>0</v>
      </c>
      <c r="BM655" t="str">
        <f ca="1">IF((OFFSET($A$1, 655 - 1, 63 - 1)) &gt;= (OFFSET($A$1, 135 - 1, 7 - 1)), "1","0")</f>
        <v>0</v>
      </c>
      <c r="BN655">
        <f ca="1" xml:space="preserve"> IF( AND( OFFSET($A$1, 655 - 1, 64 - 1) = "1", OFFSET($A$1, 655 - 1, 65 - 1) = "1" ), 1, IF( AND( OFFSET($A$1, 655 - 1, 64 - 1) = "1", OFFSET($A$1, 655 - 1, 65 - 1) = "0" ), 2, IF( AND( OFFSET($A$1, 655 - 1, 64 - 1) = "0", OFFSET($A$1, 655 - 1, 65 - 1) = "1" ), 3, 4 ) ) )</f>
        <v>4</v>
      </c>
    </row>
    <row r="656" spans="58:66" x14ac:dyDescent="0.2">
      <c r="BF656" s="3">
        <v>3.7037037037037042E-2</v>
      </c>
      <c r="BG656" s="3" t="str">
        <f t="shared" si="73"/>
        <v>0</v>
      </c>
      <c r="BH656" t="str">
        <f ca="1">IF((OFFSET($A$1, 656 - 1, 58 - 1)) &gt;= (OFFSET($A$1, 96 - 1, 7 - 1)), "1","0")</f>
        <v>0</v>
      </c>
      <c r="BI656">
        <f ca="1" xml:space="preserve"> IF( AND( OFFSET($A$1, 656 - 1, 59 - 1) = "1", OFFSET($A$1, 656 - 1, 60 - 1) = "1" ), 1, IF( AND( OFFSET($A$1, 656 - 1, 59 - 1) = "1", OFFSET($A$1, 656 - 1, 60 - 1) = "0" ), 2, IF( AND( OFFSET($A$1, 656 - 1, 59 - 1) = "0", OFFSET($A$1, 656 - 1, 60 - 1) = "1" ), 3, 4 ) ) )</f>
        <v>4</v>
      </c>
      <c r="BK656" s="3">
        <v>6.6350710900473939E-2</v>
      </c>
      <c r="BL656" s="3" t="str">
        <f t="shared" si="72"/>
        <v>0</v>
      </c>
      <c r="BM656" t="str">
        <f ca="1">IF((OFFSET($A$1, 656 - 1, 63 - 1)) &gt;= (OFFSET($A$1, 135 - 1, 7 - 1)), "1","0")</f>
        <v>0</v>
      </c>
      <c r="BN656">
        <f ca="1" xml:space="preserve"> IF( AND( OFFSET($A$1, 656 - 1, 64 - 1) = "1", OFFSET($A$1, 656 - 1, 65 - 1) = "1" ), 1, IF( AND( OFFSET($A$1, 656 - 1, 64 - 1) = "1", OFFSET($A$1, 656 - 1, 65 - 1) = "0" ), 2, IF( AND( OFFSET($A$1, 656 - 1, 64 - 1) = "0", OFFSET($A$1, 656 - 1, 65 - 1) = "1" ), 3, 4 ) ) )</f>
        <v>4</v>
      </c>
    </row>
    <row r="657" spans="58:66" x14ac:dyDescent="0.2">
      <c r="BF657" s="3">
        <v>4.3478260869565216E-2</v>
      </c>
      <c r="BG657" s="3" t="str">
        <f t="shared" si="73"/>
        <v>0</v>
      </c>
      <c r="BH657" t="str">
        <f ca="1">IF((OFFSET($A$1, 657 - 1, 58 - 1)) &gt;= (OFFSET($A$1, 96 - 1, 7 - 1)), "1","0")</f>
        <v>0</v>
      </c>
      <c r="BI657">
        <f ca="1" xml:space="preserve"> IF( AND( OFFSET($A$1, 657 - 1, 59 - 1) = "1", OFFSET($A$1, 657 - 1, 60 - 1) = "1" ), 1, IF( AND( OFFSET($A$1, 657 - 1, 59 - 1) = "1", OFFSET($A$1, 657 - 1, 60 - 1) = "0" ), 2, IF( AND( OFFSET($A$1, 657 - 1, 59 - 1) = "0", OFFSET($A$1, 657 - 1, 60 - 1) = "1" ), 3, 4 ) ) )</f>
        <v>4</v>
      </c>
      <c r="BK657" s="3">
        <v>6.6350710900473939E-2</v>
      </c>
      <c r="BL657" s="3" t="str">
        <f t="shared" si="72"/>
        <v>0</v>
      </c>
      <c r="BM657" t="str">
        <f ca="1">IF((OFFSET($A$1, 657 - 1, 63 - 1)) &gt;= (OFFSET($A$1, 135 - 1, 7 - 1)), "1","0")</f>
        <v>0</v>
      </c>
      <c r="BN657">
        <f ca="1" xml:space="preserve"> IF( AND( OFFSET($A$1, 657 - 1, 64 - 1) = "1", OFFSET($A$1, 657 - 1, 65 - 1) = "1" ), 1, IF( AND( OFFSET($A$1, 657 - 1, 64 - 1) = "1", OFFSET($A$1, 657 - 1, 65 - 1) = "0" ), 2, IF( AND( OFFSET($A$1, 657 - 1, 64 - 1) = "0", OFFSET($A$1, 657 - 1, 65 - 1) = "1" ), 3, 4 ) ) )</f>
        <v>4</v>
      </c>
    </row>
    <row r="658" spans="58:66" x14ac:dyDescent="0.2">
      <c r="BF658" s="3">
        <v>0</v>
      </c>
      <c r="BG658" s="3" t="str">
        <f t="shared" si="73"/>
        <v>0</v>
      </c>
      <c r="BH658" t="str">
        <f ca="1">IF((OFFSET($A$1, 658 - 1, 58 - 1)) &gt;= (OFFSET($A$1, 96 - 1, 7 - 1)), "1","0")</f>
        <v>0</v>
      </c>
      <c r="BI658">
        <f ca="1" xml:space="preserve"> IF( AND( OFFSET($A$1, 658 - 1, 59 - 1) = "1", OFFSET($A$1, 658 - 1, 60 - 1) = "1" ), 1, IF( AND( OFFSET($A$1, 658 - 1, 59 - 1) = "1", OFFSET($A$1, 658 - 1, 60 - 1) = "0" ), 2, IF( AND( OFFSET($A$1, 658 - 1, 59 - 1) = "0", OFFSET($A$1, 658 - 1, 60 - 1) = "1" ), 3, 4 ) ) )</f>
        <v>4</v>
      </c>
      <c r="BK658" s="3">
        <v>6.6350710900473939E-2</v>
      </c>
      <c r="BL658" s="3" t="str">
        <f t="shared" si="72"/>
        <v>0</v>
      </c>
      <c r="BM658" t="str">
        <f ca="1">IF((OFFSET($A$1, 658 - 1, 63 - 1)) &gt;= (OFFSET($A$1, 135 - 1, 7 - 1)), "1","0")</f>
        <v>0</v>
      </c>
      <c r="BN658">
        <f ca="1" xml:space="preserve"> IF( AND( OFFSET($A$1, 658 - 1, 64 - 1) = "1", OFFSET($A$1, 658 - 1, 65 - 1) = "1" ), 1, IF( AND( OFFSET($A$1, 658 - 1, 64 - 1) = "1", OFFSET($A$1, 658 - 1, 65 - 1) = "0" ), 2, IF( AND( OFFSET($A$1, 658 - 1, 64 - 1) = "0", OFFSET($A$1, 658 - 1, 65 - 1) = "1" ), 3, 4 ) ) )</f>
        <v>4</v>
      </c>
    </row>
    <row r="659" spans="58:66" x14ac:dyDescent="0.2">
      <c r="BF659" s="3">
        <v>0</v>
      </c>
      <c r="BG659" s="3" t="str">
        <f t="shared" si="73"/>
        <v>0</v>
      </c>
      <c r="BH659" t="str">
        <f ca="1">IF((OFFSET($A$1, 659 - 1, 58 - 1)) &gt;= (OFFSET($A$1, 96 - 1, 7 - 1)), "1","0")</f>
        <v>0</v>
      </c>
      <c r="BI659">
        <f ca="1" xml:space="preserve"> IF( AND( OFFSET($A$1, 659 - 1, 59 - 1) = "1", OFFSET($A$1, 659 - 1, 60 - 1) = "1" ), 1, IF( AND( OFFSET($A$1, 659 - 1, 59 - 1) = "1", OFFSET($A$1, 659 - 1, 60 - 1) = "0" ), 2, IF( AND( OFFSET($A$1, 659 - 1, 59 - 1) = "0", OFFSET($A$1, 659 - 1, 60 - 1) = "1" ), 3, 4 ) ) )</f>
        <v>4</v>
      </c>
      <c r="BK659" s="3">
        <v>6.6350710900473939E-2</v>
      </c>
      <c r="BL659" s="3" t="str">
        <f t="shared" si="72"/>
        <v>0</v>
      </c>
      <c r="BM659" t="str">
        <f ca="1">IF((OFFSET($A$1, 659 - 1, 63 - 1)) &gt;= (OFFSET($A$1, 135 - 1, 7 - 1)), "1","0")</f>
        <v>0</v>
      </c>
      <c r="BN659">
        <f ca="1" xml:space="preserve"> IF( AND( OFFSET($A$1, 659 - 1, 64 - 1) = "1", OFFSET($A$1, 659 - 1, 65 - 1) = "1" ), 1, IF( AND( OFFSET($A$1, 659 - 1, 64 - 1) = "1", OFFSET($A$1, 659 - 1, 65 - 1) = "0" ), 2, IF( AND( OFFSET($A$1, 659 - 1, 64 - 1) = "0", OFFSET($A$1, 659 - 1, 65 - 1) = "1" ), 3, 4 ) ) )</f>
        <v>4</v>
      </c>
    </row>
    <row r="660" spans="58:66" x14ac:dyDescent="0.2">
      <c r="BF660" s="3">
        <v>0</v>
      </c>
      <c r="BG660" s="3" t="str">
        <f t="shared" si="73"/>
        <v>0</v>
      </c>
      <c r="BH660" t="str">
        <f ca="1">IF((OFFSET($A$1, 660 - 1, 58 - 1)) &gt;= (OFFSET($A$1, 96 - 1, 7 - 1)), "1","0")</f>
        <v>0</v>
      </c>
      <c r="BI660">
        <f ca="1" xml:space="preserve"> IF( AND( OFFSET($A$1, 660 - 1, 59 - 1) = "1", OFFSET($A$1, 660 - 1, 60 - 1) = "1" ), 1, IF( AND( OFFSET($A$1, 660 - 1, 59 - 1) = "1", OFFSET($A$1, 660 - 1, 60 - 1) = "0" ), 2, IF( AND( OFFSET($A$1, 660 - 1, 59 - 1) = "0", OFFSET($A$1, 660 - 1, 60 - 1) = "1" ), 3, 4 ) ) )</f>
        <v>4</v>
      </c>
      <c r="BK660" s="3">
        <v>2.5316455696202531E-2</v>
      </c>
      <c r="BL660" s="3" t="str">
        <f t="shared" si="72"/>
        <v>0</v>
      </c>
      <c r="BM660" t="str">
        <f ca="1">IF((OFFSET($A$1, 660 - 1, 63 - 1)) &gt;= (OFFSET($A$1, 135 - 1, 7 - 1)), "1","0")</f>
        <v>0</v>
      </c>
      <c r="BN660">
        <f ca="1" xml:space="preserve"> IF( AND( OFFSET($A$1, 660 - 1, 64 - 1) = "1", OFFSET($A$1, 660 - 1, 65 - 1) = "1" ), 1, IF( AND( OFFSET($A$1, 660 - 1, 64 - 1) = "1", OFFSET($A$1, 660 - 1, 65 - 1) = "0" ), 2, IF( AND( OFFSET($A$1, 660 - 1, 64 - 1) = "0", OFFSET($A$1, 660 - 1, 65 - 1) = "1" ), 3, 4 ) ) )</f>
        <v>4</v>
      </c>
    </row>
    <row r="661" spans="58:66" x14ac:dyDescent="0.2">
      <c r="BF661" s="3">
        <v>0</v>
      </c>
      <c r="BG661" s="3" t="str">
        <f t="shared" si="73"/>
        <v>0</v>
      </c>
      <c r="BH661" t="str">
        <f ca="1">IF((OFFSET($A$1, 661 - 1, 58 - 1)) &gt;= (OFFSET($A$1, 96 - 1, 7 - 1)), "1","0")</f>
        <v>0</v>
      </c>
      <c r="BI661">
        <f ca="1" xml:space="preserve"> IF( AND( OFFSET($A$1, 661 - 1, 59 - 1) = "1", OFFSET($A$1, 661 - 1, 60 - 1) = "1" ), 1, IF( AND( OFFSET($A$1, 661 - 1, 59 - 1) = "1", OFFSET($A$1, 661 - 1, 60 - 1) = "0" ), 2, IF( AND( OFFSET($A$1, 661 - 1, 59 - 1) = "0", OFFSET($A$1, 661 - 1, 60 - 1) = "1" ), 3, 4 ) ) )</f>
        <v>4</v>
      </c>
      <c r="BK661" s="3">
        <v>6.6350710900473939E-2</v>
      </c>
      <c r="BL661" s="3" t="str">
        <f t="shared" si="72"/>
        <v>0</v>
      </c>
      <c r="BM661" t="str">
        <f ca="1">IF((OFFSET($A$1, 661 - 1, 63 - 1)) &gt;= (OFFSET($A$1, 135 - 1, 7 - 1)), "1","0")</f>
        <v>0</v>
      </c>
      <c r="BN661">
        <f ca="1" xml:space="preserve"> IF( AND( OFFSET($A$1, 661 - 1, 64 - 1) = "1", OFFSET($A$1, 661 - 1, 65 - 1) = "1" ), 1, IF( AND( OFFSET($A$1, 661 - 1, 64 - 1) = "1", OFFSET($A$1, 661 - 1, 65 - 1) = "0" ), 2, IF( AND( OFFSET($A$1, 661 - 1, 64 - 1) = "0", OFFSET($A$1, 661 - 1, 65 - 1) = "1" ), 3, 4 ) ) )</f>
        <v>4</v>
      </c>
    </row>
    <row r="662" spans="58:66" x14ac:dyDescent="0.2">
      <c r="BF662" s="3">
        <v>0</v>
      </c>
      <c r="BG662" s="3" t="str">
        <f t="shared" si="73"/>
        <v>0</v>
      </c>
      <c r="BH662" t="str">
        <f ca="1">IF((OFFSET($A$1, 662 - 1, 58 - 1)) &gt;= (OFFSET($A$1, 96 - 1, 7 - 1)), "1","0")</f>
        <v>0</v>
      </c>
      <c r="BI662">
        <f ca="1" xml:space="preserve"> IF( AND( OFFSET($A$1, 662 - 1, 59 - 1) = "1", OFFSET($A$1, 662 - 1, 60 - 1) = "1" ), 1, IF( AND( OFFSET($A$1, 662 - 1, 59 - 1) = "1", OFFSET($A$1, 662 - 1, 60 - 1) = "0" ), 2, IF( AND( OFFSET($A$1, 662 - 1, 59 - 1) = "0", OFFSET($A$1, 662 - 1, 60 - 1) = "1" ), 3, 4 ) ) )</f>
        <v>4</v>
      </c>
      <c r="BK662" s="3">
        <v>6.6350710900473939E-2</v>
      </c>
      <c r="BL662" s="3" t="str">
        <f t="shared" si="72"/>
        <v>0</v>
      </c>
      <c r="BM662" t="str">
        <f ca="1">IF((OFFSET($A$1, 662 - 1, 63 - 1)) &gt;= (OFFSET($A$1, 135 - 1, 7 - 1)), "1","0")</f>
        <v>0</v>
      </c>
      <c r="BN662">
        <f ca="1" xml:space="preserve"> IF( AND( OFFSET($A$1, 662 - 1, 64 - 1) = "1", OFFSET($A$1, 662 - 1, 65 - 1) = "1" ), 1, IF( AND( OFFSET($A$1, 662 - 1, 64 - 1) = "1", OFFSET($A$1, 662 - 1, 65 - 1) = "0" ), 2, IF( AND( OFFSET($A$1, 662 - 1, 64 - 1) = "0", OFFSET($A$1, 662 - 1, 65 - 1) = "1" ), 3, 4 ) ) )</f>
        <v>4</v>
      </c>
    </row>
    <row r="663" spans="58:66" x14ac:dyDescent="0.2">
      <c r="BF663" s="3">
        <v>0.36</v>
      </c>
      <c r="BG663" s="3" t="str">
        <f t="shared" si="73"/>
        <v>0</v>
      </c>
      <c r="BH663" t="str">
        <f ca="1">IF((OFFSET($A$1, 663 - 1, 58 - 1)) &gt;= (OFFSET($A$1, 96 - 1, 7 - 1)), "1","0")</f>
        <v>0</v>
      </c>
      <c r="BI663">
        <f ca="1" xml:space="preserve"> IF( AND( OFFSET($A$1, 663 - 1, 59 - 1) = "1", OFFSET($A$1, 663 - 1, 60 - 1) = "1" ), 1, IF( AND( OFFSET($A$1, 663 - 1, 59 - 1) = "1", OFFSET($A$1, 663 - 1, 60 - 1) = "0" ), 2, IF( AND( OFFSET($A$1, 663 - 1, 59 - 1) = "0", OFFSET($A$1, 663 - 1, 60 - 1) = "1" ), 3, 4 ) ) )</f>
        <v>4</v>
      </c>
      <c r="BK663" s="3">
        <v>6.6350710900473939E-2</v>
      </c>
      <c r="BL663" s="3" t="str">
        <f>"1"</f>
        <v>1</v>
      </c>
      <c r="BM663" t="str">
        <f ca="1">IF((OFFSET($A$1, 663 - 1, 63 - 1)) &gt;= (OFFSET($A$1, 135 - 1, 7 - 1)), "1","0")</f>
        <v>0</v>
      </c>
      <c r="BN663">
        <f ca="1" xml:space="preserve"> IF( AND( OFFSET($A$1, 663 - 1, 64 - 1) = "1", OFFSET($A$1, 663 - 1, 65 - 1) = "1" ), 1, IF( AND( OFFSET($A$1, 663 - 1, 64 - 1) = "1", OFFSET($A$1, 663 - 1, 65 - 1) = "0" ), 2, IF( AND( OFFSET($A$1, 663 - 1, 64 - 1) = "0", OFFSET($A$1, 663 - 1, 65 - 1) = "1" ), 3, 4 ) ) )</f>
        <v>2</v>
      </c>
    </row>
    <row r="664" spans="58:66" x14ac:dyDescent="0.2">
      <c r="BF664" s="3">
        <v>0.08</v>
      </c>
      <c r="BG664" s="3" t="str">
        <f t="shared" si="73"/>
        <v>0</v>
      </c>
      <c r="BH664" t="str">
        <f ca="1">IF((OFFSET($A$1, 664 - 1, 58 - 1)) &gt;= (OFFSET($A$1, 96 - 1, 7 - 1)), "1","0")</f>
        <v>0</v>
      </c>
      <c r="BI664">
        <f ca="1" xml:space="preserve"> IF( AND( OFFSET($A$1, 664 - 1, 59 - 1) = "1", OFFSET($A$1, 664 - 1, 60 - 1) = "1" ), 1, IF( AND( OFFSET($A$1, 664 - 1, 59 - 1) = "1", OFFSET($A$1, 664 - 1, 60 - 1) = "0" ), 2, IF( AND( OFFSET($A$1, 664 - 1, 59 - 1) = "0", OFFSET($A$1, 664 - 1, 60 - 1) = "1" ), 3, 4 ) ) )</f>
        <v>4</v>
      </c>
      <c r="BK664" s="3">
        <v>6.6350710900473939E-2</v>
      </c>
      <c r="BL664" s="3" t="str">
        <f>"0"</f>
        <v>0</v>
      </c>
      <c r="BM664" t="str">
        <f ca="1">IF((OFFSET($A$1, 664 - 1, 63 - 1)) &gt;= (OFFSET($A$1, 135 - 1, 7 - 1)), "1","0")</f>
        <v>0</v>
      </c>
      <c r="BN664">
        <f ca="1" xml:space="preserve"> IF( AND( OFFSET($A$1, 664 - 1, 64 - 1) = "1", OFFSET($A$1, 664 - 1, 65 - 1) = "1" ), 1, IF( AND( OFFSET($A$1, 664 - 1, 64 - 1) = "1", OFFSET($A$1, 664 - 1, 65 - 1) = "0" ), 2, IF( AND( OFFSET($A$1, 664 - 1, 64 - 1) = "0", OFFSET($A$1, 664 - 1, 65 - 1) = "1" ), 3, 4 ) ) )</f>
        <v>4</v>
      </c>
    </row>
    <row r="665" spans="58:66" x14ac:dyDescent="0.2">
      <c r="BF665" s="3">
        <v>0</v>
      </c>
      <c r="BG665" s="3" t="str">
        <f t="shared" si="73"/>
        <v>0</v>
      </c>
      <c r="BH665" t="str">
        <f ca="1">IF((OFFSET($A$1, 665 - 1, 58 - 1)) &gt;= (OFFSET($A$1, 96 - 1, 7 - 1)), "1","0")</f>
        <v>0</v>
      </c>
      <c r="BI665">
        <f ca="1" xml:space="preserve"> IF( AND( OFFSET($A$1, 665 - 1, 59 - 1) = "1", OFFSET($A$1, 665 - 1, 60 - 1) = "1" ), 1, IF( AND( OFFSET($A$1, 665 - 1, 59 - 1) = "1", OFFSET($A$1, 665 - 1, 60 - 1) = "0" ), 2, IF( AND( OFFSET($A$1, 665 - 1, 59 - 1) = "0", OFFSET($A$1, 665 - 1, 60 - 1) = "1" ), 3, 4 ) ) )</f>
        <v>4</v>
      </c>
      <c r="BK665" s="3">
        <v>2.5316455696202531E-2</v>
      </c>
      <c r="BL665" s="3" t="str">
        <f>"1"</f>
        <v>1</v>
      </c>
      <c r="BM665" t="str">
        <f ca="1">IF((OFFSET($A$1, 665 - 1, 63 - 1)) &gt;= (OFFSET($A$1, 135 - 1, 7 - 1)), "1","0")</f>
        <v>0</v>
      </c>
      <c r="BN665">
        <f ca="1" xml:space="preserve"> IF( AND( OFFSET($A$1, 665 - 1, 64 - 1) = "1", OFFSET($A$1, 665 - 1, 65 - 1) = "1" ), 1, IF( AND( OFFSET($A$1, 665 - 1, 64 - 1) = "1", OFFSET($A$1, 665 - 1, 65 - 1) = "0" ), 2, IF( AND( OFFSET($A$1, 665 - 1, 64 - 1) = "0", OFFSET($A$1, 665 - 1, 65 - 1) = "1" ), 3, 4 ) ) )</f>
        <v>2</v>
      </c>
    </row>
    <row r="666" spans="58:66" x14ac:dyDescent="0.2">
      <c r="BF666" s="3">
        <v>0</v>
      </c>
      <c r="BG666" s="3" t="str">
        <f t="shared" si="73"/>
        <v>0</v>
      </c>
      <c r="BH666" t="str">
        <f ca="1">IF((OFFSET($A$1, 666 - 1, 58 - 1)) &gt;= (OFFSET($A$1, 96 - 1, 7 - 1)), "1","0")</f>
        <v>0</v>
      </c>
      <c r="BI666">
        <f ca="1" xml:space="preserve"> IF( AND( OFFSET($A$1, 666 - 1, 59 - 1) = "1", OFFSET($A$1, 666 - 1, 60 - 1) = "1" ), 1, IF( AND( OFFSET($A$1, 666 - 1, 59 - 1) = "1", OFFSET($A$1, 666 - 1, 60 - 1) = "0" ), 2, IF( AND( OFFSET($A$1, 666 - 1, 59 - 1) = "0", OFFSET($A$1, 666 - 1, 60 - 1) = "1" ), 3, 4 ) ) )</f>
        <v>4</v>
      </c>
      <c r="BK666" s="3">
        <v>0.90579710144927539</v>
      </c>
      <c r="BL666" s="3" t="str">
        <f>"1"</f>
        <v>1</v>
      </c>
      <c r="BM666" t="str">
        <f ca="1">IF((OFFSET($A$1, 666 - 1, 63 - 1)) &gt;= (OFFSET($A$1, 135 - 1, 7 - 1)), "1","0")</f>
        <v>1</v>
      </c>
      <c r="BN666">
        <f ca="1" xml:space="preserve"> IF( AND( OFFSET($A$1, 666 - 1, 64 - 1) = "1", OFFSET($A$1, 666 - 1, 65 - 1) = "1" ), 1, IF( AND( OFFSET($A$1, 666 - 1, 64 - 1) = "1", OFFSET($A$1, 666 - 1, 65 - 1) = "0" ), 2, IF( AND( OFFSET($A$1, 666 - 1, 64 - 1) = "0", OFFSET($A$1, 666 - 1, 65 - 1) = "1" ), 3, 4 ) ) )</f>
        <v>1</v>
      </c>
    </row>
    <row r="667" spans="58:66" x14ac:dyDescent="0.2">
      <c r="BF667" s="3">
        <v>0</v>
      </c>
      <c r="BG667" s="3" t="str">
        <f t="shared" si="73"/>
        <v>0</v>
      </c>
      <c r="BH667" t="str">
        <f ca="1">IF((OFFSET($A$1, 667 - 1, 58 - 1)) &gt;= (OFFSET($A$1, 96 - 1, 7 - 1)), "1","0")</f>
        <v>0</v>
      </c>
      <c r="BI667">
        <f ca="1" xml:space="preserve"> IF( AND( OFFSET($A$1, 667 - 1, 59 - 1) = "1", OFFSET($A$1, 667 - 1, 60 - 1) = "1" ), 1, IF( AND( OFFSET($A$1, 667 - 1, 59 - 1) = "1", OFFSET($A$1, 667 - 1, 60 - 1) = "0" ), 2, IF( AND( OFFSET($A$1, 667 - 1, 59 - 1) = "0", OFFSET($A$1, 667 - 1, 60 - 1) = "1" ), 3, 4 ) ) )</f>
        <v>4</v>
      </c>
      <c r="BK667" s="3">
        <v>0.36</v>
      </c>
      <c r="BL667" s="3" t="str">
        <f t="shared" ref="BL667:BL676" si="74">"0"</f>
        <v>0</v>
      </c>
      <c r="BM667" t="str">
        <f ca="1">IF((OFFSET($A$1, 667 - 1, 63 - 1)) &gt;= (OFFSET($A$1, 135 - 1, 7 - 1)), "1","0")</f>
        <v>0</v>
      </c>
      <c r="BN667">
        <f ca="1" xml:space="preserve"> IF( AND( OFFSET($A$1, 667 - 1, 64 - 1) = "1", OFFSET($A$1, 667 - 1, 65 - 1) = "1" ), 1, IF( AND( OFFSET($A$1, 667 - 1, 64 - 1) = "1", OFFSET($A$1, 667 - 1, 65 - 1) = "0" ), 2, IF( AND( OFFSET($A$1, 667 - 1, 64 - 1) = "0", OFFSET($A$1, 667 - 1, 65 - 1) = "1" ), 3, 4 ) ) )</f>
        <v>4</v>
      </c>
    </row>
    <row r="668" spans="58:66" x14ac:dyDescent="0.2">
      <c r="BF668" s="3">
        <v>0.90579710144927539</v>
      </c>
      <c r="BG668" s="3" t="str">
        <f>"1"</f>
        <v>1</v>
      </c>
      <c r="BH668" t="str">
        <f ca="1">IF((OFFSET($A$1, 668 - 1, 58 - 1)) &gt;= (OFFSET($A$1, 96 - 1, 7 - 1)), "1","0")</f>
        <v>1</v>
      </c>
      <c r="BI668">
        <f ca="1" xml:space="preserve"> IF( AND( OFFSET($A$1, 668 - 1, 59 - 1) = "1", OFFSET($A$1, 668 - 1, 60 - 1) = "1" ), 1, IF( AND( OFFSET($A$1, 668 - 1, 59 - 1) = "1", OFFSET($A$1, 668 - 1, 60 - 1) = "0" ), 2, IF( AND( OFFSET($A$1, 668 - 1, 59 - 1) = "0", OFFSET($A$1, 668 - 1, 60 - 1) = "1" ), 3, 4 ) ) )</f>
        <v>1</v>
      </c>
      <c r="BK668" s="3">
        <v>6.6350710900473939E-2</v>
      </c>
      <c r="BL668" s="3" t="str">
        <f t="shared" si="74"/>
        <v>0</v>
      </c>
      <c r="BM668" t="str">
        <f ca="1">IF((OFFSET($A$1, 668 - 1, 63 - 1)) &gt;= (OFFSET($A$1, 135 - 1, 7 - 1)), "1","0")</f>
        <v>0</v>
      </c>
      <c r="BN668">
        <f ca="1" xml:space="preserve"> IF( AND( OFFSET($A$1, 668 - 1, 64 - 1) = "1", OFFSET($A$1, 668 - 1, 65 - 1) = "1" ), 1, IF( AND( OFFSET($A$1, 668 - 1, 64 - 1) = "1", OFFSET($A$1, 668 - 1, 65 - 1) = "0" ), 2, IF( AND( OFFSET($A$1, 668 - 1, 64 - 1) = "0", OFFSET($A$1, 668 - 1, 65 - 1) = "1" ), 3, 4 ) ) )</f>
        <v>4</v>
      </c>
    </row>
    <row r="669" spans="58:66" x14ac:dyDescent="0.2">
      <c r="BF669" s="3">
        <v>3.7037037037037042E-2</v>
      </c>
      <c r="BG669" s="3" t="str">
        <f t="shared" ref="BG669:BG674" si="75">"0"</f>
        <v>0</v>
      </c>
      <c r="BH669" t="str">
        <f ca="1">IF((OFFSET($A$1, 669 - 1, 58 - 1)) &gt;= (OFFSET($A$1, 96 - 1, 7 - 1)), "1","0")</f>
        <v>0</v>
      </c>
      <c r="BI669">
        <f ca="1" xml:space="preserve"> IF( AND( OFFSET($A$1, 669 - 1, 59 - 1) = "1", OFFSET($A$1, 669 - 1, 60 - 1) = "1" ), 1, IF( AND( OFFSET($A$1, 669 - 1, 59 - 1) = "1", OFFSET($A$1, 669 - 1, 60 - 1) = "0" ), 2, IF( AND( OFFSET($A$1, 669 - 1, 59 - 1) = "0", OFFSET($A$1, 669 - 1, 60 - 1) = "1" ), 3, 4 ) ) )</f>
        <v>4</v>
      </c>
      <c r="BK669" s="3">
        <v>6.6350710900473939E-2</v>
      </c>
      <c r="BL669" s="3" t="str">
        <f t="shared" si="74"/>
        <v>0</v>
      </c>
      <c r="BM669" t="str">
        <f ca="1">IF((OFFSET($A$1, 669 - 1, 63 - 1)) &gt;= (OFFSET($A$1, 135 - 1, 7 - 1)), "1","0")</f>
        <v>0</v>
      </c>
      <c r="BN669">
        <f ca="1" xml:space="preserve"> IF( AND( OFFSET($A$1, 669 - 1, 64 - 1) = "1", OFFSET($A$1, 669 - 1, 65 - 1) = "1" ), 1, IF( AND( OFFSET($A$1, 669 - 1, 64 - 1) = "1", OFFSET($A$1, 669 - 1, 65 - 1) = "0" ), 2, IF( AND( OFFSET($A$1, 669 - 1, 64 - 1) = "0", OFFSET($A$1, 669 - 1, 65 - 1) = "1" ), 3, 4 ) ) )</f>
        <v>4</v>
      </c>
    </row>
    <row r="670" spans="58:66" x14ac:dyDescent="0.2">
      <c r="BF670" s="3">
        <v>0</v>
      </c>
      <c r="BG670" s="3" t="str">
        <f t="shared" si="75"/>
        <v>0</v>
      </c>
      <c r="BH670" t="str">
        <f ca="1">IF((OFFSET($A$1, 670 - 1, 58 - 1)) &gt;= (OFFSET($A$1, 96 - 1, 7 - 1)), "1","0")</f>
        <v>0</v>
      </c>
      <c r="BI670">
        <f ca="1" xml:space="preserve"> IF( AND( OFFSET($A$1, 670 - 1, 59 - 1) = "1", OFFSET($A$1, 670 - 1, 60 - 1) = "1" ), 1, IF( AND( OFFSET($A$1, 670 - 1, 59 - 1) = "1", OFFSET($A$1, 670 - 1, 60 - 1) = "0" ), 2, IF( AND( OFFSET($A$1, 670 - 1, 59 - 1) = "0", OFFSET($A$1, 670 - 1, 60 - 1) = "1" ), 3, 4 ) ) )</f>
        <v>4</v>
      </c>
      <c r="BK670" s="3">
        <v>6.6350710900473939E-2</v>
      </c>
      <c r="BL670" s="3" t="str">
        <f t="shared" si="74"/>
        <v>0</v>
      </c>
      <c r="BM670" t="str">
        <f ca="1">IF((OFFSET($A$1, 670 - 1, 63 - 1)) &gt;= (OFFSET($A$1, 135 - 1, 7 - 1)), "1","0")</f>
        <v>0</v>
      </c>
      <c r="BN670">
        <f ca="1" xml:space="preserve"> IF( AND( OFFSET($A$1, 670 - 1, 64 - 1) = "1", OFFSET($A$1, 670 - 1, 65 - 1) = "1" ), 1, IF( AND( OFFSET($A$1, 670 - 1, 64 - 1) = "1", OFFSET($A$1, 670 - 1, 65 - 1) = "0" ), 2, IF( AND( OFFSET($A$1, 670 - 1, 64 - 1) = "0", OFFSET($A$1, 670 - 1, 65 - 1) = "1" ), 3, 4 ) ) )</f>
        <v>4</v>
      </c>
    </row>
    <row r="671" spans="58:66" x14ac:dyDescent="0.2">
      <c r="BF671" s="3">
        <v>0</v>
      </c>
      <c r="BG671" s="3" t="str">
        <f t="shared" si="75"/>
        <v>0</v>
      </c>
      <c r="BH671" t="str">
        <f ca="1">IF((OFFSET($A$1, 671 - 1, 58 - 1)) &gt;= (OFFSET($A$1, 96 - 1, 7 - 1)), "1","0")</f>
        <v>0</v>
      </c>
      <c r="BI671">
        <f ca="1" xml:space="preserve"> IF( AND( OFFSET($A$1, 671 - 1, 59 - 1) = "1", OFFSET($A$1, 671 - 1, 60 - 1) = "1" ), 1, IF( AND( OFFSET($A$1, 671 - 1, 59 - 1) = "1", OFFSET($A$1, 671 - 1, 60 - 1) = "0" ), 2, IF( AND( OFFSET($A$1, 671 - 1, 59 - 1) = "0", OFFSET($A$1, 671 - 1, 60 - 1) = "1" ), 3, 4 ) ) )</f>
        <v>4</v>
      </c>
      <c r="BK671" s="3">
        <v>2.5316455696202531E-2</v>
      </c>
      <c r="BL671" s="3" t="str">
        <f t="shared" si="74"/>
        <v>0</v>
      </c>
      <c r="BM671" t="str">
        <f ca="1">IF((OFFSET($A$1, 671 - 1, 63 - 1)) &gt;= (OFFSET($A$1, 135 - 1, 7 - 1)), "1","0")</f>
        <v>0</v>
      </c>
      <c r="BN671">
        <f ca="1" xml:space="preserve"> IF( AND( OFFSET($A$1, 671 - 1, 64 - 1) = "1", OFFSET($A$1, 671 - 1, 65 - 1) = "1" ), 1, IF( AND( OFFSET($A$1, 671 - 1, 64 - 1) = "1", OFFSET($A$1, 671 - 1, 65 - 1) = "0" ), 2, IF( AND( OFFSET($A$1, 671 - 1, 64 - 1) = "0", OFFSET($A$1, 671 - 1, 65 - 1) = "1" ), 3, 4 ) ) )</f>
        <v>4</v>
      </c>
    </row>
    <row r="672" spans="58:66" x14ac:dyDescent="0.2">
      <c r="BF672" s="3">
        <v>0</v>
      </c>
      <c r="BG672" s="3" t="str">
        <f t="shared" si="75"/>
        <v>0</v>
      </c>
      <c r="BH672" t="str">
        <f ca="1">IF((OFFSET($A$1, 672 - 1, 58 - 1)) &gt;= (OFFSET($A$1, 96 - 1, 7 - 1)), "1","0")</f>
        <v>0</v>
      </c>
      <c r="BI672">
        <f ca="1" xml:space="preserve"> IF( AND( OFFSET($A$1, 672 - 1, 59 - 1) = "1", OFFSET($A$1, 672 - 1, 60 - 1) = "1" ), 1, IF( AND( OFFSET($A$1, 672 - 1, 59 - 1) = "1", OFFSET($A$1, 672 - 1, 60 - 1) = "0" ), 2, IF( AND( OFFSET($A$1, 672 - 1, 59 - 1) = "0", OFFSET($A$1, 672 - 1, 60 - 1) = "1" ), 3, 4 ) ) )</f>
        <v>4</v>
      </c>
      <c r="BK672" s="3">
        <v>6.6350710900473939E-2</v>
      </c>
      <c r="BL672" s="3" t="str">
        <f t="shared" si="74"/>
        <v>0</v>
      </c>
      <c r="BM672" t="str">
        <f ca="1">IF((OFFSET($A$1, 672 - 1, 63 - 1)) &gt;= (OFFSET($A$1, 135 - 1, 7 - 1)), "1","0")</f>
        <v>0</v>
      </c>
      <c r="BN672">
        <f ca="1" xml:space="preserve"> IF( AND( OFFSET($A$1, 672 - 1, 64 - 1) = "1", OFFSET($A$1, 672 - 1, 65 - 1) = "1" ), 1, IF( AND( OFFSET($A$1, 672 - 1, 64 - 1) = "1", OFFSET($A$1, 672 - 1, 65 - 1) = "0" ), 2, IF( AND( OFFSET($A$1, 672 - 1, 64 - 1) = "0", OFFSET($A$1, 672 - 1, 65 - 1) = "1" ), 3, 4 ) ) )</f>
        <v>4</v>
      </c>
    </row>
    <row r="673" spans="58:66" x14ac:dyDescent="0.2">
      <c r="BF673" s="3">
        <v>0</v>
      </c>
      <c r="BG673" s="3" t="str">
        <f t="shared" si="75"/>
        <v>0</v>
      </c>
      <c r="BH673" t="str">
        <f ca="1">IF((OFFSET($A$1, 673 - 1, 58 - 1)) &gt;= (OFFSET($A$1, 96 - 1, 7 - 1)), "1","0")</f>
        <v>0</v>
      </c>
      <c r="BI673">
        <f ca="1" xml:space="preserve"> IF( AND( OFFSET($A$1, 673 - 1, 59 - 1) = "1", OFFSET($A$1, 673 - 1, 60 - 1) = "1" ), 1, IF( AND( OFFSET($A$1, 673 - 1, 59 - 1) = "1", OFFSET($A$1, 673 - 1, 60 - 1) = "0" ), 2, IF( AND( OFFSET($A$1, 673 - 1, 59 - 1) = "0", OFFSET($A$1, 673 - 1, 60 - 1) = "1" ), 3, 4 ) ) )</f>
        <v>4</v>
      </c>
      <c r="BK673" s="3">
        <v>6.6350710900473939E-2</v>
      </c>
      <c r="BL673" s="3" t="str">
        <f t="shared" si="74"/>
        <v>0</v>
      </c>
      <c r="BM673" t="str">
        <f ca="1">IF((OFFSET($A$1, 673 - 1, 63 - 1)) &gt;= (OFFSET($A$1, 135 - 1, 7 - 1)), "1","0")</f>
        <v>0</v>
      </c>
      <c r="BN673">
        <f ca="1" xml:space="preserve"> IF( AND( OFFSET($A$1, 673 - 1, 64 - 1) = "1", OFFSET($A$1, 673 - 1, 65 - 1) = "1" ), 1, IF( AND( OFFSET($A$1, 673 - 1, 64 - 1) = "1", OFFSET($A$1, 673 - 1, 65 - 1) = "0" ), 2, IF( AND( OFFSET($A$1, 673 - 1, 64 - 1) = "0", OFFSET($A$1, 673 - 1, 65 - 1) = "1" ), 3, 4 ) ) )</f>
        <v>4</v>
      </c>
    </row>
    <row r="674" spans="58:66" x14ac:dyDescent="0.2">
      <c r="BF674" s="3">
        <v>0</v>
      </c>
      <c r="BG674" s="3" t="str">
        <f t="shared" si="75"/>
        <v>0</v>
      </c>
      <c r="BH674" t="str">
        <f ca="1">IF((OFFSET($A$1, 674 - 1, 58 - 1)) &gt;= (OFFSET($A$1, 96 - 1, 7 - 1)), "1","0")</f>
        <v>0</v>
      </c>
      <c r="BI674">
        <f ca="1" xml:space="preserve"> IF( AND( OFFSET($A$1, 674 - 1, 59 - 1) = "1", OFFSET($A$1, 674 - 1, 60 - 1) = "1" ), 1, IF( AND( OFFSET($A$1, 674 - 1, 59 - 1) = "1", OFFSET($A$1, 674 - 1, 60 - 1) = "0" ), 2, IF( AND( OFFSET($A$1, 674 - 1, 59 - 1) = "0", OFFSET($A$1, 674 - 1, 60 - 1) = "1" ), 3, 4 ) ) )</f>
        <v>4</v>
      </c>
      <c r="BK674" s="3">
        <v>2.5316455696202531E-2</v>
      </c>
      <c r="BL674" s="3" t="str">
        <f t="shared" si="74"/>
        <v>0</v>
      </c>
      <c r="BM674" t="str">
        <f ca="1">IF((OFFSET($A$1, 674 - 1, 63 - 1)) &gt;= (OFFSET($A$1, 135 - 1, 7 - 1)), "1","0")</f>
        <v>0</v>
      </c>
      <c r="BN674">
        <f ca="1" xml:space="preserve"> IF( AND( OFFSET($A$1, 674 - 1, 64 - 1) = "1", OFFSET($A$1, 674 - 1, 65 - 1) = "1" ), 1, IF( AND( OFFSET($A$1, 674 - 1, 64 - 1) = "1", OFFSET($A$1, 674 - 1, 65 - 1) = "0" ), 2, IF( AND( OFFSET($A$1, 674 - 1, 64 - 1) = "0", OFFSET($A$1, 674 - 1, 65 - 1) = "1" ), 3, 4 ) ) )</f>
        <v>4</v>
      </c>
    </row>
    <row r="675" spans="58:66" x14ac:dyDescent="0.2">
      <c r="BF675" s="3">
        <v>0.90579710144927539</v>
      </c>
      <c r="BG675" s="3" t="str">
        <f>"1"</f>
        <v>1</v>
      </c>
      <c r="BH675" t="str">
        <f ca="1">IF((OFFSET($A$1, 675 - 1, 58 - 1)) &gt;= (OFFSET($A$1, 96 - 1, 7 - 1)), "1","0")</f>
        <v>1</v>
      </c>
      <c r="BI675">
        <f ca="1" xml:space="preserve"> IF( AND( OFFSET($A$1, 675 - 1, 59 - 1) = "1", OFFSET($A$1, 675 - 1, 60 - 1) = "1" ), 1, IF( AND( OFFSET($A$1, 675 - 1, 59 - 1) = "1", OFFSET($A$1, 675 - 1, 60 - 1) = "0" ), 2, IF( AND( OFFSET($A$1, 675 - 1, 59 - 1) = "0", OFFSET($A$1, 675 - 1, 60 - 1) = "1" ), 3, 4 ) ) )</f>
        <v>1</v>
      </c>
      <c r="BK675" s="3">
        <v>6.6350710900473939E-2</v>
      </c>
      <c r="BL675" s="3" t="str">
        <f t="shared" si="74"/>
        <v>0</v>
      </c>
      <c r="BM675" t="str">
        <f ca="1">IF((OFFSET($A$1, 675 - 1, 63 - 1)) &gt;= (OFFSET($A$1, 135 - 1, 7 - 1)), "1","0")</f>
        <v>0</v>
      </c>
      <c r="BN675">
        <f ca="1" xml:space="preserve"> IF( AND( OFFSET($A$1, 675 - 1, 64 - 1) = "1", OFFSET($A$1, 675 - 1, 65 - 1) = "1" ), 1, IF( AND( OFFSET($A$1, 675 - 1, 64 - 1) = "1", OFFSET($A$1, 675 - 1, 65 - 1) = "0" ), 2, IF( AND( OFFSET($A$1, 675 - 1, 64 - 1) = "0", OFFSET($A$1, 675 - 1, 65 - 1) = "1" ), 3, 4 ) ) )</f>
        <v>4</v>
      </c>
    </row>
    <row r="676" spans="58:66" x14ac:dyDescent="0.2">
      <c r="BF676" s="3">
        <v>3.7037037037037042E-2</v>
      </c>
      <c r="BG676" s="3" t="str">
        <f>"0"</f>
        <v>0</v>
      </c>
      <c r="BH676" t="str">
        <f ca="1">IF((OFFSET($A$1, 676 - 1, 58 - 1)) &gt;= (OFFSET($A$1, 96 - 1, 7 - 1)), "1","0")</f>
        <v>0</v>
      </c>
      <c r="BI676">
        <f ca="1" xml:space="preserve"> IF( AND( OFFSET($A$1, 676 - 1, 59 - 1) = "1", OFFSET($A$1, 676 - 1, 60 - 1) = "1" ), 1, IF( AND( OFFSET($A$1, 676 - 1, 59 - 1) = "1", OFFSET($A$1, 676 - 1, 60 - 1) = "0" ), 2, IF( AND( OFFSET($A$1, 676 - 1, 59 - 1) = "0", OFFSET($A$1, 676 - 1, 60 - 1) = "1" ), 3, 4 ) ) )</f>
        <v>4</v>
      </c>
      <c r="BK676" s="3">
        <v>6.6350710900473939E-2</v>
      </c>
      <c r="BL676" s="3" t="str">
        <f t="shared" si="74"/>
        <v>0</v>
      </c>
      <c r="BM676" t="str">
        <f ca="1">IF((OFFSET($A$1, 676 - 1, 63 - 1)) &gt;= (OFFSET($A$1, 135 - 1, 7 - 1)), "1","0")</f>
        <v>0</v>
      </c>
      <c r="BN676">
        <f ca="1" xml:space="preserve"> IF( AND( OFFSET($A$1, 676 - 1, 64 - 1) = "1", OFFSET($A$1, 676 - 1, 65 - 1) = "1" ), 1, IF( AND( OFFSET($A$1, 676 - 1, 64 - 1) = "1", OFFSET($A$1, 676 - 1, 65 - 1) = "0" ), 2, IF( AND( OFFSET($A$1, 676 - 1, 64 - 1) = "0", OFFSET($A$1, 676 - 1, 65 - 1) = "1" ), 3, 4 ) ) )</f>
        <v>4</v>
      </c>
    </row>
    <row r="677" spans="58:66" x14ac:dyDescent="0.2">
      <c r="BF677" s="3">
        <v>0</v>
      </c>
      <c r="BG677" s="3" t="str">
        <f>"0"</f>
        <v>0</v>
      </c>
      <c r="BH677" t="str">
        <f ca="1">IF((OFFSET($A$1, 677 - 1, 58 - 1)) &gt;= (OFFSET($A$1, 96 - 1, 7 - 1)), "1","0")</f>
        <v>0</v>
      </c>
      <c r="BI677">
        <f ca="1" xml:space="preserve"> IF( AND( OFFSET($A$1, 677 - 1, 59 - 1) = "1", OFFSET($A$1, 677 - 1, 60 - 1) = "1" ), 1, IF( AND( OFFSET($A$1, 677 - 1, 59 - 1) = "1", OFFSET($A$1, 677 - 1, 60 - 1) = "0" ), 2, IF( AND( OFFSET($A$1, 677 - 1, 59 - 1) = "0", OFFSET($A$1, 677 - 1, 60 - 1) = "1" ), 3, 4 ) ) )</f>
        <v>4</v>
      </c>
      <c r="BK677" s="3">
        <v>6.6350710900473939E-2</v>
      </c>
      <c r="BL677" s="3" t="str">
        <f>"1"</f>
        <v>1</v>
      </c>
      <c r="BM677" t="str">
        <f ca="1">IF((OFFSET($A$1, 677 - 1, 63 - 1)) &gt;= (OFFSET($A$1, 135 - 1, 7 - 1)), "1","0")</f>
        <v>0</v>
      </c>
      <c r="BN677">
        <f ca="1" xml:space="preserve"> IF( AND( OFFSET($A$1, 677 - 1, 64 - 1) = "1", OFFSET($A$1, 677 - 1, 65 - 1) = "1" ), 1, IF( AND( OFFSET($A$1, 677 - 1, 64 - 1) = "1", OFFSET($A$1, 677 - 1, 65 - 1) = "0" ), 2, IF( AND( OFFSET($A$1, 677 - 1, 64 - 1) = "0", OFFSET($A$1, 677 - 1, 65 - 1) = "1" ), 3, 4 ) ) )</f>
        <v>2</v>
      </c>
    </row>
    <row r="678" spans="58:66" x14ac:dyDescent="0.2">
      <c r="BF678" s="3">
        <v>0.08</v>
      </c>
      <c r="BG678" s="3" t="str">
        <f>"0"</f>
        <v>0</v>
      </c>
      <c r="BH678" t="str">
        <f ca="1">IF((OFFSET($A$1, 678 - 1, 58 - 1)) &gt;= (OFFSET($A$1, 96 - 1, 7 - 1)), "1","0")</f>
        <v>0</v>
      </c>
      <c r="BI678">
        <f ca="1" xml:space="preserve"> IF( AND( OFFSET($A$1, 678 - 1, 59 - 1) = "1", OFFSET($A$1, 678 - 1, 60 - 1) = "1" ), 1, IF( AND( OFFSET($A$1, 678 - 1, 59 - 1) = "1", OFFSET($A$1, 678 - 1, 60 - 1) = "0" ), 2, IF( AND( OFFSET($A$1, 678 - 1, 59 - 1) = "0", OFFSET($A$1, 678 - 1, 60 - 1) = "1" ), 3, 4 ) ) )</f>
        <v>4</v>
      </c>
      <c r="BK678" s="3">
        <v>6.6350710900473939E-2</v>
      </c>
      <c r="BL678" s="3" t="str">
        <f t="shared" ref="BL678:BL693" si="76">"0"</f>
        <v>0</v>
      </c>
      <c r="BM678" t="str">
        <f ca="1">IF((OFFSET($A$1, 678 - 1, 63 - 1)) &gt;= (OFFSET($A$1, 135 - 1, 7 - 1)), "1","0")</f>
        <v>0</v>
      </c>
      <c r="BN678">
        <f ca="1" xml:space="preserve"> IF( AND( OFFSET($A$1, 678 - 1, 64 - 1) = "1", OFFSET($A$1, 678 - 1, 65 - 1) = "1" ), 1, IF( AND( OFFSET($A$1, 678 - 1, 64 - 1) = "1", OFFSET($A$1, 678 - 1, 65 - 1) = "0" ), 2, IF( AND( OFFSET($A$1, 678 - 1, 64 - 1) = "0", OFFSET($A$1, 678 - 1, 65 - 1) = "1" ), 3, 4 ) ) )</f>
        <v>4</v>
      </c>
    </row>
    <row r="679" spans="58:66" x14ac:dyDescent="0.2">
      <c r="BF679" s="3">
        <v>0</v>
      </c>
      <c r="BG679" s="3" t="str">
        <f>"0"</f>
        <v>0</v>
      </c>
      <c r="BH679" t="str">
        <f ca="1">IF((OFFSET($A$1, 679 - 1, 58 - 1)) &gt;= (OFFSET($A$1, 96 - 1, 7 - 1)), "1","0")</f>
        <v>0</v>
      </c>
      <c r="BI679">
        <f ca="1" xml:space="preserve"> IF( AND( OFFSET($A$1, 679 - 1, 59 - 1) = "1", OFFSET($A$1, 679 - 1, 60 - 1) = "1" ), 1, IF( AND( OFFSET($A$1, 679 - 1, 59 - 1) = "1", OFFSET($A$1, 679 - 1, 60 - 1) = "0" ), 2, IF( AND( OFFSET($A$1, 679 - 1, 59 - 1) = "0", OFFSET($A$1, 679 - 1, 60 - 1) = "1" ), 3, 4 ) ) )</f>
        <v>4</v>
      </c>
      <c r="BK679" s="3">
        <v>2.5316455696202531E-2</v>
      </c>
      <c r="BL679" s="3" t="str">
        <f t="shared" si="76"/>
        <v>0</v>
      </c>
      <c r="BM679" t="str">
        <f ca="1">IF((OFFSET($A$1, 679 - 1, 63 - 1)) &gt;= (OFFSET($A$1, 135 - 1, 7 - 1)), "1","0")</f>
        <v>0</v>
      </c>
      <c r="BN679">
        <f ca="1" xml:space="preserve"> IF( AND( OFFSET($A$1, 679 - 1, 64 - 1) = "1", OFFSET($A$1, 679 - 1, 65 - 1) = "1" ), 1, IF( AND( OFFSET($A$1, 679 - 1, 64 - 1) = "1", OFFSET($A$1, 679 - 1, 65 - 1) = "0" ), 2, IF( AND( OFFSET($A$1, 679 - 1, 64 - 1) = "0", OFFSET($A$1, 679 - 1, 65 - 1) = "1" ), 3, 4 ) ) )</f>
        <v>4</v>
      </c>
    </row>
    <row r="680" spans="58:66" x14ac:dyDescent="0.2">
      <c r="BF680" s="3">
        <v>0.90579710144927539</v>
      </c>
      <c r="BG680" s="3" t="str">
        <f>"1"</f>
        <v>1</v>
      </c>
      <c r="BH680" t="str">
        <f ca="1">IF((OFFSET($A$1, 680 - 1, 58 - 1)) &gt;= (OFFSET($A$1, 96 - 1, 7 - 1)), "1","0")</f>
        <v>1</v>
      </c>
      <c r="BI680">
        <f ca="1" xml:space="preserve"> IF( AND( OFFSET($A$1, 680 - 1, 59 - 1) = "1", OFFSET($A$1, 680 - 1, 60 - 1) = "1" ), 1, IF( AND( OFFSET($A$1, 680 - 1, 59 - 1) = "1", OFFSET($A$1, 680 - 1, 60 - 1) = "0" ), 2, IF( AND( OFFSET($A$1, 680 - 1, 59 - 1) = "0", OFFSET($A$1, 680 - 1, 60 - 1) = "1" ), 3, 4 ) ) )</f>
        <v>1</v>
      </c>
      <c r="BK680" s="3">
        <v>6.6350710900473939E-2</v>
      </c>
      <c r="BL680" s="3" t="str">
        <f t="shared" si="76"/>
        <v>0</v>
      </c>
      <c r="BM680" t="str">
        <f ca="1">IF((OFFSET($A$1, 680 - 1, 63 - 1)) &gt;= (OFFSET($A$1, 135 - 1, 7 - 1)), "1","0")</f>
        <v>0</v>
      </c>
      <c r="BN680">
        <f ca="1" xml:space="preserve"> IF( AND( OFFSET($A$1, 680 - 1, 64 - 1) = "1", OFFSET($A$1, 680 - 1, 65 - 1) = "1" ), 1, IF( AND( OFFSET($A$1, 680 - 1, 64 - 1) = "1", OFFSET($A$1, 680 - 1, 65 - 1) = "0" ), 2, IF( AND( OFFSET($A$1, 680 - 1, 64 - 1) = "0", OFFSET($A$1, 680 - 1, 65 - 1) = "1" ), 3, 4 ) ) )</f>
        <v>4</v>
      </c>
    </row>
    <row r="681" spans="58:66" x14ac:dyDescent="0.2">
      <c r="BF681" s="3">
        <v>0</v>
      </c>
      <c r="BG681" s="3" t="str">
        <f t="shared" ref="BG681:BG689" si="77">"0"</f>
        <v>0</v>
      </c>
      <c r="BH681" t="str">
        <f ca="1">IF((OFFSET($A$1, 681 - 1, 58 - 1)) &gt;= (OFFSET($A$1, 96 - 1, 7 - 1)), "1","0")</f>
        <v>0</v>
      </c>
      <c r="BI681">
        <f ca="1" xml:space="preserve"> IF( AND( OFFSET($A$1, 681 - 1, 59 - 1) = "1", OFFSET($A$1, 681 - 1, 60 - 1) = "1" ), 1, IF( AND( OFFSET($A$1, 681 - 1, 59 - 1) = "1", OFFSET($A$1, 681 - 1, 60 - 1) = "0" ), 2, IF( AND( OFFSET($A$1, 681 - 1, 59 - 1) = "0", OFFSET($A$1, 681 - 1, 60 - 1) = "1" ), 3, 4 ) ) )</f>
        <v>4</v>
      </c>
      <c r="BK681" s="3">
        <v>6.6350710900473939E-2</v>
      </c>
      <c r="BL681" s="3" t="str">
        <f t="shared" si="76"/>
        <v>0</v>
      </c>
      <c r="BM681" t="str">
        <f ca="1">IF((OFFSET($A$1, 681 - 1, 63 - 1)) &gt;= (OFFSET($A$1, 135 - 1, 7 - 1)), "1","0")</f>
        <v>0</v>
      </c>
      <c r="BN681">
        <f ca="1" xml:space="preserve"> IF( AND( OFFSET($A$1, 681 - 1, 64 - 1) = "1", OFFSET($A$1, 681 - 1, 65 - 1) = "1" ), 1, IF( AND( OFFSET($A$1, 681 - 1, 64 - 1) = "1", OFFSET($A$1, 681 - 1, 65 - 1) = "0" ), 2, IF( AND( OFFSET($A$1, 681 - 1, 64 - 1) = "0", OFFSET($A$1, 681 - 1, 65 - 1) = "1" ), 3, 4 ) ) )</f>
        <v>4</v>
      </c>
    </row>
    <row r="682" spans="58:66" x14ac:dyDescent="0.2">
      <c r="BF682" s="3">
        <v>0</v>
      </c>
      <c r="BG682" s="3" t="str">
        <f t="shared" si="77"/>
        <v>0</v>
      </c>
      <c r="BH682" t="str">
        <f ca="1">IF((OFFSET($A$1, 682 - 1, 58 - 1)) &gt;= (OFFSET($A$1, 96 - 1, 7 - 1)), "1","0")</f>
        <v>0</v>
      </c>
      <c r="BI682">
        <f ca="1" xml:space="preserve"> IF( AND( OFFSET($A$1, 682 - 1, 59 - 1) = "1", OFFSET($A$1, 682 - 1, 60 - 1) = "1" ), 1, IF( AND( OFFSET($A$1, 682 - 1, 59 - 1) = "1", OFFSET($A$1, 682 - 1, 60 - 1) = "0" ), 2, IF( AND( OFFSET($A$1, 682 - 1, 59 - 1) = "0", OFFSET($A$1, 682 - 1, 60 - 1) = "1" ), 3, 4 ) ) )</f>
        <v>4</v>
      </c>
      <c r="BK682" s="3">
        <v>6.6350710900473939E-2</v>
      </c>
      <c r="BL682" s="3" t="str">
        <f t="shared" si="76"/>
        <v>0</v>
      </c>
      <c r="BM682" t="str">
        <f ca="1">IF((OFFSET($A$1, 682 - 1, 63 - 1)) &gt;= (OFFSET($A$1, 135 - 1, 7 - 1)), "1","0")</f>
        <v>0</v>
      </c>
      <c r="BN682">
        <f ca="1" xml:space="preserve"> IF( AND( OFFSET($A$1, 682 - 1, 64 - 1) = "1", OFFSET($A$1, 682 - 1, 65 - 1) = "1" ), 1, IF( AND( OFFSET($A$1, 682 - 1, 64 - 1) = "1", OFFSET($A$1, 682 - 1, 65 - 1) = "0" ), 2, IF( AND( OFFSET($A$1, 682 - 1, 64 - 1) = "0", OFFSET($A$1, 682 - 1, 65 - 1) = "1" ), 3, 4 ) ) )</f>
        <v>4</v>
      </c>
    </row>
    <row r="683" spans="58:66" x14ac:dyDescent="0.2">
      <c r="BF683" s="3">
        <v>0</v>
      </c>
      <c r="BG683" s="3" t="str">
        <f t="shared" si="77"/>
        <v>0</v>
      </c>
      <c r="BH683" t="str">
        <f ca="1">IF((OFFSET($A$1, 683 - 1, 58 - 1)) &gt;= (OFFSET($A$1, 96 - 1, 7 - 1)), "1","0")</f>
        <v>0</v>
      </c>
      <c r="BI683">
        <f ca="1" xml:space="preserve"> IF( AND( OFFSET($A$1, 683 - 1, 59 - 1) = "1", OFFSET($A$1, 683 - 1, 60 - 1) = "1" ), 1, IF( AND( OFFSET($A$1, 683 - 1, 59 - 1) = "1", OFFSET($A$1, 683 - 1, 60 - 1) = "0" ), 2, IF( AND( OFFSET($A$1, 683 - 1, 59 - 1) = "0", OFFSET($A$1, 683 - 1, 60 - 1) = "1" ), 3, 4 ) ) )</f>
        <v>4</v>
      </c>
      <c r="BK683" s="3">
        <v>6.6350710900473939E-2</v>
      </c>
      <c r="BL683" s="3" t="str">
        <f t="shared" si="76"/>
        <v>0</v>
      </c>
      <c r="BM683" t="str">
        <f ca="1">IF((OFFSET($A$1, 683 - 1, 63 - 1)) &gt;= (OFFSET($A$1, 135 - 1, 7 - 1)), "1","0")</f>
        <v>0</v>
      </c>
      <c r="BN683">
        <f ca="1" xml:space="preserve"> IF( AND( OFFSET($A$1, 683 - 1, 64 - 1) = "1", OFFSET($A$1, 683 - 1, 65 - 1) = "1" ), 1, IF( AND( OFFSET($A$1, 683 - 1, 64 - 1) = "1", OFFSET($A$1, 683 - 1, 65 - 1) = "0" ), 2, IF( AND( OFFSET($A$1, 683 - 1, 64 - 1) = "0", OFFSET($A$1, 683 - 1, 65 - 1) = "1" ), 3, 4 ) ) )</f>
        <v>4</v>
      </c>
    </row>
    <row r="684" spans="58:66" x14ac:dyDescent="0.2">
      <c r="BF684" s="3">
        <v>0</v>
      </c>
      <c r="BG684" s="3" t="str">
        <f t="shared" si="77"/>
        <v>0</v>
      </c>
      <c r="BH684" t="str">
        <f ca="1">IF((OFFSET($A$1, 684 - 1, 58 - 1)) &gt;= (OFFSET($A$1, 96 - 1, 7 - 1)), "1","0")</f>
        <v>0</v>
      </c>
      <c r="BI684">
        <f ca="1" xml:space="preserve"> IF( AND( OFFSET($A$1, 684 - 1, 59 - 1) = "1", OFFSET($A$1, 684 - 1, 60 - 1) = "1" ), 1, IF( AND( OFFSET($A$1, 684 - 1, 59 - 1) = "1", OFFSET($A$1, 684 - 1, 60 - 1) = "0" ), 2, IF( AND( OFFSET($A$1, 684 - 1, 59 - 1) = "0", OFFSET($A$1, 684 - 1, 60 - 1) = "1" ), 3, 4 ) ) )</f>
        <v>4</v>
      </c>
      <c r="BK684" s="3">
        <v>6.6350710900473939E-2</v>
      </c>
      <c r="BL684" s="3" t="str">
        <f t="shared" si="76"/>
        <v>0</v>
      </c>
      <c r="BM684" t="str">
        <f ca="1">IF((OFFSET($A$1, 684 - 1, 63 - 1)) &gt;= (OFFSET($A$1, 135 - 1, 7 - 1)), "1","0")</f>
        <v>0</v>
      </c>
      <c r="BN684">
        <f ca="1" xml:space="preserve"> IF( AND( OFFSET($A$1, 684 - 1, 64 - 1) = "1", OFFSET($A$1, 684 - 1, 65 - 1) = "1" ), 1, IF( AND( OFFSET($A$1, 684 - 1, 64 - 1) = "1", OFFSET($A$1, 684 - 1, 65 - 1) = "0" ), 2, IF( AND( OFFSET($A$1, 684 - 1, 64 - 1) = "0", OFFSET($A$1, 684 - 1, 65 - 1) = "1" ), 3, 4 ) ) )</f>
        <v>4</v>
      </c>
    </row>
    <row r="685" spans="58:66" x14ac:dyDescent="0.2">
      <c r="BF685" s="3">
        <v>0</v>
      </c>
      <c r="BG685" s="3" t="str">
        <f t="shared" si="77"/>
        <v>0</v>
      </c>
      <c r="BH685" t="str">
        <f ca="1">IF((OFFSET($A$1, 685 - 1, 58 - 1)) &gt;= (OFFSET($A$1, 96 - 1, 7 - 1)), "1","0")</f>
        <v>0</v>
      </c>
      <c r="BI685">
        <f ca="1" xml:space="preserve"> IF( AND( OFFSET($A$1, 685 - 1, 59 - 1) = "1", OFFSET($A$1, 685 - 1, 60 - 1) = "1" ), 1, IF( AND( OFFSET($A$1, 685 - 1, 59 - 1) = "1", OFFSET($A$1, 685 - 1, 60 - 1) = "0" ), 2, IF( AND( OFFSET($A$1, 685 - 1, 59 - 1) = "0", OFFSET($A$1, 685 - 1, 60 - 1) = "1" ), 3, 4 ) ) )</f>
        <v>4</v>
      </c>
      <c r="BK685" s="3">
        <v>2.5316455696202531E-2</v>
      </c>
      <c r="BL685" s="3" t="str">
        <f t="shared" si="76"/>
        <v>0</v>
      </c>
      <c r="BM685" t="str">
        <f ca="1">IF((OFFSET($A$1, 685 - 1, 63 - 1)) &gt;= (OFFSET($A$1, 135 - 1, 7 - 1)), "1","0")</f>
        <v>0</v>
      </c>
      <c r="BN685">
        <f ca="1" xml:space="preserve"> IF( AND( OFFSET($A$1, 685 - 1, 64 - 1) = "1", OFFSET($A$1, 685 - 1, 65 - 1) = "1" ), 1, IF( AND( OFFSET($A$1, 685 - 1, 64 - 1) = "1", OFFSET($A$1, 685 - 1, 65 - 1) = "0" ), 2, IF( AND( OFFSET($A$1, 685 - 1, 64 - 1) = "0", OFFSET($A$1, 685 - 1, 65 - 1) = "1" ), 3, 4 ) ) )</f>
        <v>4</v>
      </c>
    </row>
    <row r="686" spans="58:66" x14ac:dyDescent="0.2">
      <c r="BF686" s="3">
        <v>0.36</v>
      </c>
      <c r="BG686" s="3" t="str">
        <f t="shared" si="77"/>
        <v>0</v>
      </c>
      <c r="BH686" t="str">
        <f ca="1">IF((OFFSET($A$1, 686 - 1, 58 - 1)) &gt;= (OFFSET($A$1, 96 - 1, 7 - 1)), "1","0")</f>
        <v>0</v>
      </c>
      <c r="BI686">
        <f ca="1" xml:space="preserve"> IF( AND( OFFSET($A$1, 686 - 1, 59 - 1) = "1", OFFSET($A$1, 686 - 1, 60 - 1) = "1" ), 1, IF( AND( OFFSET($A$1, 686 - 1, 59 - 1) = "1", OFFSET($A$1, 686 - 1, 60 - 1) = "0" ), 2, IF( AND( OFFSET($A$1, 686 - 1, 59 - 1) = "0", OFFSET($A$1, 686 - 1, 60 - 1) = "1" ), 3, 4 ) ) )</f>
        <v>4</v>
      </c>
      <c r="BK686" s="3">
        <v>6.6350710900473939E-2</v>
      </c>
      <c r="BL686" s="3" t="str">
        <f t="shared" si="76"/>
        <v>0</v>
      </c>
      <c r="BM686" t="str">
        <f ca="1">IF((OFFSET($A$1, 686 - 1, 63 - 1)) &gt;= (OFFSET($A$1, 135 - 1, 7 - 1)), "1","0")</f>
        <v>0</v>
      </c>
      <c r="BN686">
        <f ca="1" xml:space="preserve"> IF( AND( OFFSET($A$1, 686 - 1, 64 - 1) = "1", OFFSET($A$1, 686 - 1, 65 - 1) = "1" ), 1, IF( AND( OFFSET($A$1, 686 - 1, 64 - 1) = "1", OFFSET($A$1, 686 - 1, 65 - 1) = "0" ), 2, IF( AND( OFFSET($A$1, 686 - 1, 64 - 1) = "0", OFFSET($A$1, 686 - 1, 65 - 1) = "1" ), 3, 4 ) ) )</f>
        <v>4</v>
      </c>
    </row>
    <row r="687" spans="58:66" x14ac:dyDescent="0.2">
      <c r="BF687" s="3">
        <v>0</v>
      </c>
      <c r="BG687" s="3" t="str">
        <f t="shared" si="77"/>
        <v>0</v>
      </c>
      <c r="BH687" t="str">
        <f ca="1">IF((OFFSET($A$1, 687 - 1, 58 - 1)) &gt;= (OFFSET($A$1, 96 - 1, 7 - 1)), "1","0")</f>
        <v>0</v>
      </c>
      <c r="BI687">
        <f ca="1" xml:space="preserve"> IF( AND( OFFSET($A$1, 687 - 1, 59 - 1) = "1", OFFSET($A$1, 687 - 1, 60 - 1) = "1" ), 1, IF( AND( OFFSET($A$1, 687 - 1, 59 - 1) = "1", OFFSET($A$1, 687 - 1, 60 - 1) = "0" ), 2, IF( AND( OFFSET($A$1, 687 - 1, 59 - 1) = "0", OFFSET($A$1, 687 - 1, 60 - 1) = "1" ), 3, 4 ) ) )</f>
        <v>4</v>
      </c>
      <c r="BK687" s="3">
        <v>6.6350710900473939E-2</v>
      </c>
      <c r="BL687" s="3" t="str">
        <f t="shared" si="76"/>
        <v>0</v>
      </c>
      <c r="BM687" t="str">
        <f ca="1">IF((OFFSET($A$1, 687 - 1, 63 - 1)) &gt;= (OFFSET($A$1, 135 - 1, 7 - 1)), "1","0")</f>
        <v>0</v>
      </c>
      <c r="BN687">
        <f ca="1" xml:space="preserve"> IF( AND( OFFSET($A$1, 687 - 1, 64 - 1) = "1", OFFSET($A$1, 687 - 1, 65 - 1) = "1" ), 1, IF( AND( OFFSET($A$1, 687 - 1, 64 - 1) = "1", OFFSET($A$1, 687 - 1, 65 - 1) = "0" ), 2, IF( AND( OFFSET($A$1, 687 - 1, 64 - 1) = "0", OFFSET($A$1, 687 - 1, 65 - 1) = "1" ), 3, 4 ) ) )</f>
        <v>4</v>
      </c>
    </row>
    <row r="688" spans="58:66" x14ac:dyDescent="0.2">
      <c r="BF688" s="3">
        <v>0</v>
      </c>
      <c r="BG688" s="3" t="str">
        <f t="shared" si="77"/>
        <v>0</v>
      </c>
      <c r="BH688" t="str">
        <f ca="1">IF((OFFSET($A$1, 688 - 1, 58 - 1)) &gt;= (OFFSET($A$1, 96 - 1, 7 - 1)), "1","0")</f>
        <v>0</v>
      </c>
      <c r="BI688">
        <f ca="1" xml:space="preserve"> IF( AND( OFFSET($A$1, 688 - 1, 59 - 1) = "1", OFFSET($A$1, 688 - 1, 60 - 1) = "1" ), 1, IF( AND( OFFSET($A$1, 688 - 1, 59 - 1) = "1", OFFSET($A$1, 688 - 1, 60 - 1) = "0" ), 2, IF( AND( OFFSET($A$1, 688 - 1, 59 - 1) = "0", OFFSET($A$1, 688 - 1, 60 - 1) = "1" ), 3, 4 ) ) )</f>
        <v>4</v>
      </c>
      <c r="BK688" s="3">
        <v>6.6350710900473939E-2</v>
      </c>
      <c r="BL688" s="3" t="str">
        <f t="shared" si="76"/>
        <v>0</v>
      </c>
      <c r="BM688" t="str">
        <f ca="1">IF((OFFSET($A$1, 688 - 1, 63 - 1)) &gt;= (OFFSET($A$1, 135 - 1, 7 - 1)), "1","0")</f>
        <v>0</v>
      </c>
      <c r="BN688">
        <f ca="1" xml:space="preserve"> IF( AND( OFFSET($A$1, 688 - 1, 64 - 1) = "1", OFFSET($A$1, 688 - 1, 65 - 1) = "1" ), 1, IF( AND( OFFSET($A$1, 688 - 1, 64 - 1) = "1", OFFSET($A$1, 688 - 1, 65 - 1) = "0" ), 2, IF( AND( OFFSET($A$1, 688 - 1, 64 - 1) = "0", OFFSET($A$1, 688 - 1, 65 - 1) = "1" ), 3, 4 ) ) )</f>
        <v>4</v>
      </c>
    </row>
    <row r="689" spans="58:66" x14ac:dyDescent="0.2">
      <c r="BF689" s="3">
        <v>0</v>
      </c>
      <c r="BG689" s="3" t="str">
        <f t="shared" si="77"/>
        <v>0</v>
      </c>
      <c r="BH689" t="str">
        <f ca="1">IF((OFFSET($A$1, 689 - 1, 58 - 1)) &gt;= (OFFSET($A$1, 96 - 1, 7 - 1)), "1","0")</f>
        <v>0</v>
      </c>
      <c r="BI689">
        <f ca="1" xml:space="preserve"> IF( AND( OFFSET($A$1, 689 - 1, 59 - 1) = "1", OFFSET($A$1, 689 - 1, 60 - 1) = "1" ), 1, IF( AND( OFFSET($A$1, 689 - 1, 59 - 1) = "1", OFFSET($A$1, 689 - 1, 60 - 1) = "0" ), 2, IF( AND( OFFSET($A$1, 689 - 1, 59 - 1) = "0", OFFSET($A$1, 689 - 1, 60 - 1) = "1" ), 3, 4 ) ) )</f>
        <v>4</v>
      </c>
      <c r="BK689" s="3">
        <v>6.6350710900473939E-2</v>
      </c>
      <c r="BL689" s="3" t="str">
        <f t="shared" si="76"/>
        <v>0</v>
      </c>
      <c r="BM689" t="str">
        <f ca="1">IF((OFFSET($A$1, 689 - 1, 63 - 1)) &gt;= (OFFSET($A$1, 135 - 1, 7 - 1)), "1","0")</f>
        <v>0</v>
      </c>
      <c r="BN689">
        <f ca="1" xml:space="preserve"> IF( AND( OFFSET($A$1, 689 - 1, 64 - 1) = "1", OFFSET($A$1, 689 - 1, 65 - 1) = "1" ), 1, IF( AND( OFFSET($A$1, 689 - 1, 64 - 1) = "1", OFFSET($A$1, 689 - 1, 65 - 1) = "0" ), 2, IF( AND( OFFSET($A$1, 689 - 1, 64 - 1) = "0", OFFSET($A$1, 689 - 1, 65 - 1) = "1" ), 3, 4 ) ) )</f>
        <v>4</v>
      </c>
    </row>
    <row r="690" spans="58:66" x14ac:dyDescent="0.2">
      <c r="BF690" s="3">
        <v>0.90579710144927539</v>
      </c>
      <c r="BG690" s="3" t="str">
        <f>"1"</f>
        <v>1</v>
      </c>
      <c r="BH690" t="str">
        <f ca="1">IF((OFFSET($A$1, 690 - 1, 58 - 1)) &gt;= (OFFSET($A$1, 96 - 1, 7 - 1)), "1","0")</f>
        <v>1</v>
      </c>
      <c r="BI690">
        <f ca="1" xml:space="preserve"> IF( AND( OFFSET($A$1, 690 - 1, 59 - 1) = "1", OFFSET($A$1, 690 - 1, 60 - 1) = "1" ), 1, IF( AND( OFFSET($A$1, 690 - 1, 59 - 1) = "1", OFFSET($A$1, 690 - 1, 60 - 1) = "0" ), 2, IF( AND( OFFSET($A$1, 690 - 1, 59 - 1) = "0", OFFSET($A$1, 690 - 1, 60 - 1) = "1" ), 3, 4 ) ) )</f>
        <v>1</v>
      </c>
      <c r="BK690" s="3">
        <v>6.6350710900473939E-2</v>
      </c>
      <c r="BL690" s="3" t="str">
        <f t="shared" si="76"/>
        <v>0</v>
      </c>
      <c r="BM690" t="str">
        <f ca="1">IF((OFFSET($A$1, 690 - 1, 63 - 1)) &gt;= (OFFSET($A$1, 135 - 1, 7 - 1)), "1","0")</f>
        <v>0</v>
      </c>
      <c r="BN690">
        <f ca="1" xml:space="preserve"> IF( AND( OFFSET($A$1, 690 - 1, 64 - 1) = "1", OFFSET($A$1, 690 - 1, 65 - 1) = "1" ), 1, IF( AND( OFFSET($A$1, 690 - 1, 64 - 1) = "1", OFFSET($A$1, 690 - 1, 65 - 1) = "0" ), 2, IF( AND( OFFSET($A$1, 690 - 1, 64 - 1) = "0", OFFSET($A$1, 690 - 1, 65 - 1) = "1" ), 3, 4 ) ) )</f>
        <v>4</v>
      </c>
    </row>
    <row r="691" spans="58:66" x14ac:dyDescent="0.2">
      <c r="BF691" s="3">
        <v>3.7037037037037042E-2</v>
      </c>
      <c r="BG691" s="3" t="str">
        <f>"0"</f>
        <v>0</v>
      </c>
      <c r="BH691" t="str">
        <f ca="1">IF((OFFSET($A$1, 691 - 1, 58 - 1)) &gt;= (OFFSET($A$1, 96 - 1, 7 - 1)), "1","0")</f>
        <v>0</v>
      </c>
      <c r="BI691">
        <f ca="1" xml:space="preserve"> IF( AND( OFFSET($A$1, 691 - 1, 59 - 1) = "1", OFFSET($A$1, 691 - 1, 60 - 1) = "1" ), 1, IF( AND( OFFSET($A$1, 691 - 1, 59 - 1) = "1", OFFSET($A$1, 691 - 1, 60 - 1) = "0" ), 2, IF( AND( OFFSET($A$1, 691 - 1, 59 - 1) = "0", OFFSET($A$1, 691 - 1, 60 - 1) = "1" ), 3, 4 ) ) )</f>
        <v>4</v>
      </c>
      <c r="BK691" s="3">
        <v>6.6350710900473939E-2</v>
      </c>
      <c r="BL691" s="3" t="str">
        <f t="shared" si="76"/>
        <v>0</v>
      </c>
      <c r="BM691" t="str">
        <f ca="1">IF((OFFSET($A$1, 691 - 1, 63 - 1)) &gt;= (OFFSET($A$1, 135 - 1, 7 - 1)), "1","0")</f>
        <v>0</v>
      </c>
      <c r="BN691">
        <f ca="1" xml:space="preserve"> IF( AND( OFFSET($A$1, 691 - 1, 64 - 1) = "1", OFFSET($A$1, 691 - 1, 65 - 1) = "1" ), 1, IF( AND( OFFSET($A$1, 691 - 1, 64 - 1) = "1", OFFSET($A$1, 691 - 1, 65 - 1) = "0" ), 2, IF( AND( OFFSET($A$1, 691 - 1, 64 - 1) = "0", OFFSET($A$1, 691 - 1, 65 - 1) = "1" ), 3, 4 ) ) )</f>
        <v>4</v>
      </c>
    </row>
    <row r="692" spans="58:66" x14ac:dyDescent="0.2">
      <c r="BF692" s="3">
        <v>0</v>
      </c>
      <c r="BG692" s="3" t="str">
        <f>"0"</f>
        <v>0</v>
      </c>
      <c r="BH692" t="str">
        <f ca="1">IF((OFFSET($A$1, 692 - 1, 58 - 1)) &gt;= (OFFSET($A$1, 96 - 1, 7 - 1)), "1","0")</f>
        <v>0</v>
      </c>
      <c r="BI692">
        <f ca="1" xml:space="preserve"> IF( AND( OFFSET($A$1, 692 - 1, 59 - 1) = "1", OFFSET($A$1, 692 - 1, 60 - 1) = "1" ), 1, IF( AND( OFFSET($A$1, 692 - 1, 59 - 1) = "1", OFFSET($A$1, 692 - 1, 60 - 1) = "0" ), 2, IF( AND( OFFSET($A$1, 692 - 1, 59 - 1) = "0", OFFSET($A$1, 692 - 1, 60 - 1) = "1" ), 3, 4 ) ) )</f>
        <v>4</v>
      </c>
      <c r="BK692" s="3">
        <v>6.6350710900473939E-2</v>
      </c>
      <c r="BL692" s="3" t="str">
        <f t="shared" si="76"/>
        <v>0</v>
      </c>
      <c r="BM692" t="str">
        <f ca="1">IF((OFFSET($A$1, 692 - 1, 63 - 1)) &gt;= (OFFSET($A$1, 135 - 1, 7 - 1)), "1","0")</f>
        <v>0</v>
      </c>
      <c r="BN692">
        <f ca="1" xml:space="preserve"> IF( AND( OFFSET($A$1, 692 - 1, 64 - 1) = "1", OFFSET($A$1, 692 - 1, 65 - 1) = "1" ), 1, IF( AND( OFFSET($A$1, 692 - 1, 64 - 1) = "1", OFFSET($A$1, 692 - 1, 65 - 1) = "0" ), 2, IF( AND( OFFSET($A$1, 692 - 1, 64 - 1) = "0", OFFSET($A$1, 692 - 1, 65 - 1) = "1" ), 3, 4 ) ) )</f>
        <v>4</v>
      </c>
    </row>
    <row r="693" spans="58:66" x14ac:dyDescent="0.2">
      <c r="BF693" s="3">
        <v>0</v>
      </c>
      <c r="BG693" s="3" t="str">
        <f>"0"</f>
        <v>0</v>
      </c>
      <c r="BH693" t="str">
        <f ca="1">IF((OFFSET($A$1, 693 - 1, 58 - 1)) &gt;= (OFFSET($A$1, 96 - 1, 7 - 1)), "1","0")</f>
        <v>0</v>
      </c>
      <c r="BI693">
        <f ca="1" xml:space="preserve"> IF( AND( OFFSET($A$1, 693 - 1, 59 - 1) = "1", OFFSET($A$1, 693 - 1, 60 - 1) = "1" ), 1, IF( AND( OFFSET($A$1, 693 - 1, 59 - 1) = "1", OFFSET($A$1, 693 - 1, 60 - 1) = "0" ), 2, IF( AND( OFFSET($A$1, 693 - 1, 59 - 1) = "0", OFFSET($A$1, 693 - 1, 60 - 1) = "1" ), 3, 4 ) ) )</f>
        <v>4</v>
      </c>
      <c r="BK693" s="3">
        <v>0.36</v>
      </c>
      <c r="BL693" s="3" t="str">
        <f t="shared" si="76"/>
        <v>0</v>
      </c>
      <c r="BM693" t="str">
        <f ca="1">IF((OFFSET($A$1, 693 - 1, 63 - 1)) &gt;= (OFFSET($A$1, 135 - 1, 7 - 1)), "1","0")</f>
        <v>0</v>
      </c>
      <c r="BN693">
        <f ca="1" xml:space="preserve"> IF( AND( OFFSET($A$1, 693 - 1, 64 - 1) = "1", OFFSET($A$1, 693 - 1, 65 - 1) = "1" ), 1, IF( AND( OFFSET($A$1, 693 - 1, 64 - 1) = "1", OFFSET($A$1, 693 - 1, 65 - 1) = "0" ), 2, IF( AND( OFFSET($A$1, 693 - 1, 64 - 1) = "0", OFFSET($A$1, 693 - 1, 65 - 1) = "1" ), 3, 4 ) ) )</f>
        <v>4</v>
      </c>
    </row>
    <row r="694" spans="58:66" x14ac:dyDescent="0.2">
      <c r="BF694" s="3">
        <v>0</v>
      </c>
      <c r="BG694" s="3" t="str">
        <f>"0"</f>
        <v>0</v>
      </c>
      <c r="BH694" t="str">
        <f ca="1">IF((OFFSET($A$1, 694 - 1, 58 - 1)) &gt;= (OFFSET($A$1, 96 - 1, 7 - 1)), "1","0")</f>
        <v>0</v>
      </c>
      <c r="BI694">
        <f ca="1" xml:space="preserve"> IF( AND( OFFSET($A$1, 694 - 1, 59 - 1) = "1", OFFSET($A$1, 694 - 1, 60 - 1) = "1" ), 1, IF( AND( OFFSET($A$1, 694 - 1, 59 - 1) = "1", OFFSET($A$1, 694 - 1, 60 - 1) = "0" ), 2, IF( AND( OFFSET($A$1, 694 - 1, 59 - 1) = "0", OFFSET($A$1, 694 - 1, 60 - 1) = "1" ), 3, 4 ) ) )</f>
        <v>4</v>
      </c>
      <c r="BK694" s="3">
        <v>0.36</v>
      </c>
      <c r="BL694" s="3" t="str">
        <f>"1"</f>
        <v>1</v>
      </c>
      <c r="BM694" t="str">
        <f ca="1">IF((OFFSET($A$1, 694 - 1, 63 - 1)) &gt;= (OFFSET($A$1, 135 - 1, 7 - 1)), "1","0")</f>
        <v>0</v>
      </c>
      <c r="BN694">
        <f ca="1" xml:space="preserve"> IF( AND( OFFSET($A$1, 694 - 1, 64 - 1) = "1", OFFSET($A$1, 694 - 1, 65 - 1) = "1" ), 1, IF( AND( OFFSET($A$1, 694 - 1, 64 - 1) = "1", OFFSET($A$1, 694 - 1, 65 - 1) = "0" ), 2, IF( AND( OFFSET($A$1, 694 - 1, 64 - 1) = "0", OFFSET($A$1, 694 - 1, 65 - 1) = "1" ), 3, 4 ) ) )</f>
        <v>2</v>
      </c>
    </row>
    <row r="695" spans="58:66" x14ac:dyDescent="0.2">
      <c r="BF695" s="3">
        <v>0.90579710144927539</v>
      </c>
      <c r="BG695" s="3" t="str">
        <f>"1"</f>
        <v>1</v>
      </c>
      <c r="BH695" t="str">
        <f ca="1">IF((OFFSET($A$1, 695 - 1, 58 - 1)) &gt;= (OFFSET($A$1, 96 - 1, 7 - 1)), "1","0")</f>
        <v>1</v>
      </c>
      <c r="BI695">
        <f ca="1" xml:space="preserve"> IF( AND( OFFSET($A$1, 695 - 1, 59 - 1) = "1", OFFSET($A$1, 695 - 1, 60 - 1) = "1" ), 1, IF( AND( OFFSET($A$1, 695 - 1, 59 - 1) = "1", OFFSET($A$1, 695 - 1, 60 - 1) = "0" ), 2, IF( AND( OFFSET($A$1, 695 - 1, 59 - 1) = "0", OFFSET($A$1, 695 - 1, 60 - 1) = "1" ), 3, 4 ) ) )</f>
        <v>1</v>
      </c>
      <c r="BK695" s="3">
        <v>6.6350710900473939E-2</v>
      </c>
      <c r="BL695" s="3" t="str">
        <f>"0"</f>
        <v>0</v>
      </c>
      <c r="BM695" t="str">
        <f ca="1">IF((OFFSET($A$1, 695 - 1, 63 - 1)) &gt;= (OFFSET($A$1, 135 - 1, 7 - 1)), "1","0")</f>
        <v>0</v>
      </c>
      <c r="BN695">
        <f ca="1" xml:space="preserve"> IF( AND( OFFSET($A$1, 695 - 1, 64 - 1) = "1", OFFSET($A$1, 695 - 1, 65 - 1) = "1" ), 1, IF( AND( OFFSET($A$1, 695 - 1, 64 - 1) = "1", OFFSET($A$1, 695 - 1, 65 - 1) = "0" ), 2, IF( AND( OFFSET($A$1, 695 - 1, 64 - 1) = "0", OFFSET($A$1, 695 - 1, 65 - 1) = "1" ), 3, 4 ) ) )</f>
        <v>4</v>
      </c>
    </row>
    <row r="696" spans="58:66" x14ac:dyDescent="0.2">
      <c r="BF696" s="3">
        <v>0</v>
      </c>
      <c r="BG696" s="3" t="str">
        <f>"0"</f>
        <v>0</v>
      </c>
      <c r="BH696" t="str">
        <f ca="1">IF((OFFSET($A$1, 696 - 1, 58 - 1)) &gt;= (OFFSET($A$1, 96 - 1, 7 - 1)), "1","0")</f>
        <v>0</v>
      </c>
      <c r="BI696">
        <f ca="1" xml:space="preserve"> IF( AND( OFFSET($A$1, 696 - 1, 59 - 1) = "1", OFFSET($A$1, 696 - 1, 60 - 1) = "1" ), 1, IF( AND( OFFSET($A$1, 696 - 1, 59 - 1) = "1", OFFSET($A$1, 696 - 1, 60 - 1) = "0" ), 2, IF( AND( OFFSET($A$1, 696 - 1, 59 - 1) = "0", OFFSET($A$1, 696 - 1, 60 - 1) = "1" ), 3, 4 ) ) )</f>
        <v>4</v>
      </c>
      <c r="BK696" s="3">
        <v>6.6350710900473939E-2</v>
      </c>
      <c r="BL696" s="3" t="str">
        <f>"0"</f>
        <v>0</v>
      </c>
      <c r="BM696" t="str">
        <f ca="1">IF((OFFSET($A$1, 696 - 1, 63 - 1)) &gt;= (OFFSET($A$1, 135 - 1, 7 - 1)), "1","0")</f>
        <v>0</v>
      </c>
      <c r="BN696">
        <f ca="1" xml:space="preserve"> IF( AND( OFFSET($A$1, 696 - 1, 64 - 1) = "1", OFFSET($A$1, 696 - 1, 65 - 1) = "1" ), 1, IF( AND( OFFSET($A$1, 696 - 1, 64 - 1) = "1", OFFSET($A$1, 696 - 1, 65 - 1) = "0" ), 2, IF( AND( OFFSET($A$1, 696 - 1, 64 - 1) = "0", OFFSET($A$1, 696 - 1, 65 - 1) = "1" ), 3, 4 ) ) )</f>
        <v>4</v>
      </c>
    </row>
    <row r="697" spans="58:66" x14ac:dyDescent="0.2">
      <c r="BF697" s="3">
        <v>0.08</v>
      </c>
      <c r="BG697" s="3" t="str">
        <f>"0"</f>
        <v>0</v>
      </c>
      <c r="BH697" t="str">
        <f ca="1">IF((OFFSET($A$1, 697 - 1, 58 - 1)) &gt;= (OFFSET($A$1, 96 - 1, 7 - 1)), "1","0")</f>
        <v>0</v>
      </c>
      <c r="BI697">
        <f ca="1" xml:space="preserve"> IF( AND( OFFSET($A$1, 697 - 1, 59 - 1) = "1", OFFSET($A$1, 697 - 1, 60 - 1) = "1" ), 1, IF( AND( OFFSET($A$1, 697 - 1, 59 - 1) = "1", OFFSET($A$1, 697 - 1, 60 - 1) = "0" ), 2, IF( AND( OFFSET($A$1, 697 - 1, 59 - 1) = "0", OFFSET($A$1, 697 - 1, 60 - 1) = "1" ), 3, 4 ) ) )</f>
        <v>4</v>
      </c>
      <c r="BK697" s="3">
        <v>6.6350710900473939E-2</v>
      </c>
      <c r="BL697" s="3" t="str">
        <f>"0"</f>
        <v>0</v>
      </c>
      <c r="BM697" t="str">
        <f ca="1">IF((OFFSET($A$1, 697 - 1, 63 - 1)) &gt;= (OFFSET($A$1, 135 - 1, 7 - 1)), "1","0")</f>
        <v>0</v>
      </c>
      <c r="BN697">
        <f ca="1" xml:space="preserve"> IF( AND( OFFSET($A$1, 697 - 1, 64 - 1) = "1", OFFSET($A$1, 697 - 1, 65 - 1) = "1" ), 1, IF( AND( OFFSET($A$1, 697 - 1, 64 - 1) = "1", OFFSET($A$1, 697 - 1, 65 - 1) = "0" ), 2, IF( AND( OFFSET($A$1, 697 - 1, 64 - 1) = "0", OFFSET($A$1, 697 - 1, 65 - 1) = "1" ), 3, 4 ) ) )</f>
        <v>4</v>
      </c>
    </row>
    <row r="698" spans="58:66" x14ac:dyDescent="0.2">
      <c r="BF698" s="3">
        <v>0.47692307692307689</v>
      </c>
      <c r="BG698" s="3" t="str">
        <f>"1"</f>
        <v>1</v>
      </c>
      <c r="BH698" t="str">
        <f ca="1">IF((OFFSET($A$1, 698 - 1, 58 - 1)) &gt;= (OFFSET($A$1, 96 - 1, 7 - 1)), "1","0")</f>
        <v>0</v>
      </c>
      <c r="BI698">
        <f ca="1" xml:space="preserve"> IF( AND( OFFSET($A$1, 698 - 1, 59 - 1) = "1", OFFSET($A$1, 698 - 1, 60 - 1) = "1" ), 1, IF( AND( OFFSET($A$1, 698 - 1, 59 - 1) = "1", OFFSET($A$1, 698 - 1, 60 - 1) = "0" ), 2, IF( AND( OFFSET($A$1, 698 - 1, 59 - 1) = "0", OFFSET($A$1, 698 - 1, 60 - 1) = "1" ), 3, 4 ) ) )</f>
        <v>2</v>
      </c>
      <c r="BK698" s="3">
        <v>2.5316455696202531E-2</v>
      </c>
      <c r="BL698" s="3" t="str">
        <f>"0"</f>
        <v>0</v>
      </c>
      <c r="BM698" t="str">
        <f ca="1">IF((OFFSET($A$1, 698 - 1, 63 - 1)) &gt;= (OFFSET($A$1, 135 - 1, 7 - 1)), "1","0")</f>
        <v>0</v>
      </c>
      <c r="BN698">
        <f ca="1" xml:space="preserve"> IF( AND( OFFSET($A$1, 698 - 1, 64 - 1) = "1", OFFSET($A$1, 698 - 1, 65 - 1) = "1" ), 1, IF( AND( OFFSET($A$1, 698 - 1, 64 - 1) = "1", OFFSET($A$1, 698 - 1, 65 - 1) = "0" ), 2, IF( AND( OFFSET($A$1, 698 - 1, 64 - 1) = "0", OFFSET($A$1, 698 - 1, 65 - 1) = "1" ), 3, 4 ) ) )</f>
        <v>4</v>
      </c>
    </row>
    <row r="699" spans="58:66" x14ac:dyDescent="0.2">
      <c r="BF699" s="3">
        <v>0</v>
      </c>
      <c r="BG699" s="3" t="str">
        <f t="shared" ref="BG699:BG704" si="78">"0"</f>
        <v>0</v>
      </c>
      <c r="BH699" t="str">
        <f ca="1">IF((OFFSET($A$1, 699 - 1, 58 - 1)) &gt;= (OFFSET($A$1, 96 - 1, 7 - 1)), "1","0")</f>
        <v>0</v>
      </c>
      <c r="BI699">
        <f ca="1" xml:space="preserve"> IF( AND( OFFSET($A$1, 699 - 1, 59 - 1) = "1", OFFSET($A$1, 699 - 1, 60 - 1) = "1" ), 1, IF( AND( OFFSET($A$1, 699 - 1, 59 - 1) = "1", OFFSET($A$1, 699 - 1, 60 - 1) = "0" ), 2, IF( AND( OFFSET($A$1, 699 - 1, 59 - 1) = "0", OFFSET($A$1, 699 - 1, 60 - 1) = "1" ), 3, 4 ) ) )</f>
        <v>4</v>
      </c>
      <c r="BK699" s="3">
        <v>6.6350710900473939E-2</v>
      </c>
      <c r="BL699" s="3" t="str">
        <f>"0"</f>
        <v>0</v>
      </c>
      <c r="BM699" t="str">
        <f ca="1">IF((OFFSET($A$1, 699 - 1, 63 - 1)) &gt;= (OFFSET($A$1, 135 - 1, 7 - 1)), "1","0")</f>
        <v>0</v>
      </c>
      <c r="BN699">
        <f ca="1" xml:space="preserve"> IF( AND( OFFSET($A$1, 699 - 1, 64 - 1) = "1", OFFSET($A$1, 699 - 1, 65 - 1) = "1" ), 1, IF( AND( OFFSET($A$1, 699 - 1, 64 - 1) = "1", OFFSET($A$1, 699 - 1, 65 - 1) = "0" ), 2, IF( AND( OFFSET($A$1, 699 - 1, 64 - 1) = "0", OFFSET($A$1, 699 - 1, 65 - 1) = "1" ), 3, 4 ) ) )</f>
        <v>4</v>
      </c>
    </row>
    <row r="700" spans="58:66" x14ac:dyDescent="0.2">
      <c r="BF700" s="3">
        <v>0</v>
      </c>
      <c r="BG700" s="3" t="str">
        <f t="shared" si="78"/>
        <v>0</v>
      </c>
      <c r="BH700" t="str">
        <f ca="1">IF((OFFSET($A$1, 700 - 1, 58 - 1)) &gt;= (OFFSET($A$1, 96 - 1, 7 - 1)), "1","0")</f>
        <v>0</v>
      </c>
      <c r="BI700">
        <f ca="1" xml:space="preserve"> IF( AND( OFFSET($A$1, 700 - 1, 59 - 1) = "1", OFFSET($A$1, 700 - 1, 60 - 1) = "1" ), 1, IF( AND( OFFSET($A$1, 700 - 1, 59 - 1) = "1", OFFSET($A$1, 700 - 1, 60 - 1) = "0" ), 2, IF( AND( OFFSET($A$1, 700 - 1, 59 - 1) = "0", OFFSET($A$1, 700 - 1, 60 - 1) = "1" ), 3, 4 ) ) )</f>
        <v>4</v>
      </c>
      <c r="BK700" s="3">
        <v>0.90579710144927539</v>
      </c>
      <c r="BL700" s="3" t="str">
        <f>"1"</f>
        <v>1</v>
      </c>
      <c r="BM700" t="str">
        <f ca="1">IF((OFFSET($A$1, 700 - 1, 63 - 1)) &gt;= (OFFSET($A$1, 135 - 1, 7 - 1)), "1","0")</f>
        <v>1</v>
      </c>
      <c r="BN700">
        <f ca="1" xml:space="preserve"> IF( AND( OFFSET($A$1, 700 - 1, 64 - 1) = "1", OFFSET($A$1, 700 - 1, 65 - 1) = "1" ), 1, IF( AND( OFFSET($A$1, 700 - 1, 64 - 1) = "1", OFFSET($A$1, 700 - 1, 65 - 1) = "0" ), 2, IF( AND( OFFSET($A$1, 700 - 1, 64 - 1) = "0", OFFSET($A$1, 700 - 1, 65 - 1) = "1" ), 3, 4 ) ) )</f>
        <v>1</v>
      </c>
    </row>
    <row r="701" spans="58:66" x14ac:dyDescent="0.2">
      <c r="BF701" s="3">
        <v>4.3478260869565216E-2</v>
      </c>
      <c r="BG701" s="3" t="str">
        <f t="shared" si="78"/>
        <v>0</v>
      </c>
      <c r="BH701" t="str">
        <f ca="1">IF((OFFSET($A$1, 701 - 1, 58 - 1)) &gt;= (OFFSET($A$1, 96 - 1, 7 - 1)), "1","0")</f>
        <v>0</v>
      </c>
      <c r="BI701">
        <f ca="1" xml:space="preserve"> IF( AND( OFFSET($A$1, 701 - 1, 59 - 1) = "1", OFFSET($A$1, 701 - 1, 60 - 1) = "1" ), 1, IF( AND( OFFSET($A$1, 701 - 1, 59 - 1) = "1", OFFSET($A$1, 701 - 1, 60 - 1) = "0" ), 2, IF( AND( OFFSET($A$1, 701 - 1, 59 - 1) = "0", OFFSET($A$1, 701 - 1, 60 - 1) = "1" ), 3, 4 ) ) )</f>
        <v>4</v>
      </c>
      <c r="BK701" s="3">
        <v>6.6350710900473939E-2</v>
      </c>
      <c r="BL701" s="3" t="str">
        <f>"0"</f>
        <v>0</v>
      </c>
      <c r="BM701" t="str">
        <f ca="1">IF((OFFSET($A$1, 701 - 1, 63 - 1)) &gt;= (OFFSET($A$1, 135 - 1, 7 - 1)), "1","0")</f>
        <v>0</v>
      </c>
      <c r="BN701">
        <f ca="1" xml:space="preserve"> IF( AND( OFFSET($A$1, 701 - 1, 64 - 1) = "1", OFFSET($A$1, 701 - 1, 65 - 1) = "1" ), 1, IF( AND( OFFSET($A$1, 701 - 1, 64 - 1) = "1", OFFSET($A$1, 701 - 1, 65 - 1) = "0" ), 2, IF( AND( OFFSET($A$1, 701 - 1, 64 - 1) = "0", OFFSET($A$1, 701 - 1, 65 - 1) = "1" ), 3, 4 ) ) )</f>
        <v>4</v>
      </c>
    </row>
    <row r="702" spans="58:66" x14ac:dyDescent="0.2">
      <c r="BF702" s="3">
        <v>0</v>
      </c>
      <c r="BG702" s="3" t="str">
        <f t="shared" si="78"/>
        <v>0</v>
      </c>
      <c r="BH702" t="str">
        <f ca="1">IF((OFFSET($A$1, 702 - 1, 58 - 1)) &gt;= (OFFSET($A$1, 96 - 1, 7 - 1)), "1","0")</f>
        <v>0</v>
      </c>
      <c r="BI702">
        <f ca="1" xml:space="preserve"> IF( AND( OFFSET($A$1, 702 - 1, 59 - 1) = "1", OFFSET($A$1, 702 - 1, 60 - 1) = "1" ), 1, IF( AND( OFFSET($A$1, 702 - 1, 59 - 1) = "1", OFFSET($A$1, 702 - 1, 60 - 1) = "0" ), 2, IF( AND( OFFSET($A$1, 702 - 1, 59 - 1) = "0", OFFSET($A$1, 702 - 1, 60 - 1) = "1" ), 3, 4 ) ) )</f>
        <v>4</v>
      </c>
      <c r="BK702" s="3">
        <v>6.6350710900473939E-2</v>
      </c>
      <c r="BL702" s="3" t="str">
        <f>"1"</f>
        <v>1</v>
      </c>
      <c r="BM702" t="str">
        <f ca="1">IF((OFFSET($A$1, 702 - 1, 63 - 1)) &gt;= (OFFSET($A$1, 135 - 1, 7 - 1)), "1","0")</f>
        <v>0</v>
      </c>
      <c r="BN702">
        <f ca="1" xml:space="preserve"> IF( AND( OFFSET($A$1, 702 - 1, 64 - 1) = "1", OFFSET($A$1, 702 - 1, 65 - 1) = "1" ), 1, IF( AND( OFFSET($A$1, 702 - 1, 64 - 1) = "1", OFFSET($A$1, 702 - 1, 65 - 1) = "0" ), 2, IF( AND( OFFSET($A$1, 702 - 1, 64 - 1) = "0", OFFSET($A$1, 702 - 1, 65 - 1) = "1" ), 3, 4 ) ) )</f>
        <v>2</v>
      </c>
    </row>
    <row r="703" spans="58:66" x14ac:dyDescent="0.2">
      <c r="BF703" s="3">
        <v>0.1081081081081081</v>
      </c>
      <c r="BG703" s="3" t="str">
        <f t="shared" si="78"/>
        <v>0</v>
      </c>
      <c r="BH703" t="str">
        <f ca="1">IF((OFFSET($A$1, 703 - 1, 58 - 1)) &gt;= (OFFSET($A$1, 96 - 1, 7 - 1)), "1","0")</f>
        <v>0</v>
      </c>
      <c r="BI703">
        <f ca="1" xml:space="preserve"> IF( AND( OFFSET($A$1, 703 - 1, 59 - 1) = "1", OFFSET($A$1, 703 - 1, 60 - 1) = "1" ), 1, IF( AND( OFFSET($A$1, 703 - 1, 59 - 1) = "1", OFFSET($A$1, 703 - 1, 60 - 1) = "0" ), 2, IF( AND( OFFSET($A$1, 703 - 1, 59 - 1) = "0", OFFSET($A$1, 703 - 1, 60 - 1) = "1" ), 3, 4 ) ) )</f>
        <v>4</v>
      </c>
      <c r="BK703" s="3">
        <v>6.6350710900473939E-2</v>
      </c>
      <c r="BL703" s="3" t="str">
        <f>"0"</f>
        <v>0</v>
      </c>
      <c r="BM703" t="str">
        <f ca="1">IF((OFFSET($A$1, 703 - 1, 63 - 1)) &gt;= (OFFSET($A$1, 135 - 1, 7 - 1)), "1","0")</f>
        <v>0</v>
      </c>
      <c r="BN703">
        <f ca="1" xml:space="preserve"> IF( AND( OFFSET($A$1, 703 - 1, 64 - 1) = "1", OFFSET($A$1, 703 - 1, 65 - 1) = "1" ), 1, IF( AND( OFFSET($A$1, 703 - 1, 64 - 1) = "1", OFFSET($A$1, 703 - 1, 65 - 1) = "0" ), 2, IF( AND( OFFSET($A$1, 703 - 1, 64 - 1) = "0", OFFSET($A$1, 703 - 1, 65 - 1) = "1" ), 3, 4 ) ) )</f>
        <v>4</v>
      </c>
    </row>
    <row r="704" spans="58:66" x14ac:dyDescent="0.2">
      <c r="BF704" s="3">
        <v>3.7037037037037042E-2</v>
      </c>
      <c r="BG704" s="3" t="str">
        <f t="shared" si="78"/>
        <v>0</v>
      </c>
      <c r="BH704" t="str">
        <f ca="1">IF((OFFSET($A$1, 704 - 1, 58 - 1)) &gt;= (OFFSET($A$1, 96 - 1, 7 - 1)), "1","0")</f>
        <v>0</v>
      </c>
      <c r="BI704">
        <f ca="1" xml:space="preserve"> IF( AND( OFFSET($A$1, 704 - 1, 59 - 1) = "1", OFFSET($A$1, 704 - 1, 60 - 1) = "1" ), 1, IF( AND( OFFSET($A$1, 704 - 1, 59 - 1) = "1", OFFSET($A$1, 704 - 1, 60 - 1) = "0" ), 2, IF( AND( OFFSET($A$1, 704 - 1, 59 - 1) = "0", OFFSET($A$1, 704 - 1, 60 - 1) = "1" ), 3, 4 ) ) )</f>
        <v>4</v>
      </c>
      <c r="BK704" s="3">
        <v>2.5316455696202531E-2</v>
      </c>
      <c r="BL704" s="3" t="str">
        <f>"0"</f>
        <v>0</v>
      </c>
      <c r="BM704" t="str">
        <f ca="1">IF((OFFSET($A$1, 704 - 1, 63 - 1)) &gt;= (OFFSET($A$1, 135 - 1, 7 - 1)), "1","0")</f>
        <v>0</v>
      </c>
      <c r="BN704">
        <f ca="1" xml:space="preserve"> IF( AND( OFFSET($A$1, 704 - 1, 64 - 1) = "1", OFFSET($A$1, 704 - 1, 65 - 1) = "1" ), 1, IF( AND( OFFSET($A$1, 704 - 1, 64 - 1) = "1", OFFSET($A$1, 704 - 1, 65 - 1) = "0" ), 2, IF( AND( OFFSET($A$1, 704 - 1, 64 - 1) = "0", OFFSET($A$1, 704 - 1, 65 - 1) = "1" ), 3, 4 ) ) )</f>
        <v>4</v>
      </c>
    </row>
    <row r="705" spans="58:66" x14ac:dyDescent="0.2">
      <c r="BF705" s="3">
        <v>0.34722222222222221</v>
      </c>
      <c r="BG705" s="3" t="str">
        <f>"1"</f>
        <v>1</v>
      </c>
      <c r="BH705" t="str">
        <f ca="1">IF((OFFSET($A$1, 705 - 1, 58 - 1)) &gt;= (OFFSET($A$1, 96 - 1, 7 - 1)), "1","0")</f>
        <v>0</v>
      </c>
      <c r="BI705">
        <f ca="1" xml:space="preserve"> IF( AND( OFFSET($A$1, 705 - 1, 59 - 1) = "1", OFFSET($A$1, 705 - 1, 60 - 1) = "1" ), 1, IF( AND( OFFSET($A$1, 705 - 1, 59 - 1) = "1", OFFSET($A$1, 705 - 1, 60 - 1) = "0" ), 2, IF( AND( OFFSET($A$1, 705 - 1, 59 - 1) = "0", OFFSET($A$1, 705 - 1, 60 - 1) = "1" ), 3, 4 ) ) )</f>
        <v>2</v>
      </c>
      <c r="BK705" s="3">
        <v>6.6350710900473939E-2</v>
      </c>
      <c r="BL705" s="3" t="str">
        <f>"0"</f>
        <v>0</v>
      </c>
      <c r="BM705" t="str">
        <f ca="1">IF((OFFSET($A$1, 705 - 1, 63 - 1)) &gt;= (OFFSET($A$1, 135 - 1, 7 - 1)), "1","0")</f>
        <v>0</v>
      </c>
      <c r="BN705">
        <f ca="1" xml:space="preserve"> IF( AND( OFFSET($A$1, 705 - 1, 64 - 1) = "1", OFFSET($A$1, 705 - 1, 65 - 1) = "1" ), 1, IF( AND( OFFSET($A$1, 705 - 1, 64 - 1) = "1", OFFSET($A$1, 705 - 1, 65 - 1) = "0" ), 2, IF( AND( OFFSET($A$1, 705 - 1, 64 - 1) = "0", OFFSET($A$1, 705 - 1, 65 - 1) = "1" ), 3, 4 ) ) )</f>
        <v>4</v>
      </c>
    </row>
    <row r="706" spans="58:66" x14ac:dyDescent="0.2">
      <c r="BF706" s="3">
        <v>0.90579710144927539</v>
      </c>
      <c r="BG706" s="3" t="str">
        <f>"1"</f>
        <v>1</v>
      </c>
      <c r="BH706" t="str">
        <f ca="1">IF((OFFSET($A$1, 706 - 1, 58 - 1)) &gt;= (OFFSET($A$1, 96 - 1, 7 - 1)), "1","0")</f>
        <v>1</v>
      </c>
      <c r="BI706">
        <f ca="1" xml:space="preserve"> IF( AND( OFFSET($A$1, 706 - 1, 59 - 1) = "1", OFFSET($A$1, 706 - 1, 60 - 1) = "1" ), 1, IF( AND( OFFSET($A$1, 706 - 1, 59 - 1) = "1", OFFSET($A$1, 706 - 1, 60 - 1) = "0" ), 2, IF( AND( OFFSET($A$1, 706 - 1, 59 - 1) = "0", OFFSET($A$1, 706 - 1, 60 - 1) = "1" ), 3, 4 ) ) )</f>
        <v>1</v>
      </c>
      <c r="BK706" s="3">
        <v>6.6350710900473939E-2</v>
      </c>
      <c r="BL706" s="3" t="str">
        <f>"0"</f>
        <v>0</v>
      </c>
      <c r="BM706" t="str">
        <f ca="1">IF((OFFSET($A$1, 706 - 1, 63 - 1)) &gt;= (OFFSET($A$1, 135 - 1, 7 - 1)), "1","0")</f>
        <v>0</v>
      </c>
      <c r="BN706">
        <f ca="1" xml:space="preserve"> IF( AND( OFFSET($A$1, 706 - 1, 64 - 1) = "1", OFFSET($A$1, 706 - 1, 65 - 1) = "1" ), 1, IF( AND( OFFSET($A$1, 706 - 1, 64 - 1) = "1", OFFSET($A$1, 706 - 1, 65 - 1) = "0" ), 2, IF( AND( OFFSET($A$1, 706 - 1, 64 - 1) = "0", OFFSET($A$1, 706 - 1, 65 - 1) = "1" ), 3, 4 ) ) )</f>
        <v>4</v>
      </c>
    </row>
    <row r="707" spans="58:66" x14ac:dyDescent="0.2">
      <c r="BF707" s="3">
        <v>0</v>
      </c>
      <c r="BG707" s="3" t="str">
        <f>"0"</f>
        <v>0</v>
      </c>
      <c r="BH707" t="str">
        <f ca="1">IF((OFFSET($A$1, 707 - 1, 58 - 1)) &gt;= (OFFSET($A$1, 96 - 1, 7 - 1)), "1","0")</f>
        <v>0</v>
      </c>
      <c r="BI707">
        <f ca="1" xml:space="preserve"> IF( AND( OFFSET($A$1, 707 - 1, 59 - 1) = "1", OFFSET($A$1, 707 - 1, 60 - 1) = "1" ), 1, IF( AND( OFFSET($A$1, 707 - 1, 59 - 1) = "1", OFFSET($A$1, 707 - 1, 60 - 1) = "0" ), 2, IF( AND( OFFSET($A$1, 707 - 1, 59 - 1) = "0", OFFSET($A$1, 707 - 1, 60 - 1) = "1" ), 3, 4 ) ) )</f>
        <v>4</v>
      </c>
      <c r="BK707" s="3">
        <v>6.6350710900473939E-2</v>
      </c>
      <c r="BL707" s="3" t="str">
        <f>"0"</f>
        <v>0</v>
      </c>
      <c r="BM707" t="str">
        <f ca="1">IF((OFFSET($A$1, 707 - 1, 63 - 1)) &gt;= (OFFSET($A$1, 135 - 1, 7 - 1)), "1","0")</f>
        <v>0</v>
      </c>
      <c r="BN707">
        <f ca="1" xml:space="preserve"> IF( AND( OFFSET($A$1, 707 - 1, 64 - 1) = "1", OFFSET($A$1, 707 - 1, 65 - 1) = "1" ), 1, IF( AND( OFFSET($A$1, 707 - 1, 64 - 1) = "1", OFFSET($A$1, 707 - 1, 65 - 1) = "0" ), 2, IF( AND( OFFSET($A$1, 707 - 1, 64 - 1) = "0", OFFSET($A$1, 707 - 1, 65 - 1) = "1" ), 3, 4 ) ) )</f>
        <v>4</v>
      </c>
    </row>
    <row r="708" spans="58:66" x14ac:dyDescent="0.2">
      <c r="BF708" s="3">
        <v>3.7037037037037042E-2</v>
      </c>
      <c r="BG708" s="3" t="str">
        <f>"0"</f>
        <v>0</v>
      </c>
      <c r="BH708" t="str">
        <f ca="1">IF((OFFSET($A$1, 708 - 1, 58 - 1)) &gt;= (OFFSET($A$1, 96 - 1, 7 - 1)), "1","0")</f>
        <v>0</v>
      </c>
      <c r="BI708">
        <f ca="1" xml:space="preserve"> IF( AND( OFFSET($A$1, 708 - 1, 59 - 1) = "1", OFFSET($A$1, 708 - 1, 60 - 1) = "1" ), 1, IF( AND( OFFSET($A$1, 708 - 1, 59 - 1) = "1", OFFSET($A$1, 708 - 1, 60 - 1) = "0" ), 2, IF( AND( OFFSET($A$1, 708 - 1, 59 - 1) = "0", OFFSET($A$1, 708 - 1, 60 - 1) = "1" ), 3, 4 ) ) )</f>
        <v>4</v>
      </c>
      <c r="BK708" s="3">
        <v>0.90579710144927539</v>
      </c>
      <c r="BL708" s="3" t="str">
        <f>"1"</f>
        <v>1</v>
      </c>
      <c r="BM708" t="str">
        <f ca="1">IF((OFFSET($A$1, 708 - 1, 63 - 1)) &gt;= (OFFSET($A$1, 135 - 1, 7 - 1)), "1","0")</f>
        <v>1</v>
      </c>
      <c r="BN708">
        <f ca="1" xml:space="preserve"> IF( AND( OFFSET($A$1, 708 - 1, 64 - 1) = "1", OFFSET($A$1, 708 - 1, 65 - 1) = "1" ), 1, IF( AND( OFFSET($A$1, 708 - 1, 64 - 1) = "1", OFFSET($A$1, 708 - 1, 65 - 1) = "0" ), 2, IF( AND( OFFSET($A$1, 708 - 1, 64 - 1) = "0", OFFSET($A$1, 708 - 1, 65 - 1) = "1" ), 3, 4 ) ) )</f>
        <v>1</v>
      </c>
    </row>
    <row r="709" spans="58:66" x14ac:dyDescent="0.2">
      <c r="BF709" s="3">
        <v>0</v>
      </c>
      <c r="BG709" s="3" t="str">
        <f>"0"</f>
        <v>0</v>
      </c>
      <c r="BH709" t="str">
        <f ca="1">IF((OFFSET($A$1, 709 - 1, 58 - 1)) &gt;= (OFFSET($A$1, 96 - 1, 7 - 1)), "1","0")</f>
        <v>0</v>
      </c>
      <c r="BI709">
        <f ca="1" xml:space="preserve"> IF( AND( OFFSET($A$1, 709 - 1, 59 - 1) = "1", OFFSET($A$1, 709 - 1, 60 - 1) = "1" ), 1, IF( AND( OFFSET($A$1, 709 - 1, 59 - 1) = "1", OFFSET($A$1, 709 - 1, 60 - 1) = "0" ), 2, IF( AND( OFFSET($A$1, 709 - 1, 59 - 1) = "0", OFFSET($A$1, 709 - 1, 60 - 1) = "1" ), 3, 4 ) ) )</f>
        <v>4</v>
      </c>
      <c r="BK709" s="3">
        <v>6.6350710900473939E-2</v>
      </c>
      <c r="BL709" s="3" t="str">
        <f>"1"</f>
        <v>1</v>
      </c>
      <c r="BM709" t="str">
        <f ca="1">IF((OFFSET($A$1, 709 - 1, 63 - 1)) &gt;= (OFFSET($A$1, 135 - 1, 7 - 1)), "1","0")</f>
        <v>0</v>
      </c>
      <c r="BN709">
        <f ca="1" xml:space="preserve"> IF( AND( OFFSET($A$1, 709 - 1, 64 - 1) = "1", OFFSET($A$1, 709 - 1, 65 - 1) = "1" ), 1, IF( AND( OFFSET($A$1, 709 - 1, 64 - 1) = "1", OFFSET($A$1, 709 - 1, 65 - 1) = "0" ), 2, IF( AND( OFFSET($A$1, 709 - 1, 64 - 1) = "0", OFFSET($A$1, 709 - 1, 65 - 1) = "1" ), 3, 4 ) ) )</f>
        <v>2</v>
      </c>
    </row>
    <row r="710" spans="58:66" x14ac:dyDescent="0.2">
      <c r="BF710" s="3">
        <v>0.08</v>
      </c>
      <c r="BG710" s="3" t="str">
        <f>"0"</f>
        <v>0</v>
      </c>
      <c r="BH710" t="str">
        <f ca="1">IF((OFFSET($A$1, 710 - 1, 58 - 1)) &gt;= (OFFSET($A$1, 96 - 1, 7 - 1)), "1","0")</f>
        <v>0</v>
      </c>
      <c r="BI710">
        <f ca="1" xml:space="preserve"> IF( AND( OFFSET($A$1, 710 - 1, 59 - 1) = "1", OFFSET($A$1, 710 - 1, 60 - 1) = "1" ), 1, IF( AND( OFFSET($A$1, 710 - 1, 59 - 1) = "1", OFFSET($A$1, 710 - 1, 60 - 1) = "0" ), 2, IF( AND( OFFSET($A$1, 710 - 1, 59 - 1) = "0", OFFSET($A$1, 710 - 1, 60 - 1) = "1" ), 3, 4 ) ) )</f>
        <v>4</v>
      </c>
      <c r="BK710" s="3">
        <v>6.6350710900473939E-2</v>
      </c>
      <c r="BL710" s="3" t="str">
        <f t="shared" ref="BL710:BL727" si="79">"0"</f>
        <v>0</v>
      </c>
      <c r="BM710" t="str">
        <f ca="1">IF((OFFSET($A$1, 710 - 1, 63 - 1)) &gt;= (OFFSET($A$1, 135 - 1, 7 - 1)), "1","0")</f>
        <v>0</v>
      </c>
      <c r="BN710">
        <f ca="1" xml:space="preserve"> IF( AND( OFFSET($A$1, 710 - 1, 64 - 1) = "1", OFFSET($A$1, 710 - 1, 65 - 1) = "1" ), 1, IF( AND( OFFSET($A$1, 710 - 1, 64 - 1) = "1", OFFSET($A$1, 710 - 1, 65 - 1) = "0" ), 2, IF( AND( OFFSET($A$1, 710 - 1, 64 - 1) = "0", OFFSET($A$1, 710 - 1, 65 - 1) = "1" ), 3, 4 ) ) )</f>
        <v>4</v>
      </c>
    </row>
    <row r="711" spans="58:66" x14ac:dyDescent="0.2">
      <c r="BF711" s="3">
        <v>0</v>
      </c>
      <c r="BG711" s="3" t="str">
        <f>"0"</f>
        <v>0</v>
      </c>
      <c r="BH711" t="str">
        <f ca="1">IF((OFFSET($A$1, 711 - 1, 58 - 1)) &gt;= (OFFSET($A$1, 96 - 1, 7 - 1)), "1","0")</f>
        <v>0</v>
      </c>
      <c r="BI711">
        <f ca="1" xml:space="preserve"> IF( AND( OFFSET($A$1, 711 - 1, 59 - 1) = "1", OFFSET($A$1, 711 - 1, 60 - 1) = "1" ), 1, IF( AND( OFFSET($A$1, 711 - 1, 59 - 1) = "1", OFFSET($A$1, 711 - 1, 60 - 1) = "0" ), 2, IF( AND( OFFSET($A$1, 711 - 1, 59 - 1) = "0", OFFSET($A$1, 711 - 1, 60 - 1) = "1" ), 3, 4 ) ) )</f>
        <v>4</v>
      </c>
      <c r="BK711" s="3">
        <v>6.6350710900473939E-2</v>
      </c>
      <c r="BL711" s="3" t="str">
        <f t="shared" si="79"/>
        <v>0</v>
      </c>
      <c r="BM711" t="str">
        <f ca="1">IF((OFFSET($A$1, 711 - 1, 63 - 1)) &gt;= (OFFSET($A$1, 135 - 1, 7 - 1)), "1","0")</f>
        <v>0</v>
      </c>
      <c r="BN711">
        <f ca="1" xml:space="preserve"> IF( AND( OFFSET($A$1, 711 - 1, 64 - 1) = "1", OFFSET($A$1, 711 - 1, 65 - 1) = "1" ), 1, IF( AND( OFFSET($A$1, 711 - 1, 64 - 1) = "1", OFFSET($A$1, 711 - 1, 65 - 1) = "0" ), 2, IF( AND( OFFSET($A$1, 711 - 1, 64 - 1) = "0", OFFSET($A$1, 711 - 1, 65 - 1) = "1" ), 3, 4 ) ) )</f>
        <v>4</v>
      </c>
    </row>
    <row r="712" spans="58:66" x14ac:dyDescent="0.2">
      <c r="BF712" s="3">
        <v>0.90579710144927539</v>
      </c>
      <c r="BG712" s="3" t="str">
        <f>"1"</f>
        <v>1</v>
      </c>
      <c r="BH712" t="str">
        <f ca="1">IF((OFFSET($A$1, 712 - 1, 58 - 1)) &gt;= (OFFSET($A$1, 96 - 1, 7 - 1)), "1","0")</f>
        <v>1</v>
      </c>
      <c r="BI712">
        <f ca="1" xml:space="preserve"> IF( AND( OFFSET($A$1, 712 - 1, 59 - 1) = "1", OFFSET($A$1, 712 - 1, 60 - 1) = "1" ), 1, IF( AND( OFFSET($A$1, 712 - 1, 59 - 1) = "1", OFFSET($A$1, 712 - 1, 60 - 1) = "0" ), 2, IF( AND( OFFSET($A$1, 712 - 1, 59 - 1) = "0", OFFSET($A$1, 712 - 1, 60 - 1) = "1" ), 3, 4 ) ) )</f>
        <v>1</v>
      </c>
      <c r="BK712" s="3">
        <v>6.6350710900473939E-2</v>
      </c>
      <c r="BL712" s="3" t="str">
        <f t="shared" si="79"/>
        <v>0</v>
      </c>
      <c r="BM712" t="str">
        <f ca="1">IF((OFFSET($A$1, 712 - 1, 63 - 1)) &gt;= (OFFSET($A$1, 135 - 1, 7 - 1)), "1","0")</f>
        <v>0</v>
      </c>
      <c r="BN712">
        <f ca="1" xml:space="preserve"> IF( AND( OFFSET($A$1, 712 - 1, 64 - 1) = "1", OFFSET($A$1, 712 - 1, 65 - 1) = "1" ), 1, IF( AND( OFFSET($A$1, 712 - 1, 64 - 1) = "1", OFFSET($A$1, 712 - 1, 65 - 1) = "0" ), 2, IF( AND( OFFSET($A$1, 712 - 1, 64 - 1) = "0", OFFSET($A$1, 712 - 1, 65 - 1) = "1" ), 3, 4 ) ) )</f>
        <v>4</v>
      </c>
    </row>
    <row r="713" spans="58:66" x14ac:dyDescent="0.2">
      <c r="BF713" s="3">
        <v>0.90579710144927539</v>
      </c>
      <c r="BG713" s="3" t="str">
        <f>"1"</f>
        <v>1</v>
      </c>
      <c r="BH713" t="str">
        <f ca="1">IF((OFFSET($A$1, 713 - 1, 58 - 1)) &gt;= (OFFSET($A$1, 96 - 1, 7 - 1)), "1","0")</f>
        <v>1</v>
      </c>
      <c r="BI713">
        <f ca="1" xml:space="preserve"> IF( AND( OFFSET($A$1, 713 - 1, 59 - 1) = "1", OFFSET($A$1, 713 - 1, 60 - 1) = "1" ), 1, IF( AND( OFFSET($A$1, 713 - 1, 59 - 1) = "1", OFFSET($A$1, 713 - 1, 60 - 1) = "0" ), 2, IF( AND( OFFSET($A$1, 713 - 1, 59 - 1) = "0", OFFSET($A$1, 713 - 1, 60 - 1) = "1" ), 3, 4 ) ) )</f>
        <v>1</v>
      </c>
      <c r="BK713" s="3">
        <v>6.6350710900473939E-2</v>
      </c>
      <c r="BL713" s="3" t="str">
        <f t="shared" si="79"/>
        <v>0</v>
      </c>
      <c r="BM713" t="str">
        <f ca="1">IF((OFFSET($A$1, 713 - 1, 63 - 1)) &gt;= (OFFSET($A$1, 135 - 1, 7 - 1)), "1","0")</f>
        <v>0</v>
      </c>
      <c r="BN713">
        <f ca="1" xml:space="preserve"> IF( AND( OFFSET($A$1, 713 - 1, 64 - 1) = "1", OFFSET($A$1, 713 - 1, 65 - 1) = "1" ), 1, IF( AND( OFFSET($A$1, 713 - 1, 64 - 1) = "1", OFFSET($A$1, 713 - 1, 65 - 1) = "0" ), 2, IF( AND( OFFSET($A$1, 713 - 1, 64 - 1) = "0", OFFSET($A$1, 713 - 1, 65 - 1) = "1" ), 3, 4 ) ) )</f>
        <v>4</v>
      </c>
    </row>
    <row r="714" spans="58:66" x14ac:dyDescent="0.2">
      <c r="BF714" s="3">
        <v>0</v>
      </c>
      <c r="BG714" s="3" t="str">
        <f>"0"</f>
        <v>0</v>
      </c>
      <c r="BH714" t="str">
        <f ca="1">IF((OFFSET($A$1, 714 - 1, 58 - 1)) &gt;= (OFFSET($A$1, 96 - 1, 7 - 1)), "1","0")</f>
        <v>0</v>
      </c>
      <c r="BI714">
        <f ca="1" xml:space="preserve"> IF( AND( OFFSET($A$1, 714 - 1, 59 - 1) = "1", OFFSET($A$1, 714 - 1, 60 - 1) = "1" ), 1, IF( AND( OFFSET($A$1, 714 - 1, 59 - 1) = "1", OFFSET($A$1, 714 - 1, 60 - 1) = "0" ), 2, IF( AND( OFFSET($A$1, 714 - 1, 59 - 1) = "0", OFFSET($A$1, 714 - 1, 60 - 1) = "1" ), 3, 4 ) ) )</f>
        <v>4</v>
      </c>
      <c r="BK714" s="3">
        <v>2.5316455696202531E-2</v>
      </c>
      <c r="BL714" s="3" t="str">
        <f t="shared" si="79"/>
        <v>0</v>
      </c>
      <c r="BM714" t="str">
        <f ca="1">IF((OFFSET($A$1, 714 - 1, 63 - 1)) &gt;= (OFFSET($A$1, 135 - 1, 7 - 1)), "1","0")</f>
        <v>0</v>
      </c>
      <c r="BN714">
        <f ca="1" xml:space="preserve"> IF( AND( OFFSET($A$1, 714 - 1, 64 - 1) = "1", OFFSET($A$1, 714 - 1, 65 - 1) = "1" ), 1, IF( AND( OFFSET($A$1, 714 - 1, 64 - 1) = "1", OFFSET($A$1, 714 - 1, 65 - 1) = "0" ), 2, IF( AND( OFFSET($A$1, 714 - 1, 64 - 1) = "0", OFFSET($A$1, 714 - 1, 65 - 1) = "1" ), 3, 4 ) ) )</f>
        <v>4</v>
      </c>
    </row>
    <row r="715" spans="58:66" x14ac:dyDescent="0.2">
      <c r="BF715" s="3">
        <v>0.08</v>
      </c>
      <c r="BG715" s="3" t="str">
        <f>"0"</f>
        <v>0</v>
      </c>
      <c r="BH715" t="str">
        <f ca="1">IF((OFFSET($A$1, 715 - 1, 58 - 1)) &gt;= (OFFSET($A$1, 96 - 1, 7 - 1)), "1","0")</f>
        <v>0</v>
      </c>
      <c r="BI715">
        <f ca="1" xml:space="preserve"> IF( AND( OFFSET($A$1, 715 - 1, 59 - 1) = "1", OFFSET($A$1, 715 - 1, 60 - 1) = "1" ), 1, IF( AND( OFFSET($A$1, 715 - 1, 59 - 1) = "1", OFFSET($A$1, 715 - 1, 60 - 1) = "0" ), 2, IF( AND( OFFSET($A$1, 715 - 1, 59 - 1) = "0", OFFSET($A$1, 715 - 1, 60 - 1) = "1" ), 3, 4 ) ) )</f>
        <v>4</v>
      </c>
      <c r="BK715" s="3">
        <v>6.6350710900473939E-2</v>
      </c>
      <c r="BL715" s="3" t="str">
        <f t="shared" si="79"/>
        <v>0</v>
      </c>
      <c r="BM715" t="str">
        <f ca="1">IF((OFFSET($A$1, 715 - 1, 63 - 1)) &gt;= (OFFSET($A$1, 135 - 1, 7 - 1)), "1","0")</f>
        <v>0</v>
      </c>
      <c r="BN715">
        <f ca="1" xml:space="preserve"> IF( AND( OFFSET($A$1, 715 - 1, 64 - 1) = "1", OFFSET($A$1, 715 - 1, 65 - 1) = "1" ), 1, IF( AND( OFFSET($A$1, 715 - 1, 64 - 1) = "1", OFFSET($A$1, 715 - 1, 65 - 1) = "0" ), 2, IF( AND( OFFSET($A$1, 715 - 1, 64 - 1) = "0", OFFSET($A$1, 715 - 1, 65 - 1) = "1" ), 3, 4 ) ) )</f>
        <v>4</v>
      </c>
    </row>
    <row r="716" spans="58:66" x14ac:dyDescent="0.2">
      <c r="BF716" s="3">
        <v>0.90579710144927539</v>
      </c>
      <c r="BG716" s="3" t="str">
        <f>"1"</f>
        <v>1</v>
      </c>
      <c r="BH716" t="str">
        <f ca="1">IF((OFFSET($A$1, 716 - 1, 58 - 1)) &gt;= (OFFSET($A$1, 96 - 1, 7 - 1)), "1","0")</f>
        <v>1</v>
      </c>
      <c r="BI716">
        <f ca="1" xml:space="preserve"> IF( AND( OFFSET($A$1, 716 - 1, 59 - 1) = "1", OFFSET($A$1, 716 - 1, 60 - 1) = "1" ), 1, IF( AND( OFFSET($A$1, 716 - 1, 59 - 1) = "1", OFFSET($A$1, 716 - 1, 60 - 1) = "0" ), 2, IF( AND( OFFSET($A$1, 716 - 1, 59 - 1) = "0", OFFSET($A$1, 716 - 1, 60 - 1) = "1" ), 3, 4 ) ) )</f>
        <v>1</v>
      </c>
      <c r="BK716" s="3">
        <v>6.6350710900473939E-2</v>
      </c>
      <c r="BL716" s="3" t="str">
        <f t="shared" si="79"/>
        <v>0</v>
      </c>
      <c r="BM716" t="str">
        <f ca="1">IF((OFFSET($A$1, 716 - 1, 63 - 1)) &gt;= (OFFSET($A$1, 135 - 1, 7 - 1)), "1","0")</f>
        <v>0</v>
      </c>
      <c r="BN716">
        <f ca="1" xml:space="preserve"> IF( AND( OFFSET($A$1, 716 - 1, 64 - 1) = "1", OFFSET($A$1, 716 - 1, 65 - 1) = "1" ), 1, IF( AND( OFFSET($A$1, 716 - 1, 64 - 1) = "1", OFFSET($A$1, 716 - 1, 65 - 1) = "0" ), 2, IF( AND( OFFSET($A$1, 716 - 1, 64 - 1) = "0", OFFSET($A$1, 716 - 1, 65 - 1) = "1" ), 3, 4 ) ) )</f>
        <v>4</v>
      </c>
    </row>
    <row r="717" spans="58:66" x14ac:dyDescent="0.2">
      <c r="BF717" s="3">
        <v>0.34722222222222221</v>
      </c>
      <c r="BG717" s="3" t="str">
        <f t="shared" ref="BG717:BG745" si="80">"0"</f>
        <v>0</v>
      </c>
      <c r="BH717" t="str">
        <f ca="1">IF((OFFSET($A$1, 717 - 1, 58 - 1)) &gt;= (OFFSET($A$1, 96 - 1, 7 - 1)), "1","0")</f>
        <v>0</v>
      </c>
      <c r="BI717">
        <f ca="1" xml:space="preserve"> IF( AND( OFFSET($A$1, 717 - 1, 59 - 1) = "1", OFFSET($A$1, 717 - 1, 60 - 1) = "1" ), 1, IF( AND( OFFSET($A$1, 717 - 1, 59 - 1) = "1", OFFSET($A$1, 717 - 1, 60 - 1) = "0" ), 2, IF( AND( OFFSET($A$1, 717 - 1, 59 - 1) = "0", OFFSET($A$1, 717 - 1, 60 - 1) = "1" ), 3, 4 ) ) )</f>
        <v>4</v>
      </c>
      <c r="BK717" s="3">
        <v>6.6350710900473939E-2</v>
      </c>
      <c r="BL717" s="3" t="str">
        <f t="shared" si="79"/>
        <v>0</v>
      </c>
      <c r="BM717" t="str">
        <f ca="1">IF((OFFSET($A$1, 717 - 1, 63 - 1)) &gt;= (OFFSET($A$1, 135 - 1, 7 - 1)), "1","0")</f>
        <v>0</v>
      </c>
      <c r="BN717">
        <f ca="1" xml:space="preserve"> IF( AND( OFFSET($A$1, 717 - 1, 64 - 1) = "1", OFFSET($A$1, 717 - 1, 65 - 1) = "1" ), 1, IF( AND( OFFSET($A$1, 717 - 1, 64 - 1) = "1", OFFSET($A$1, 717 - 1, 65 - 1) = "0" ), 2, IF( AND( OFFSET($A$1, 717 - 1, 64 - 1) = "0", OFFSET($A$1, 717 - 1, 65 - 1) = "1" ), 3, 4 ) ) )</f>
        <v>4</v>
      </c>
    </row>
    <row r="718" spans="58:66" x14ac:dyDescent="0.2">
      <c r="BF718" s="3">
        <v>0.36</v>
      </c>
      <c r="BG718" s="3" t="str">
        <f t="shared" si="80"/>
        <v>0</v>
      </c>
      <c r="BH718" t="str">
        <f ca="1">IF((OFFSET($A$1, 718 - 1, 58 - 1)) &gt;= (OFFSET($A$1, 96 - 1, 7 - 1)), "1","0")</f>
        <v>0</v>
      </c>
      <c r="BI718">
        <f ca="1" xml:space="preserve"> IF( AND( OFFSET($A$1, 718 - 1, 59 - 1) = "1", OFFSET($A$1, 718 - 1, 60 - 1) = "1" ), 1, IF( AND( OFFSET($A$1, 718 - 1, 59 - 1) = "1", OFFSET($A$1, 718 - 1, 60 - 1) = "0" ), 2, IF( AND( OFFSET($A$1, 718 - 1, 59 - 1) = "0", OFFSET($A$1, 718 - 1, 60 - 1) = "1" ), 3, 4 ) ) )</f>
        <v>4</v>
      </c>
      <c r="BK718" s="3">
        <v>2.5316455696202531E-2</v>
      </c>
      <c r="BL718" s="3" t="str">
        <f t="shared" si="79"/>
        <v>0</v>
      </c>
      <c r="BM718" t="str">
        <f ca="1">IF((OFFSET($A$1, 718 - 1, 63 - 1)) &gt;= (OFFSET($A$1, 135 - 1, 7 - 1)), "1","0")</f>
        <v>0</v>
      </c>
      <c r="BN718">
        <f ca="1" xml:space="preserve"> IF( AND( OFFSET($A$1, 718 - 1, 64 - 1) = "1", OFFSET($A$1, 718 - 1, 65 - 1) = "1" ), 1, IF( AND( OFFSET($A$1, 718 - 1, 64 - 1) = "1", OFFSET($A$1, 718 - 1, 65 - 1) = "0" ), 2, IF( AND( OFFSET($A$1, 718 - 1, 64 - 1) = "0", OFFSET($A$1, 718 - 1, 65 - 1) = "1" ), 3, 4 ) ) )</f>
        <v>4</v>
      </c>
    </row>
    <row r="719" spans="58:66" x14ac:dyDescent="0.2">
      <c r="BF719" s="3">
        <v>0.36</v>
      </c>
      <c r="BG719" s="3" t="str">
        <f t="shared" si="80"/>
        <v>0</v>
      </c>
      <c r="BH719" t="str">
        <f ca="1">IF((OFFSET($A$1, 719 - 1, 58 - 1)) &gt;= (OFFSET($A$1, 96 - 1, 7 - 1)), "1","0")</f>
        <v>0</v>
      </c>
      <c r="BI719">
        <f ca="1" xml:space="preserve"> IF( AND( OFFSET($A$1, 719 - 1, 59 - 1) = "1", OFFSET($A$1, 719 - 1, 60 - 1) = "1" ), 1, IF( AND( OFFSET($A$1, 719 - 1, 59 - 1) = "1", OFFSET($A$1, 719 - 1, 60 - 1) = "0" ), 2, IF( AND( OFFSET($A$1, 719 - 1, 59 - 1) = "0", OFFSET($A$1, 719 - 1, 60 - 1) = "1" ), 3, 4 ) ) )</f>
        <v>4</v>
      </c>
      <c r="BK719" s="3">
        <v>0.38775510204081637</v>
      </c>
      <c r="BL719" s="3" t="str">
        <f t="shared" si="79"/>
        <v>0</v>
      </c>
      <c r="BM719" t="str">
        <f ca="1">IF((OFFSET($A$1, 719 - 1, 63 - 1)) &gt;= (OFFSET($A$1, 135 - 1, 7 - 1)), "1","0")</f>
        <v>0</v>
      </c>
      <c r="BN719">
        <f ca="1" xml:space="preserve"> IF( AND( OFFSET($A$1, 719 - 1, 64 - 1) = "1", OFFSET($A$1, 719 - 1, 65 - 1) = "1" ), 1, IF( AND( OFFSET($A$1, 719 - 1, 64 - 1) = "1", OFFSET($A$1, 719 - 1, 65 - 1) = "0" ), 2, IF( AND( OFFSET($A$1, 719 - 1, 64 - 1) = "0", OFFSET($A$1, 719 - 1, 65 - 1) = "1" ), 3, 4 ) ) )</f>
        <v>4</v>
      </c>
    </row>
    <row r="720" spans="58:66" x14ac:dyDescent="0.2">
      <c r="BF720" s="3">
        <v>0.38775510204081637</v>
      </c>
      <c r="BG720" s="3" t="str">
        <f t="shared" si="80"/>
        <v>0</v>
      </c>
      <c r="BH720" t="str">
        <f ca="1">IF((OFFSET($A$1, 720 - 1, 58 - 1)) &gt;= (OFFSET($A$1, 96 - 1, 7 - 1)), "1","0")</f>
        <v>0</v>
      </c>
      <c r="BI720">
        <f ca="1" xml:space="preserve"> IF( AND( OFFSET($A$1, 720 - 1, 59 - 1) = "1", OFFSET($A$1, 720 - 1, 60 - 1) = "1" ), 1, IF( AND( OFFSET($A$1, 720 - 1, 59 - 1) = "1", OFFSET($A$1, 720 - 1, 60 - 1) = "0" ), 2, IF( AND( OFFSET($A$1, 720 - 1, 59 - 1) = "0", OFFSET($A$1, 720 - 1, 60 - 1) = "1" ), 3, 4 ) ) )</f>
        <v>4</v>
      </c>
      <c r="BK720" s="3">
        <v>6.6350710900473939E-2</v>
      </c>
      <c r="BL720" s="3" t="str">
        <f t="shared" si="79"/>
        <v>0</v>
      </c>
      <c r="BM720" t="str">
        <f ca="1">IF((OFFSET($A$1, 720 - 1, 63 - 1)) &gt;= (OFFSET($A$1, 135 - 1, 7 - 1)), "1","0")</f>
        <v>0</v>
      </c>
      <c r="BN720">
        <f ca="1" xml:space="preserve"> IF( AND( OFFSET($A$1, 720 - 1, 64 - 1) = "1", OFFSET($A$1, 720 - 1, 65 - 1) = "1" ), 1, IF( AND( OFFSET($A$1, 720 - 1, 64 - 1) = "1", OFFSET($A$1, 720 - 1, 65 - 1) = "0" ), 2, IF( AND( OFFSET($A$1, 720 - 1, 64 - 1) = "0", OFFSET($A$1, 720 - 1, 65 - 1) = "1" ), 3, 4 ) ) )</f>
        <v>4</v>
      </c>
    </row>
    <row r="721" spans="58:66" x14ac:dyDescent="0.2">
      <c r="BF721" s="3">
        <v>0.34722222222222221</v>
      </c>
      <c r="BG721" s="3" t="str">
        <f t="shared" si="80"/>
        <v>0</v>
      </c>
      <c r="BH721" t="str">
        <f ca="1">IF((OFFSET($A$1, 721 - 1, 58 - 1)) &gt;= (OFFSET($A$1, 96 - 1, 7 - 1)), "1","0")</f>
        <v>0</v>
      </c>
      <c r="BI721">
        <f ca="1" xml:space="preserve"> IF( AND( OFFSET($A$1, 721 - 1, 59 - 1) = "1", OFFSET($A$1, 721 - 1, 60 - 1) = "1" ), 1, IF( AND( OFFSET($A$1, 721 - 1, 59 - 1) = "1", OFFSET($A$1, 721 - 1, 60 - 1) = "0" ), 2, IF( AND( OFFSET($A$1, 721 - 1, 59 - 1) = "0", OFFSET($A$1, 721 - 1, 60 - 1) = "1" ), 3, 4 ) ) )</f>
        <v>4</v>
      </c>
      <c r="BK721" s="3">
        <v>0.90579710144927539</v>
      </c>
      <c r="BL721" s="3" t="str">
        <f t="shared" si="79"/>
        <v>0</v>
      </c>
      <c r="BM721" t="str">
        <f ca="1">IF((OFFSET($A$1, 721 - 1, 63 - 1)) &gt;= (OFFSET($A$1, 135 - 1, 7 - 1)), "1","0")</f>
        <v>1</v>
      </c>
      <c r="BN721">
        <f ca="1" xml:space="preserve"> IF( AND( OFFSET($A$1, 721 - 1, 64 - 1) = "1", OFFSET($A$1, 721 - 1, 65 - 1) = "1" ), 1, IF( AND( OFFSET($A$1, 721 - 1, 64 - 1) = "1", OFFSET($A$1, 721 - 1, 65 - 1) = "0" ), 2, IF( AND( OFFSET($A$1, 721 - 1, 64 - 1) = "0", OFFSET($A$1, 721 - 1, 65 - 1) = "1" ), 3, 4 ) ) )</f>
        <v>3</v>
      </c>
    </row>
    <row r="722" spans="58:66" x14ac:dyDescent="0.2">
      <c r="BF722" s="3">
        <v>0.36</v>
      </c>
      <c r="BG722" s="3" t="str">
        <f t="shared" si="80"/>
        <v>0</v>
      </c>
      <c r="BH722" t="str">
        <f ca="1">IF((OFFSET($A$1, 722 - 1, 58 - 1)) &gt;= (OFFSET($A$1, 96 - 1, 7 - 1)), "1","0")</f>
        <v>0</v>
      </c>
      <c r="BI722">
        <f ca="1" xml:space="preserve"> IF( AND( OFFSET($A$1, 722 - 1, 59 - 1) = "1", OFFSET($A$1, 722 - 1, 60 - 1) = "1" ), 1, IF( AND( OFFSET($A$1, 722 - 1, 59 - 1) = "1", OFFSET($A$1, 722 - 1, 60 - 1) = "0" ), 2, IF( AND( OFFSET($A$1, 722 - 1, 59 - 1) = "0", OFFSET($A$1, 722 - 1, 60 - 1) = "1" ), 3, 4 ) ) )</f>
        <v>4</v>
      </c>
      <c r="BK722" s="3">
        <v>6.6350710900473939E-2</v>
      </c>
      <c r="BL722" s="3" t="str">
        <f t="shared" si="79"/>
        <v>0</v>
      </c>
      <c r="BM722" t="str">
        <f ca="1">IF((OFFSET($A$1, 722 - 1, 63 - 1)) &gt;= (OFFSET($A$1, 135 - 1, 7 - 1)), "1","0")</f>
        <v>0</v>
      </c>
      <c r="BN722">
        <f ca="1" xml:space="preserve"> IF( AND( OFFSET($A$1, 722 - 1, 64 - 1) = "1", OFFSET($A$1, 722 - 1, 65 - 1) = "1" ), 1, IF( AND( OFFSET($A$1, 722 - 1, 64 - 1) = "1", OFFSET($A$1, 722 - 1, 65 - 1) = "0" ), 2, IF( AND( OFFSET($A$1, 722 - 1, 64 - 1) = "0", OFFSET($A$1, 722 - 1, 65 - 1) = "1" ), 3, 4 ) ) )</f>
        <v>4</v>
      </c>
    </row>
    <row r="723" spans="58:66" x14ac:dyDescent="0.2">
      <c r="BF723" s="3">
        <v>0</v>
      </c>
      <c r="BG723" s="3" t="str">
        <f t="shared" si="80"/>
        <v>0</v>
      </c>
      <c r="BH723" t="str">
        <f ca="1">IF((OFFSET($A$1, 723 - 1, 58 - 1)) &gt;= (OFFSET($A$1, 96 - 1, 7 - 1)), "1","0")</f>
        <v>0</v>
      </c>
      <c r="BI723">
        <f ca="1" xml:space="preserve"> IF( AND( OFFSET($A$1, 723 - 1, 59 - 1) = "1", OFFSET($A$1, 723 - 1, 60 - 1) = "1" ), 1, IF( AND( OFFSET($A$1, 723 - 1, 59 - 1) = "1", OFFSET($A$1, 723 - 1, 60 - 1) = "0" ), 2, IF( AND( OFFSET($A$1, 723 - 1, 59 - 1) = "0", OFFSET($A$1, 723 - 1, 60 - 1) = "1" ), 3, 4 ) ) )</f>
        <v>4</v>
      </c>
      <c r="BK723" s="3">
        <v>6.6350710900473939E-2</v>
      </c>
      <c r="BL723" s="3" t="str">
        <f t="shared" si="79"/>
        <v>0</v>
      </c>
      <c r="BM723" t="str">
        <f ca="1">IF((OFFSET($A$1, 723 - 1, 63 - 1)) &gt;= (OFFSET($A$1, 135 - 1, 7 - 1)), "1","0")</f>
        <v>0</v>
      </c>
      <c r="BN723">
        <f ca="1" xml:space="preserve"> IF( AND( OFFSET($A$1, 723 - 1, 64 - 1) = "1", OFFSET($A$1, 723 - 1, 65 - 1) = "1" ), 1, IF( AND( OFFSET($A$1, 723 - 1, 64 - 1) = "1", OFFSET($A$1, 723 - 1, 65 - 1) = "0" ), 2, IF( AND( OFFSET($A$1, 723 - 1, 64 - 1) = "0", OFFSET($A$1, 723 - 1, 65 - 1) = "1" ), 3, 4 ) ) )</f>
        <v>4</v>
      </c>
    </row>
    <row r="724" spans="58:66" x14ac:dyDescent="0.2">
      <c r="BF724" s="3">
        <v>0</v>
      </c>
      <c r="BG724" s="3" t="str">
        <f t="shared" si="80"/>
        <v>0</v>
      </c>
      <c r="BH724" t="str">
        <f ca="1">IF((OFFSET($A$1, 724 - 1, 58 - 1)) &gt;= (OFFSET($A$1, 96 - 1, 7 - 1)), "1","0")</f>
        <v>0</v>
      </c>
      <c r="BI724">
        <f ca="1" xml:space="preserve"> IF( AND( OFFSET($A$1, 724 - 1, 59 - 1) = "1", OFFSET($A$1, 724 - 1, 60 - 1) = "1" ), 1, IF( AND( OFFSET($A$1, 724 - 1, 59 - 1) = "1", OFFSET($A$1, 724 - 1, 60 - 1) = "0" ), 2, IF( AND( OFFSET($A$1, 724 - 1, 59 - 1) = "0", OFFSET($A$1, 724 - 1, 60 - 1) = "1" ), 3, 4 ) ) )</f>
        <v>4</v>
      </c>
      <c r="BK724" s="3">
        <v>6.6350710900473939E-2</v>
      </c>
      <c r="BL724" s="3" t="str">
        <f t="shared" si="79"/>
        <v>0</v>
      </c>
      <c r="BM724" t="str">
        <f ca="1">IF((OFFSET($A$1, 724 - 1, 63 - 1)) &gt;= (OFFSET($A$1, 135 - 1, 7 - 1)), "1","0")</f>
        <v>0</v>
      </c>
      <c r="BN724">
        <f ca="1" xml:space="preserve"> IF( AND( OFFSET($A$1, 724 - 1, 64 - 1) = "1", OFFSET($A$1, 724 - 1, 65 - 1) = "1" ), 1, IF( AND( OFFSET($A$1, 724 - 1, 64 - 1) = "1", OFFSET($A$1, 724 - 1, 65 - 1) = "0" ), 2, IF( AND( OFFSET($A$1, 724 - 1, 64 - 1) = "0", OFFSET($A$1, 724 - 1, 65 - 1) = "1" ), 3, 4 ) ) )</f>
        <v>4</v>
      </c>
    </row>
    <row r="725" spans="58:66" x14ac:dyDescent="0.2">
      <c r="BF725" s="3">
        <v>0</v>
      </c>
      <c r="BG725" s="3" t="str">
        <f t="shared" si="80"/>
        <v>0</v>
      </c>
      <c r="BH725" t="str">
        <f ca="1">IF((OFFSET($A$1, 725 - 1, 58 - 1)) &gt;= (OFFSET($A$1, 96 - 1, 7 - 1)), "1","0")</f>
        <v>0</v>
      </c>
      <c r="BI725">
        <f ca="1" xml:space="preserve"> IF( AND( OFFSET($A$1, 725 - 1, 59 - 1) = "1", OFFSET($A$1, 725 - 1, 60 - 1) = "1" ), 1, IF( AND( OFFSET($A$1, 725 - 1, 59 - 1) = "1", OFFSET($A$1, 725 - 1, 60 - 1) = "0" ), 2, IF( AND( OFFSET($A$1, 725 - 1, 59 - 1) = "0", OFFSET($A$1, 725 - 1, 60 - 1) = "1" ), 3, 4 ) ) )</f>
        <v>4</v>
      </c>
      <c r="BK725" s="3">
        <v>6.6350710900473939E-2</v>
      </c>
      <c r="BL725" s="3" t="str">
        <f t="shared" si="79"/>
        <v>0</v>
      </c>
      <c r="BM725" t="str">
        <f ca="1">IF((OFFSET($A$1, 725 - 1, 63 - 1)) &gt;= (OFFSET($A$1, 135 - 1, 7 - 1)), "1","0")</f>
        <v>0</v>
      </c>
      <c r="BN725">
        <f ca="1" xml:space="preserve"> IF( AND( OFFSET($A$1, 725 - 1, 64 - 1) = "1", OFFSET($A$1, 725 - 1, 65 - 1) = "1" ), 1, IF( AND( OFFSET($A$1, 725 - 1, 64 - 1) = "1", OFFSET($A$1, 725 - 1, 65 - 1) = "0" ), 2, IF( AND( OFFSET($A$1, 725 - 1, 64 - 1) = "0", OFFSET($A$1, 725 - 1, 65 - 1) = "1" ), 3, 4 ) ) )</f>
        <v>4</v>
      </c>
    </row>
    <row r="726" spans="58:66" x14ac:dyDescent="0.2">
      <c r="BF726" s="3">
        <v>0</v>
      </c>
      <c r="BG726" s="3" t="str">
        <f t="shared" si="80"/>
        <v>0</v>
      </c>
      <c r="BH726" t="str">
        <f ca="1">IF((OFFSET($A$1, 726 - 1, 58 - 1)) &gt;= (OFFSET($A$1, 96 - 1, 7 - 1)), "1","0")</f>
        <v>0</v>
      </c>
      <c r="BI726">
        <f ca="1" xml:space="preserve"> IF( AND( OFFSET($A$1, 726 - 1, 59 - 1) = "1", OFFSET($A$1, 726 - 1, 60 - 1) = "1" ), 1, IF( AND( OFFSET($A$1, 726 - 1, 59 - 1) = "1", OFFSET($A$1, 726 - 1, 60 - 1) = "0" ), 2, IF( AND( OFFSET($A$1, 726 - 1, 59 - 1) = "0", OFFSET($A$1, 726 - 1, 60 - 1) = "1" ), 3, 4 ) ) )</f>
        <v>4</v>
      </c>
      <c r="BK726" s="3">
        <v>2.5316455696202531E-2</v>
      </c>
      <c r="BL726" s="3" t="str">
        <f t="shared" si="79"/>
        <v>0</v>
      </c>
      <c r="BM726" t="str">
        <f ca="1">IF((OFFSET($A$1, 726 - 1, 63 - 1)) &gt;= (OFFSET($A$1, 135 - 1, 7 - 1)), "1","0")</f>
        <v>0</v>
      </c>
      <c r="BN726">
        <f ca="1" xml:space="preserve"> IF( AND( OFFSET($A$1, 726 - 1, 64 - 1) = "1", OFFSET($A$1, 726 - 1, 65 - 1) = "1" ), 1, IF( AND( OFFSET($A$1, 726 - 1, 64 - 1) = "1", OFFSET($A$1, 726 - 1, 65 - 1) = "0" ), 2, IF( AND( OFFSET($A$1, 726 - 1, 64 - 1) = "0", OFFSET($A$1, 726 - 1, 65 - 1) = "1" ), 3, 4 ) ) )</f>
        <v>4</v>
      </c>
    </row>
    <row r="727" spans="58:66" x14ac:dyDescent="0.2">
      <c r="BF727" s="3">
        <v>0</v>
      </c>
      <c r="BG727" s="3" t="str">
        <f t="shared" si="80"/>
        <v>0</v>
      </c>
      <c r="BH727" t="str">
        <f ca="1">IF((OFFSET($A$1, 727 - 1, 58 - 1)) &gt;= (OFFSET($A$1, 96 - 1, 7 - 1)), "1","0")</f>
        <v>0</v>
      </c>
      <c r="BI727">
        <f ca="1" xml:space="preserve"> IF( AND( OFFSET($A$1, 727 - 1, 59 - 1) = "1", OFFSET($A$1, 727 - 1, 60 - 1) = "1" ), 1, IF( AND( OFFSET($A$1, 727 - 1, 59 - 1) = "1", OFFSET($A$1, 727 - 1, 60 - 1) = "0" ), 2, IF( AND( OFFSET($A$1, 727 - 1, 59 - 1) = "0", OFFSET($A$1, 727 - 1, 60 - 1) = "1" ), 3, 4 ) ) )</f>
        <v>4</v>
      </c>
      <c r="BK727" s="3">
        <v>6.6350710900473939E-2</v>
      </c>
      <c r="BL727" s="3" t="str">
        <f t="shared" si="79"/>
        <v>0</v>
      </c>
      <c r="BM727" t="str">
        <f ca="1">IF((OFFSET($A$1, 727 - 1, 63 - 1)) &gt;= (OFFSET($A$1, 135 - 1, 7 - 1)), "1","0")</f>
        <v>0</v>
      </c>
      <c r="BN727">
        <f ca="1" xml:space="preserve"> IF( AND( OFFSET($A$1, 727 - 1, 64 - 1) = "1", OFFSET($A$1, 727 - 1, 65 - 1) = "1" ), 1, IF( AND( OFFSET($A$1, 727 - 1, 64 - 1) = "1", OFFSET($A$1, 727 - 1, 65 - 1) = "0" ), 2, IF( AND( OFFSET($A$1, 727 - 1, 64 - 1) = "0", OFFSET($A$1, 727 - 1, 65 - 1) = "1" ), 3, 4 ) ) )</f>
        <v>4</v>
      </c>
    </row>
    <row r="728" spans="58:66" x14ac:dyDescent="0.2">
      <c r="BF728" s="3">
        <v>0</v>
      </c>
      <c r="BG728" s="3" t="str">
        <f t="shared" si="80"/>
        <v>0</v>
      </c>
      <c r="BH728" t="str">
        <f ca="1">IF((OFFSET($A$1, 728 - 1, 58 - 1)) &gt;= (OFFSET($A$1, 96 - 1, 7 - 1)), "1","0")</f>
        <v>0</v>
      </c>
      <c r="BI728">
        <f ca="1" xml:space="preserve"> IF( AND( OFFSET($A$1, 728 - 1, 59 - 1) = "1", OFFSET($A$1, 728 - 1, 60 - 1) = "1" ), 1, IF( AND( OFFSET($A$1, 728 - 1, 59 - 1) = "1", OFFSET($A$1, 728 - 1, 60 - 1) = "0" ), 2, IF( AND( OFFSET($A$1, 728 - 1, 59 - 1) = "0", OFFSET($A$1, 728 - 1, 60 - 1) = "1" ), 3, 4 ) ) )</f>
        <v>4</v>
      </c>
      <c r="BK728" s="3">
        <v>6.6350710900473939E-2</v>
      </c>
      <c r="BL728" s="3" t="str">
        <f>"1"</f>
        <v>1</v>
      </c>
      <c r="BM728" t="str">
        <f ca="1">IF((OFFSET($A$1, 728 - 1, 63 - 1)) &gt;= (OFFSET($A$1, 135 - 1, 7 - 1)), "1","0")</f>
        <v>0</v>
      </c>
      <c r="BN728">
        <f ca="1" xml:space="preserve"> IF( AND( OFFSET($A$1, 728 - 1, 64 - 1) = "1", OFFSET($A$1, 728 - 1, 65 - 1) = "1" ), 1, IF( AND( OFFSET($A$1, 728 - 1, 64 - 1) = "1", OFFSET($A$1, 728 - 1, 65 - 1) = "0" ), 2, IF( AND( OFFSET($A$1, 728 - 1, 64 - 1) = "0", OFFSET($A$1, 728 - 1, 65 - 1) = "1" ), 3, 4 ) ) )</f>
        <v>2</v>
      </c>
    </row>
    <row r="729" spans="58:66" x14ac:dyDescent="0.2">
      <c r="BF729" s="3">
        <v>0.38775510204081637</v>
      </c>
      <c r="BG729" s="3" t="str">
        <f t="shared" si="80"/>
        <v>0</v>
      </c>
      <c r="BH729" t="str">
        <f ca="1">IF((OFFSET($A$1, 729 - 1, 58 - 1)) &gt;= (OFFSET($A$1, 96 - 1, 7 - 1)), "1","0")</f>
        <v>0</v>
      </c>
      <c r="BI729">
        <f ca="1" xml:space="preserve"> IF( AND( OFFSET($A$1, 729 - 1, 59 - 1) = "1", OFFSET($A$1, 729 - 1, 60 - 1) = "1" ), 1, IF( AND( OFFSET($A$1, 729 - 1, 59 - 1) = "1", OFFSET($A$1, 729 - 1, 60 - 1) = "0" ), 2, IF( AND( OFFSET($A$1, 729 - 1, 59 - 1) = "0", OFFSET($A$1, 729 - 1, 60 - 1) = "1" ), 3, 4 ) ) )</f>
        <v>4</v>
      </c>
      <c r="BK729" s="3">
        <v>6.6350710900473939E-2</v>
      </c>
      <c r="BL729" s="3" t="str">
        <f t="shared" ref="BL729:BL739" si="81">"0"</f>
        <v>0</v>
      </c>
      <c r="BM729" t="str">
        <f ca="1">IF((OFFSET($A$1, 729 - 1, 63 - 1)) &gt;= (OFFSET($A$1, 135 - 1, 7 - 1)), "1","0")</f>
        <v>0</v>
      </c>
      <c r="BN729">
        <f ca="1" xml:space="preserve"> IF( AND( OFFSET($A$1, 729 - 1, 64 - 1) = "1", OFFSET($A$1, 729 - 1, 65 - 1) = "1" ), 1, IF( AND( OFFSET($A$1, 729 - 1, 64 - 1) = "1", OFFSET($A$1, 729 - 1, 65 - 1) = "0" ), 2, IF( AND( OFFSET($A$1, 729 - 1, 64 - 1) = "0", OFFSET($A$1, 729 - 1, 65 - 1) = "1" ), 3, 4 ) ) )</f>
        <v>4</v>
      </c>
    </row>
    <row r="730" spans="58:66" x14ac:dyDescent="0.2">
      <c r="BF730" s="3">
        <v>0</v>
      </c>
      <c r="BG730" s="3" t="str">
        <f t="shared" si="80"/>
        <v>0</v>
      </c>
      <c r="BH730" t="str">
        <f ca="1">IF((OFFSET($A$1, 730 - 1, 58 - 1)) &gt;= (OFFSET($A$1, 96 - 1, 7 - 1)), "1","0")</f>
        <v>0</v>
      </c>
      <c r="BI730">
        <f ca="1" xml:space="preserve"> IF( AND( OFFSET($A$1, 730 - 1, 59 - 1) = "1", OFFSET($A$1, 730 - 1, 60 - 1) = "1" ), 1, IF( AND( OFFSET($A$1, 730 - 1, 59 - 1) = "1", OFFSET($A$1, 730 - 1, 60 - 1) = "0" ), 2, IF( AND( OFFSET($A$1, 730 - 1, 59 - 1) = "0", OFFSET($A$1, 730 - 1, 60 - 1) = "1" ), 3, 4 ) ) )</f>
        <v>4</v>
      </c>
      <c r="BK730" s="3">
        <v>6.6350710900473939E-2</v>
      </c>
      <c r="BL730" s="3" t="str">
        <f t="shared" si="81"/>
        <v>0</v>
      </c>
      <c r="BM730" t="str">
        <f ca="1">IF((OFFSET($A$1, 730 - 1, 63 - 1)) &gt;= (OFFSET($A$1, 135 - 1, 7 - 1)), "1","0")</f>
        <v>0</v>
      </c>
      <c r="BN730">
        <f ca="1" xml:space="preserve"> IF( AND( OFFSET($A$1, 730 - 1, 64 - 1) = "1", OFFSET($A$1, 730 - 1, 65 - 1) = "1" ), 1, IF( AND( OFFSET($A$1, 730 - 1, 64 - 1) = "1", OFFSET($A$1, 730 - 1, 65 - 1) = "0" ), 2, IF( AND( OFFSET($A$1, 730 - 1, 64 - 1) = "0", OFFSET($A$1, 730 - 1, 65 - 1) = "1" ), 3, 4 ) ) )</f>
        <v>4</v>
      </c>
    </row>
    <row r="731" spans="58:66" x14ac:dyDescent="0.2">
      <c r="BF731" s="3">
        <v>0.1081081081081081</v>
      </c>
      <c r="BG731" s="3" t="str">
        <f t="shared" si="80"/>
        <v>0</v>
      </c>
      <c r="BH731" t="str">
        <f ca="1">IF((OFFSET($A$1, 731 - 1, 58 - 1)) &gt;= (OFFSET($A$1, 96 - 1, 7 - 1)), "1","0")</f>
        <v>0</v>
      </c>
      <c r="BI731">
        <f ca="1" xml:space="preserve"> IF( AND( OFFSET($A$1, 731 - 1, 59 - 1) = "1", OFFSET($A$1, 731 - 1, 60 - 1) = "1" ), 1, IF( AND( OFFSET($A$1, 731 - 1, 59 - 1) = "1", OFFSET($A$1, 731 - 1, 60 - 1) = "0" ), 2, IF( AND( OFFSET($A$1, 731 - 1, 59 - 1) = "0", OFFSET($A$1, 731 - 1, 60 - 1) = "1" ), 3, 4 ) ) )</f>
        <v>4</v>
      </c>
      <c r="BK731" s="3">
        <v>6.6350710900473939E-2</v>
      </c>
      <c r="BL731" s="3" t="str">
        <f t="shared" si="81"/>
        <v>0</v>
      </c>
      <c r="BM731" t="str">
        <f ca="1">IF((OFFSET($A$1, 731 - 1, 63 - 1)) &gt;= (OFFSET($A$1, 135 - 1, 7 - 1)), "1","0")</f>
        <v>0</v>
      </c>
      <c r="BN731">
        <f ca="1" xml:space="preserve"> IF( AND( OFFSET($A$1, 731 - 1, 64 - 1) = "1", OFFSET($A$1, 731 - 1, 65 - 1) = "1" ), 1, IF( AND( OFFSET($A$1, 731 - 1, 64 - 1) = "1", OFFSET($A$1, 731 - 1, 65 - 1) = "0" ), 2, IF( AND( OFFSET($A$1, 731 - 1, 64 - 1) = "0", OFFSET($A$1, 731 - 1, 65 - 1) = "1" ), 3, 4 ) ) )</f>
        <v>4</v>
      </c>
    </row>
    <row r="732" spans="58:66" x14ac:dyDescent="0.2">
      <c r="BF732" s="3">
        <v>0.08</v>
      </c>
      <c r="BG732" s="3" t="str">
        <f t="shared" si="80"/>
        <v>0</v>
      </c>
      <c r="BH732" t="str">
        <f ca="1">IF((OFFSET($A$1, 732 - 1, 58 - 1)) &gt;= (OFFSET($A$1, 96 - 1, 7 - 1)), "1","0")</f>
        <v>0</v>
      </c>
      <c r="BI732">
        <f ca="1" xml:space="preserve"> IF( AND( OFFSET($A$1, 732 - 1, 59 - 1) = "1", OFFSET($A$1, 732 - 1, 60 - 1) = "1" ), 1, IF( AND( OFFSET($A$1, 732 - 1, 59 - 1) = "1", OFFSET($A$1, 732 - 1, 60 - 1) = "0" ), 2, IF( AND( OFFSET($A$1, 732 - 1, 59 - 1) = "0", OFFSET($A$1, 732 - 1, 60 - 1) = "1" ), 3, 4 ) ) )</f>
        <v>4</v>
      </c>
      <c r="BK732" s="3">
        <v>0.38775510204081637</v>
      </c>
      <c r="BL732" s="3" t="str">
        <f t="shared" si="81"/>
        <v>0</v>
      </c>
      <c r="BM732" t="str">
        <f ca="1">IF((OFFSET($A$1, 732 - 1, 63 - 1)) &gt;= (OFFSET($A$1, 135 - 1, 7 - 1)), "1","0")</f>
        <v>0</v>
      </c>
      <c r="BN732">
        <f ca="1" xml:space="preserve"> IF( AND( OFFSET($A$1, 732 - 1, 64 - 1) = "1", OFFSET($A$1, 732 - 1, 65 - 1) = "1" ), 1, IF( AND( OFFSET($A$1, 732 - 1, 64 - 1) = "1", OFFSET($A$1, 732 - 1, 65 - 1) = "0" ), 2, IF( AND( OFFSET($A$1, 732 - 1, 64 - 1) = "0", OFFSET($A$1, 732 - 1, 65 - 1) = "1" ), 3, 4 ) ) )</f>
        <v>4</v>
      </c>
    </row>
    <row r="733" spans="58:66" x14ac:dyDescent="0.2">
      <c r="BF733" s="3">
        <v>0.08</v>
      </c>
      <c r="BG733" s="3" t="str">
        <f t="shared" si="80"/>
        <v>0</v>
      </c>
      <c r="BH733" t="str">
        <f ca="1">IF((OFFSET($A$1, 733 - 1, 58 - 1)) &gt;= (OFFSET($A$1, 96 - 1, 7 - 1)), "1","0")</f>
        <v>0</v>
      </c>
      <c r="BI733">
        <f ca="1" xml:space="preserve"> IF( AND( OFFSET($A$1, 733 - 1, 59 - 1) = "1", OFFSET($A$1, 733 - 1, 60 - 1) = "1" ), 1, IF( AND( OFFSET($A$1, 733 - 1, 59 - 1) = "1", OFFSET($A$1, 733 - 1, 60 - 1) = "0" ), 2, IF( AND( OFFSET($A$1, 733 - 1, 59 - 1) = "0", OFFSET($A$1, 733 - 1, 60 - 1) = "1" ), 3, 4 ) ) )</f>
        <v>4</v>
      </c>
      <c r="BK733" s="3">
        <v>6.6350710900473939E-2</v>
      </c>
      <c r="BL733" s="3" t="str">
        <f t="shared" si="81"/>
        <v>0</v>
      </c>
      <c r="BM733" t="str">
        <f ca="1">IF((OFFSET($A$1, 733 - 1, 63 - 1)) &gt;= (OFFSET($A$1, 135 - 1, 7 - 1)), "1","0")</f>
        <v>0</v>
      </c>
      <c r="BN733">
        <f ca="1" xml:space="preserve"> IF( AND( OFFSET($A$1, 733 - 1, 64 - 1) = "1", OFFSET($A$1, 733 - 1, 65 - 1) = "1" ), 1, IF( AND( OFFSET($A$1, 733 - 1, 64 - 1) = "1", OFFSET($A$1, 733 - 1, 65 - 1) = "0" ), 2, IF( AND( OFFSET($A$1, 733 - 1, 64 - 1) = "0", OFFSET($A$1, 733 - 1, 65 - 1) = "1" ), 3, 4 ) ) )</f>
        <v>4</v>
      </c>
    </row>
    <row r="734" spans="58:66" x14ac:dyDescent="0.2">
      <c r="BF734" s="3">
        <v>0</v>
      </c>
      <c r="BG734" s="3" t="str">
        <f t="shared" si="80"/>
        <v>0</v>
      </c>
      <c r="BH734" t="str">
        <f ca="1">IF((OFFSET($A$1, 734 - 1, 58 - 1)) &gt;= (OFFSET($A$1, 96 - 1, 7 - 1)), "1","0")</f>
        <v>0</v>
      </c>
      <c r="BI734">
        <f ca="1" xml:space="preserve"> IF( AND( OFFSET($A$1, 734 - 1, 59 - 1) = "1", OFFSET($A$1, 734 - 1, 60 - 1) = "1" ), 1, IF( AND( OFFSET($A$1, 734 - 1, 59 - 1) = "1", OFFSET($A$1, 734 - 1, 60 - 1) = "0" ), 2, IF( AND( OFFSET($A$1, 734 - 1, 59 - 1) = "0", OFFSET($A$1, 734 - 1, 60 - 1) = "1" ), 3, 4 ) ) )</f>
        <v>4</v>
      </c>
      <c r="BK734" s="3">
        <v>6.6350710900473939E-2</v>
      </c>
      <c r="BL734" s="3" t="str">
        <f t="shared" si="81"/>
        <v>0</v>
      </c>
      <c r="BM734" t="str">
        <f ca="1">IF((OFFSET($A$1, 734 - 1, 63 - 1)) &gt;= (OFFSET($A$1, 135 - 1, 7 - 1)), "1","0")</f>
        <v>0</v>
      </c>
      <c r="BN734">
        <f ca="1" xml:space="preserve"> IF( AND( OFFSET($A$1, 734 - 1, 64 - 1) = "1", OFFSET($A$1, 734 - 1, 65 - 1) = "1" ), 1, IF( AND( OFFSET($A$1, 734 - 1, 64 - 1) = "1", OFFSET($A$1, 734 - 1, 65 - 1) = "0" ), 2, IF( AND( OFFSET($A$1, 734 - 1, 64 - 1) = "0", OFFSET($A$1, 734 - 1, 65 - 1) = "1" ), 3, 4 ) ) )</f>
        <v>4</v>
      </c>
    </row>
    <row r="735" spans="58:66" x14ac:dyDescent="0.2">
      <c r="BF735" s="3">
        <v>3.7037037037037042E-2</v>
      </c>
      <c r="BG735" s="3" t="str">
        <f t="shared" si="80"/>
        <v>0</v>
      </c>
      <c r="BH735" t="str">
        <f ca="1">IF((OFFSET($A$1, 735 - 1, 58 - 1)) &gt;= (OFFSET($A$1, 96 - 1, 7 - 1)), "1","0")</f>
        <v>0</v>
      </c>
      <c r="BI735">
        <f ca="1" xml:space="preserve"> IF( AND( OFFSET($A$1, 735 - 1, 59 - 1) = "1", OFFSET($A$1, 735 - 1, 60 - 1) = "1" ), 1, IF( AND( OFFSET($A$1, 735 - 1, 59 - 1) = "1", OFFSET($A$1, 735 - 1, 60 - 1) = "0" ), 2, IF( AND( OFFSET($A$1, 735 - 1, 59 - 1) = "0", OFFSET($A$1, 735 - 1, 60 - 1) = "1" ), 3, 4 ) ) )</f>
        <v>4</v>
      </c>
      <c r="BK735" s="3">
        <v>6.6350710900473939E-2</v>
      </c>
      <c r="BL735" s="3" t="str">
        <f t="shared" si="81"/>
        <v>0</v>
      </c>
      <c r="BM735" t="str">
        <f ca="1">IF((OFFSET($A$1, 735 - 1, 63 - 1)) &gt;= (OFFSET($A$1, 135 - 1, 7 - 1)), "1","0")</f>
        <v>0</v>
      </c>
      <c r="BN735">
        <f ca="1" xml:space="preserve"> IF( AND( OFFSET($A$1, 735 - 1, 64 - 1) = "1", OFFSET($A$1, 735 - 1, 65 - 1) = "1" ), 1, IF( AND( OFFSET($A$1, 735 - 1, 64 - 1) = "1", OFFSET($A$1, 735 - 1, 65 - 1) = "0" ), 2, IF( AND( OFFSET($A$1, 735 - 1, 64 - 1) = "0", OFFSET($A$1, 735 - 1, 65 - 1) = "1" ), 3, 4 ) ) )</f>
        <v>4</v>
      </c>
    </row>
    <row r="736" spans="58:66" x14ac:dyDescent="0.2">
      <c r="BF736" s="3">
        <v>0</v>
      </c>
      <c r="BG736" s="3" t="str">
        <f t="shared" si="80"/>
        <v>0</v>
      </c>
      <c r="BH736" t="str">
        <f ca="1">IF((OFFSET($A$1, 736 - 1, 58 - 1)) &gt;= (OFFSET($A$1, 96 - 1, 7 - 1)), "1","0")</f>
        <v>0</v>
      </c>
      <c r="BI736">
        <f ca="1" xml:space="preserve"> IF( AND( OFFSET($A$1, 736 - 1, 59 - 1) = "1", OFFSET($A$1, 736 - 1, 60 - 1) = "1" ), 1, IF( AND( OFFSET($A$1, 736 - 1, 59 - 1) = "1", OFFSET($A$1, 736 - 1, 60 - 1) = "0" ), 2, IF( AND( OFFSET($A$1, 736 - 1, 59 - 1) = "0", OFFSET($A$1, 736 - 1, 60 - 1) = "1" ), 3, 4 ) ) )</f>
        <v>4</v>
      </c>
      <c r="BK736" s="3">
        <v>6.6350710900473939E-2</v>
      </c>
      <c r="BL736" s="3" t="str">
        <f t="shared" si="81"/>
        <v>0</v>
      </c>
      <c r="BM736" t="str">
        <f ca="1">IF((OFFSET($A$1, 736 - 1, 63 - 1)) &gt;= (OFFSET($A$1, 135 - 1, 7 - 1)), "1","0")</f>
        <v>0</v>
      </c>
      <c r="BN736">
        <f ca="1" xml:space="preserve"> IF( AND( OFFSET($A$1, 736 - 1, 64 - 1) = "1", OFFSET($A$1, 736 - 1, 65 - 1) = "1" ), 1, IF( AND( OFFSET($A$1, 736 - 1, 64 - 1) = "1", OFFSET($A$1, 736 - 1, 65 - 1) = "0" ), 2, IF( AND( OFFSET($A$1, 736 - 1, 64 - 1) = "0", OFFSET($A$1, 736 - 1, 65 - 1) = "1" ), 3, 4 ) ) )</f>
        <v>4</v>
      </c>
    </row>
    <row r="737" spans="58:66" x14ac:dyDescent="0.2">
      <c r="BF737" s="3">
        <v>0</v>
      </c>
      <c r="BG737" s="3" t="str">
        <f t="shared" si="80"/>
        <v>0</v>
      </c>
      <c r="BH737" t="str">
        <f ca="1">IF((OFFSET($A$1, 737 - 1, 58 - 1)) &gt;= (OFFSET($A$1, 96 - 1, 7 - 1)), "1","0")</f>
        <v>0</v>
      </c>
      <c r="BI737">
        <f ca="1" xml:space="preserve"> IF( AND( OFFSET($A$1, 737 - 1, 59 - 1) = "1", OFFSET($A$1, 737 - 1, 60 - 1) = "1" ), 1, IF( AND( OFFSET($A$1, 737 - 1, 59 - 1) = "1", OFFSET($A$1, 737 - 1, 60 - 1) = "0" ), 2, IF( AND( OFFSET($A$1, 737 - 1, 59 - 1) = "0", OFFSET($A$1, 737 - 1, 60 - 1) = "1" ), 3, 4 ) ) )</f>
        <v>4</v>
      </c>
      <c r="BK737" s="3">
        <v>2.5316455696202531E-2</v>
      </c>
      <c r="BL737" s="3" t="str">
        <f t="shared" si="81"/>
        <v>0</v>
      </c>
      <c r="BM737" t="str">
        <f ca="1">IF((OFFSET($A$1, 737 - 1, 63 - 1)) &gt;= (OFFSET($A$1, 135 - 1, 7 - 1)), "1","0")</f>
        <v>0</v>
      </c>
      <c r="BN737">
        <f ca="1" xml:space="preserve"> IF( AND( OFFSET($A$1, 737 - 1, 64 - 1) = "1", OFFSET($A$1, 737 - 1, 65 - 1) = "1" ), 1, IF( AND( OFFSET($A$1, 737 - 1, 64 - 1) = "1", OFFSET($A$1, 737 - 1, 65 - 1) = "0" ), 2, IF( AND( OFFSET($A$1, 737 - 1, 64 - 1) = "0", OFFSET($A$1, 737 - 1, 65 - 1) = "1" ), 3, 4 ) ) )</f>
        <v>4</v>
      </c>
    </row>
    <row r="738" spans="58:66" x14ac:dyDescent="0.2">
      <c r="BF738" s="3">
        <v>0</v>
      </c>
      <c r="BG738" s="3" t="str">
        <f t="shared" si="80"/>
        <v>0</v>
      </c>
      <c r="BH738" t="str">
        <f ca="1">IF((OFFSET($A$1, 738 - 1, 58 - 1)) &gt;= (OFFSET($A$1, 96 - 1, 7 - 1)), "1","0")</f>
        <v>0</v>
      </c>
      <c r="BI738">
        <f ca="1" xml:space="preserve"> IF( AND( OFFSET($A$1, 738 - 1, 59 - 1) = "1", OFFSET($A$1, 738 - 1, 60 - 1) = "1" ), 1, IF( AND( OFFSET($A$1, 738 - 1, 59 - 1) = "1", OFFSET($A$1, 738 - 1, 60 - 1) = "0" ), 2, IF( AND( OFFSET($A$1, 738 - 1, 59 - 1) = "0", OFFSET($A$1, 738 - 1, 60 - 1) = "1" ), 3, 4 ) ) )</f>
        <v>4</v>
      </c>
      <c r="BK738" s="3">
        <v>6.6350710900473939E-2</v>
      </c>
      <c r="BL738" s="3" t="str">
        <f t="shared" si="81"/>
        <v>0</v>
      </c>
      <c r="BM738" t="str">
        <f ca="1">IF((OFFSET($A$1, 738 - 1, 63 - 1)) &gt;= (OFFSET($A$1, 135 - 1, 7 - 1)), "1","0")</f>
        <v>0</v>
      </c>
      <c r="BN738">
        <f ca="1" xml:space="preserve"> IF( AND( OFFSET($A$1, 738 - 1, 64 - 1) = "1", OFFSET($A$1, 738 - 1, 65 - 1) = "1" ), 1, IF( AND( OFFSET($A$1, 738 - 1, 64 - 1) = "1", OFFSET($A$1, 738 - 1, 65 - 1) = "0" ), 2, IF( AND( OFFSET($A$1, 738 - 1, 64 - 1) = "0", OFFSET($A$1, 738 - 1, 65 - 1) = "1" ), 3, 4 ) ) )</f>
        <v>4</v>
      </c>
    </row>
    <row r="739" spans="58:66" x14ac:dyDescent="0.2">
      <c r="BF739" s="3">
        <v>0</v>
      </c>
      <c r="BG739" s="3" t="str">
        <f t="shared" si="80"/>
        <v>0</v>
      </c>
      <c r="BH739" t="str">
        <f ca="1">IF((OFFSET($A$1, 739 - 1, 58 - 1)) &gt;= (OFFSET($A$1, 96 - 1, 7 - 1)), "1","0")</f>
        <v>0</v>
      </c>
      <c r="BI739">
        <f ca="1" xml:space="preserve"> IF( AND( OFFSET($A$1, 739 - 1, 59 - 1) = "1", OFFSET($A$1, 739 - 1, 60 - 1) = "1" ), 1, IF( AND( OFFSET($A$1, 739 - 1, 59 - 1) = "1", OFFSET($A$1, 739 - 1, 60 - 1) = "0" ), 2, IF( AND( OFFSET($A$1, 739 - 1, 59 - 1) = "0", OFFSET($A$1, 739 - 1, 60 - 1) = "1" ), 3, 4 ) ) )</f>
        <v>4</v>
      </c>
      <c r="BK739" s="3">
        <v>6.6350710900473939E-2</v>
      </c>
      <c r="BL739" s="3" t="str">
        <f t="shared" si="81"/>
        <v>0</v>
      </c>
      <c r="BM739" t="str">
        <f ca="1">IF((OFFSET($A$1, 739 - 1, 63 - 1)) &gt;= (OFFSET($A$1, 135 - 1, 7 - 1)), "1","0")</f>
        <v>0</v>
      </c>
      <c r="BN739">
        <f ca="1" xml:space="preserve"> IF( AND( OFFSET($A$1, 739 - 1, 64 - 1) = "1", OFFSET($A$1, 739 - 1, 65 - 1) = "1" ), 1, IF( AND( OFFSET($A$1, 739 - 1, 64 - 1) = "1", OFFSET($A$1, 739 - 1, 65 - 1) = "0" ), 2, IF( AND( OFFSET($A$1, 739 - 1, 64 - 1) = "0", OFFSET($A$1, 739 - 1, 65 - 1) = "1" ), 3, 4 ) ) )</f>
        <v>4</v>
      </c>
    </row>
    <row r="740" spans="58:66" x14ac:dyDescent="0.2">
      <c r="BF740" s="3">
        <v>0</v>
      </c>
      <c r="BG740" s="3" t="str">
        <f t="shared" si="80"/>
        <v>0</v>
      </c>
      <c r="BH740" t="str">
        <f ca="1">IF((OFFSET($A$1, 740 - 1, 58 - 1)) &gt;= (OFFSET($A$1, 96 - 1, 7 - 1)), "1","0")</f>
        <v>0</v>
      </c>
      <c r="BI740">
        <f ca="1" xml:space="preserve"> IF( AND( OFFSET($A$1, 740 - 1, 59 - 1) = "1", OFFSET($A$1, 740 - 1, 60 - 1) = "1" ), 1, IF( AND( OFFSET($A$1, 740 - 1, 59 - 1) = "1", OFFSET($A$1, 740 - 1, 60 - 1) = "0" ), 2, IF( AND( OFFSET($A$1, 740 - 1, 59 - 1) = "0", OFFSET($A$1, 740 - 1, 60 - 1) = "1" ), 3, 4 ) ) )</f>
        <v>4</v>
      </c>
      <c r="BK740" s="3">
        <v>6.6350710900473939E-2</v>
      </c>
      <c r="BL740" s="3" t="str">
        <f>"1"</f>
        <v>1</v>
      </c>
      <c r="BM740" t="str">
        <f ca="1">IF((OFFSET($A$1, 740 - 1, 63 - 1)) &gt;= (OFFSET($A$1, 135 - 1, 7 - 1)), "1","0")</f>
        <v>0</v>
      </c>
      <c r="BN740">
        <f ca="1" xml:space="preserve"> IF( AND( OFFSET($A$1, 740 - 1, 64 - 1) = "1", OFFSET($A$1, 740 - 1, 65 - 1) = "1" ), 1, IF( AND( OFFSET($A$1, 740 - 1, 64 - 1) = "1", OFFSET($A$1, 740 - 1, 65 - 1) = "0" ), 2, IF( AND( OFFSET($A$1, 740 - 1, 64 - 1) = "0", OFFSET($A$1, 740 - 1, 65 - 1) = "1" ), 3, 4 ) ) )</f>
        <v>2</v>
      </c>
    </row>
    <row r="741" spans="58:66" x14ac:dyDescent="0.2">
      <c r="BF741" s="3">
        <v>0</v>
      </c>
      <c r="BG741" s="3" t="str">
        <f t="shared" si="80"/>
        <v>0</v>
      </c>
      <c r="BH741" t="str">
        <f ca="1">IF((OFFSET($A$1, 741 - 1, 58 - 1)) &gt;= (OFFSET($A$1, 96 - 1, 7 - 1)), "1","0")</f>
        <v>0</v>
      </c>
      <c r="BI741">
        <f ca="1" xml:space="preserve"> IF( AND( OFFSET($A$1, 741 - 1, 59 - 1) = "1", OFFSET($A$1, 741 - 1, 60 - 1) = "1" ), 1, IF( AND( OFFSET($A$1, 741 - 1, 59 - 1) = "1", OFFSET($A$1, 741 - 1, 60 - 1) = "0" ), 2, IF( AND( OFFSET($A$1, 741 - 1, 59 - 1) = "0", OFFSET($A$1, 741 - 1, 60 - 1) = "1" ), 3, 4 ) ) )</f>
        <v>4</v>
      </c>
      <c r="BK741" s="3">
        <v>6.6350710900473939E-2</v>
      </c>
      <c r="BL741" s="3" t="str">
        <f>"0"</f>
        <v>0</v>
      </c>
      <c r="BM741" t="str">
        <f ca="1">IF((OFFSET($A$1, 741 - 1, 63 - 1)) &gt;= (OFFSET($A$1, 135 - 1, 7 - 1)), "1","0")</f>
        <v>0</v>
      </c>
      <c r="BN741">
        <f ca="1" xml:space="preserve"> IF( AND( OFFSET($A$1, 741 - 1, 64 - 1) = "1", OFFSET($A$1, 741 - 1, 65 - 1) = "1" ), 1, IF( AND( OFFSET($A$1, 741 - 1, 64 - 1) = "1", OFFSET($A$1, 741 - 1, 65 - 1) = "0" ), 2, IF( AND( OFFSET($A$1, 741 - 1, 64 - 1) = "0", OFFSET($A$1, 741 - 1, 65 - 1) = "1" ), 3, 4 ) ) )</f>
        <v>4</v>
      </c>
    </row>
    <row r="742" spans="58:66" x14ac:dyDescent="0.2">
      <c r="BF742" s="3">
        <v>0</v>
      </c>
      <c r="BG742" s="3" t="str">
        <f t="shared" si="80"/>
        <v>0</v>
      </c>
      <c r="BH742" t="str">
        <f ca="1">IF((OFFSET($A$1, 742 - 1, 58 - 1)) &gt;= (OFFSET($A$1, 96 - 1, 7 - 1)), "1","0")</f>
        <v>0</v>
      </c>
      <c r="BI742">
        <f ca="1" xml:space="preserve"> IF( AND( OFFSET($A$1, 742 - 1, 59 - 1) = "1", OFFSET($A$1, 742 - 1, 60 - 1) = "1" ), 1, IF( AND( OFFSET($A$1, 742 - 1, 59 - 1) = "1", OFFSET($A$1, 742 - 1, 60 - 1) = "0" ), 2, IF( AND( OFFSET($A$1, 742 - 1, 59 - 1) = "0", OFFSET($A$1, 742 - 1, 60 - 1) = "1" ), 3, 4 ) ) )</f>
        <v>4</v>
      </c>
      <c r="BK742" s="3">
        <v>6.6350710900473939E-2</v>
      </c>
      <c r="BL742" s="3" t="str">
        <f>"0"</f>
        <v>0</v>
      </c>
      <c r="BM742" t="str">
        <f ca="1">IF((OFFSET($A$1, 742 - 1, 63 - 1)) &gt;= (OFFSET($A$1, 135 - 1, 7 - 1)), "1","0")</f>
        <v>0</v>
      </c>
      <c r="BN742">
        <f ca="1" xml:space="preserve"> IF( AND( OFFSET($A$1, 742 - 1, 64 - 1) = "1", OFFSET($A$1, 742 - 1, 65 - 1) = "1" ), 1, IF( AND( OFFSET($A$1, 742 - 1, 64 - 1) = "1", OFFSET($A$1, 742 - 1, 65 - 1) = "0" ), 2, IF( AND( OFFSET($A$1, 742 - 1, 64 - 1) = "0", OFFSET($A$1, 742 - 1, 65 - 1) = "1" ), 3, 4 ) ) )</f>
        <v>4</v>
      </c>
    </row>
    <row r="743" spans="58:66" x14ac:dyDescent="0.2">
      <c r="BF743" s="3">
        <v>0</v>
      </c>
      <c r="BG743" s="3" t="str">
        <f t="shared" si="80"/>
        <v>0</v>
      </c>
      <c r="BH743" t="str">
        <f ca="1">IF((OFFSET($A$1, 743 - 1, 58 - 1)) &gt;= (OFFSET($A$1, 96 - 1, 7 - 1)), "1","0")</f>
        <v>0</v>
      </c>
      <c r="BI743">
        <f ca="1" xml:space="preserve"> IF( AND( OFFSET($A$1, 743 - 1, 59 - 1) = "1", OFFSET($A$1, 743 - 1, 60 - 1) = "1" ), 1, IF( AND( OFFSET($A$1, 743 - 1, 59 - 1) = "1", OFFSET($A$1, 743 - 1, 60 - 1) = "0" ), 2, IF( AND( OFFSET($A$1, 743 - 1, 59 - 1) = "0", OFFSET($A$1, 743 - 1, 60 - 1) = "1" ), 3, 4 ) ) )</f>
        <v>4</v>
      </c>
      <c r="BK743" s="3">
        <v>2.5316455696202531E-2</v>
      </c>
      <c r="BL743" s="3" t="str">
        <f>"0"</f>
        <v>0</v>
      </c>
      <c r="BM743" t="str">
        <f ca="1">IF((OFFSET($A$1, 743 - 1, 63 - 1)) &gt;= (OFFSET($A$1, 135 - 1, 7 - 1)), "1","0")</f>
        <v>0</v>
      </c>
      <c r="BN743">
        <f ca="1" xml:space="preserve"> IF( AND( OFFSET($A$1, 743 - 1, 64 - 1) = "1", OFFSET($A$1, 743 - 1, 65 - 1) = "1" ), 1, IF( AND( OFFSET($A$1, 743 - 1, 64 - 1) = "1", OFFSET($A$1, 743 - 1, 65 - 1) = "0" ), 2, IF( AND( OFFSET($A$1, 743 - 1, 64 - 1) = "0", OFFSET($A$1, 743 - 1, 65 - 1) = "1" ), 3, 4 ) ) )</f>
        <v>4</v>
      </c>
    </row>
    <row r="744" spans="58:66" x14ac:dyDescent="0.2">
      <c r="BF744" s="3">
        <v>0</v>
      </c>
      <c r="BG744" s="3" t="str">
        <f t="shared" si="80"/>
        <v>0</v>
      </c>
      <c r="BH744" t="str">
        <f ca="1">IF((OFFSET($A$1, 744 - 1, 58 - 1)) &gt;= (OFFSET($A$1, 96 - 1, 7 - 1)), "1","0")</f>
        <v>0</v>
      </c>
      <c r="BI744">
        <f ca="1" xml:space="preserve"> IF( AND( OFFSET($A$1, 744 - 1, 59 - 1) = "1", OFFSET($A$1, 744 - 1, 60 - 1) = "1" ), 1, IF( AND( OFFSET($A$1, 744 - 1, 59 - 1) = "1", OFFSET($A$1, 744 - 1, 60 - 1) = "0" ), 2, IF( AND( OFFSET($A$1, 744 - 1, 59 - 1) = "0", OFFSET($A$1, 744 - 1, 60 - 1) = "1" ), 3, 4 ) ) )</f>
        <v>4</v>
      </c>
      <c r="BK744" s="3">
        <v>0.90579710144927539</v>
      </c>
      <c r="BL744" s="3" t="str">
        <f>"1"</f>
        <v>1</v>
      </c>
      <c r="BM744" t="str">
        <f ca="1">IF((OFFSET($A$1, 744 - 1, 63 - 1)) &gt;= (OFFSET($A$1, 135 - 1, 7 - 1)), "1","0")</f>
        <v>1</v>
      </c>
      <c r="BN744">
        <f ca="1" xml:space="preserve"> IF( AND( OFFSET($A$1, 744 - 1, 64 - 1) = "1", OFFSET($A$1, 744 - 1, 65 - 1) = "1" ), 1, IF( AND( OFFSET($A$1, 744 - 1, 64 - 1) = "1", OFFSET($A$1, 744 - 1, 65 - 1) = "0" ), 2, IF( AND( OFFSET($A$1, 744 - 1, 64 - 1) = "0", OFFSET($A$1, 744 - 1, 65 - 1) = "1" ), 3, 4 ) ) )</f>
        <v>1</v>
      </c>
    </row>
    <row r="745" spans="58:66" x14ac:dyDescent="0.2">
      <c r="BF745" s="3">
        <v>0</v>
      </c>
      <c r="BG745" s="3" t="str">
        <f t="shared" si="80"/>
        <v>0</v>
      </c>
      <c r="BH745" t="str">
        <f ca="1">IF((OFFSET($A$1, 745 - 1, 58 - 1)) &gt;= (OFFSET($A$1, 96 - 1, 7 - 1)), "1","0")</f>
        <v>0</v>
      </c>
      <c r="BI745">
        <f ca="1" xml:space="preserve"> IF( AND( OFFSET($A$1, 745 - 1, 59 - 1) = "1", OFFSET($A$1, 745 - 1, 60 - 1) = "1" ), 1, IF( AND( OFFSET($A$1, 745 - 1, 59 - 1) = "1", OFFSET($A$1, 745 - 1, 60 - 1) = "0" ), 2, IF( AND( OFFSET($A$1, 745 - 1, 59 - 1) = "0", OFFSET($A$1, 745 - 1, 60 - 1) = "1" ), 3, 4 ) ) )</f>
        <v>4</v>
      </c>
      <c r="BK745" s="3">
        <v>2.5316455696202531E-2</v>
      </c>
      <c r="BL745" s="3" t="str">
        <f t="shared" ref="BL745:BL750" si="82">"0"</f>
        <v>0</v>
      </c>
      <c r="BM745" t="str">
        <f ca="1">IF((OFFSET($A$1, 745 - 1, 63 - 1)) &gt;= (OFFSET($A$1, 135 - 1, 7 - 1)), "1","0")</f>
        <v>0</v>
      </c>
      <c r="BN745">
        <f ca="1" xml:space="preserve"> IF( AND( OFFSET($A$1, 745 - 1, 64 - 1) = "1", OFFSET($A$1, 745 - 1, 65 - 1) = "1" ), 1, IF( AND( OFFSET($A$1, 745 - 1, 64 - 1) = "1", OFFSET($A$1, 745 - 1, 65 - 1) = "0" ), 2, IF( AND( OFFSET($A$1, 745 - 1, 64 - 1) = "0", OFFSET($A$1, 745 - 1, 65 - 1) = "1" ), 3, 4 ) ) )</f>
        <v>4</v>
      </c>
    </row>
    <row r="746" spans="58:66" x14ac:dyDescent="0.2">
      <c r="BF746" s="3">
        <v>0.90579710144927539</v>
      </c>
      <c r="BG746" s="3" t="str">
        <f>"1"</f>
        <v>1</v>
      </c>
      <c r="BH746" t="str">
        <f ca="1">IF((OFFSET($A$1, 746 - 1, 58 - 1)) &gt;= (OFFSET($A$1, 96 - 1, 7 - 1)), "1","0")</f>
        <v>1</v>
      </c>
      <c r="BI746">
        <f ca="1" xml:space="preserve"> IF( AND( OFFSET($A$1, 746 - 1, 59 - 1) = "1", OFFSET($A$1, 746 - 1, 60 - 1) = "1" ), 1, IF( AND( OFFSET($A$1, 746 - 1, 59 - 1) = "1", OFFSET($A$1, 746 - 1, 60 - 1) = "0" ), 2, IF( AND( OFFSET($A$1, 746 - 1, 59 - 1) = "0", OFFSET($A$1, 746 - 1, 60 - 1) = "1" ), 3, 4 ) ) )</f>
        <v>1</v>
      </c>
      <c r="BK746" s="3">
        <v>6.6350710900473939E-2</v>
      </c>
      <c r="BL746" s="3" t="str">
        <f t="shared" si="82"/>
        <v>0</v>
      </c>
      <c r="BM746" t="str">
        <f ca="1">IF((OFFSET($A$1, 746 - 1, 63 - 1)) &gt;= (OFFSET($A$1, 135 - 1, 7 - 1)), "1","0")</f>
        <v>0</v>
      </c>
      <c r="BN746">
        <f ca="1" xml:space="preserve"> IF( AND( OFFSET($A$1, 746 - 1, 64 - 1) = "1", OFFSET($A$1, 746 - 1, 65 - 1) = "1" ), 1, IF( AND( OFFSET($A$1, 746 - 1, 64 - 1) = "1", OFFSET($A$1, 746 - 1, 65 - 1) = "0" ), 2, IF( AND( OFFSET($A$1, 746 - 1, 64 - 1) = "0", OFFSET($A$1, 746 - 1, 65 - 1) = "1" ), 3, 4 ) ) )</f>
        <v>4</v>
      </c>
    </row>
    <row r="747" spans="58:66" x14ac:dyDescent="0.2">
      <c r="BF747" s="3">
        <v>0.90579710144927539</v>
      </c>
      <c r="BG747" s="3" t="str">
        <f>"1"</f>
        <v>1</v>
      </c>
      <c r="BH747" t="str">
        <f ca="1">IF((OFFSET($A$1, 747 - 1, 58 - 1)) &gt;= (OFFSET($A$1, 96 - 1, 7 - 1)), "1","0")</f>
        <v>1</v>
      </c>
      <c r="BI747">
        <f ca="1" xml:space="preserve"> IF( AND( OFFSET($A$1, 747 - 1, 59 - 1) = "1", OFFSET($A$1, 747 - 1, 60 - 1) = "1" ), 1, IF( AND( OFFSET($A$1, 747 - 1, 59 - 1) = "1", OFFSET($A$1, 747 - 1, 60 - 1) = "0" ), 2, IF( AND( OFFSET($A$1, 747 - 1, 59 - 1) = "0", OFFSET($A$1, 747 - 1, 60 - 1) = "1" ), 3, 4 ) ) )</f>
        <v>1</v>
      </c>
      <c r="BK747" s="3">
        <v>6.6350710900473939E-2</v>
      </c>
      <c r="BL747" s="3" t="str">
        <f t="shared" si="82"/>
        <v>0</v>
      </c>
      <c r="BM747" t="str">
        <f ca="1">IF((OFFSET($A$1, 747 - 1, 63 - 1)) &gt;= (OFFSET($A$1, 135 - 1, 7 - 1)), "1","0")</f>
        <v>0</v>
      </c>
      <c r="BN747">
        <f ca="1" xml:space="preserve"> IF( AND( OFFSET($A$1, 747 - 1, 64 - 1) = "1", OFFSET($A$1, 747 - 1, 65 - 1) = "1" ), 1, IF( AND( OFFSET($A$1, 747 - 1, 64 - 1) = "1", OFFSET($A$1, 747 - 1, 65 - 1) = "0" ), 2, IF( AND( OFFSET($A$1, 747 - 1, 64 - 1) = "0", OFFSET($A$1, 747 - 1, 65 - 1) = "1" ), 3, 4 ) ) )</f>
        <v>4</v>
      </c>
    </row>
    <row r="748" spans="58:66" x14ac:dyDescent="0.2">
      <c r="BF748" s="3">
        <v>0.36</v>
      </c>
      <c r="BG748" s="3" t="str">
        <f>"1"</f>
        <v>1</v>
      </c>
      <c r="BH748" t="str">
        <f ca="1">IF((OFFSET($A$1, 748 - 1, 58 - 1)) &gt;= (OFFSET($A$1, 96 - 1, 7 - 1)), "1","0")</f>
        <v>0</v>
      </c>
      <c r="BI748">
        <f ca="1" xml:space="preserve"> IF( AND( OFFSET($A$1, 748 - 1, 59 - 1) = "1", OFFSET($A$1, 748 - 1, 60 - 1) = "1" ), 1, IF( AND( OFFSET($A$1, 748 - 1, 59 - 1) = "1", OFFSET($A$1, 748 - 1, 60 - 1) = "0" ), 2, IF( AND( OFFSET($A$1, 748 - 1, 59 - 1) = "0", OFFSET($A$1, 748 - 1, 60 - 1) = "1" ), 3, 4 ) ) )</f>
        <v>2</v>
      </c>
      <c r="BK748" s="3">
        <v>6.6350710900473939E-2</v>
      </c>
      <c r="BL748" s="3" t="str">
        <f t="shared" si="82"/>
        <v>0</v>
      </c>
      <c r="BM748" t="str">
        <f ca="1">IF((OFFSET($A$1, 748 - 1, 63 - 1)) &gt;= (OFFSET($A$1, 135 - 1, 7 - 1)), "1","0")</f>
        <v>0</v>
      </c>
      <c r="BN748">
        <f ca="1" xml:space="preserve"> IF( AND( OFFSET($A$1, 748 - 1, 64 - 1) = "1", OFFSET($A$1, 748 - 1, 65 - 1) = "1" ), 1, IF( AND( OFFSET($A$1, 748 - 1, 64 - 1) = "1", OFFSET($A$1, 748 - 1, 65 - 1) = "0" ), 2, IF( AND( OFFSET($A$1, 748 - 1, 64 - 1) = "0", OFFSET($A$1, 748 - 1, 65 - 1) = "1" ), 3, 4 ) ) )</f>
        <v>4</v>
      </c>
    </row>
    <row r="749" spans="58:66" x14ac:dyDescent="0.2">
      <c r="BF749" s="3">
        <v>3.7037037037037042E-2</v>
      </c>
      <c r="BG749" s="3" t="str">
        <f t="shared" ref="BG749:BG760" si="83">"0"</f>
        <v>0</v>
      </c>
      <c r="BH749" t="str">
        <f ca="1">IF((OFFSET($A$1, 749 - 1, 58 - 1)) &gt;= (OFFSET($A$1, 96 - 1, 7 - 1)), "1","0")</f>
        <v>0</v>
      </c>
      <c r="BI749">
        <f ca="1" xml:space="preserve"> IF( AND( OFFSET($A$1, 749 - 1, 59 - 1) = "1", OFFSET($A$1, 749 - 1, 60 - 1) = "1" ), 1, IF( AND( OFFSET($A$1, 749 - 1, 59 - 1) = "1", OFFSET($A$1, 749 - 1, 60 - 1) = "0" ), 2, IF( AND( OFFSET($A$1, 749 - 1, 59 - 1) = "0", OFFSET($A$1, 749 - 1, 60 - 1) = "1" ), 3, 4 ) ) )</f>
        <v>4</v>
      </c>
      <c r="BK749" s="3">
        <v>6.6350710900473939E-2</v>
      </c>
      <c r="BL749" s="3" t="str">
        <f t="shared" si="82"/>
        <v>0</v>
      </c>
      <c r="BM749" t="str">
        <f ca="1">IF((OFFSET($A$1, 749 - 1, 63 - 1)) &gt;= (OFFSET($A$1, 135 - 1, 7 - 1)), "1","0")</f>
        <v>0</v>
      </c>
      <c r="BN749">
        <f ca="1" xml:space="preserve"> IF( AND( OFFSET($A$1, 749 - 1, 64 - 1) = "1", OFFSET($A$1, 749 - 1, 65 - 1) = "1" ), 1, IF( AND( OFFSET($A$1, 749 - 1, 64 - 1) = "1", OFFSET($A$1, 749 - 1, 65 - 1) = "0" ), 2, IF( AND( OFFSET($A$1, 749 - 1, 64 - 1) = "0", OFFSET($A$1, 749 - 1, 65 - 1) = "1" ), 3, 4 ) ) )</f>
        <v>4</v>
      </c>
    </row>
    <row r="750" spans="58:66" x14ac:dyDescent="0.2">
      <c r="BF750" s="3">
        <v>0</v>
      </c>
      <c r="BG750" s="3" t="str">
        <f t="shared" si="83"/>
        <v>0</v>
      </c>
      <c r="BH750" t="str">
        <f ca="1">IF((OFFSET($A$1, 750 - 1, 58 - 1)) &gt;= (OFFSET($A$1, 96 - 1, 7 - 1)), "1","0")</f>
        <v>0</v>
      </c>
      <c r="BI750">
        <f ca="1" xml:space="preserve"> IF( AND( OFFSET($A$1, 750 - 1, 59 - 1) = "1", OFFSET($A$1, 750 - 1, 60 - 1) = "1" ), 1, IF( AND( OFFSET($A$1, 750 - 1, 59 - 1) = "1", OFFSET($A$1, 750 - 1, 60 - 1) = "0" ), 2, IF( AND( OFFSET($A$1, 750 - 1, 59 - 1) = "0", OFFSET($A$1, 750 - 1, 60 - 1) = "1" ), 3, 4 ) ) )</f>
        <v>4</v>
      </c>
      <c r="BK750" s="3">
        <v>6.6350710900473939E-2</v>
      </c>
      <c r="BL750" s="3" t="str">
        <f t="shared" si="82"/>
        <v>0</v>
      </c>
      <c r="BM750" t="str">
        <f ca="1">IF((OFFSET($A$1, 750 - 1, 63 - 1)) &gt;= (OFFSET($A$1, 135 - 1, 7 - 1)), "1","0")</f>
        <v>0</v>
      </c>
      <c r="BN750">
        <f ca="1" xml:space="preserve"> IF( AND( OFFSET($A$1, 750 - 1, 64 - 1) = "1", OFFSET($A$1, 750 - 1, 65 - 1) = "1" ), 1, IF( AND( OFFSET($A$1, 750 - 1, 64 - 1) = "1", OFFSET($A$1, 750 - 1, 65 - 1) = "0" ), 2, IF( AND( OFFSET($A$1, 750 - 1, 64 - 1) = "0", OFFSET($A$1, 750 - 1, 65 - 1) = "1" ), 3, 4 ) ) )</f>
        <v>4</v>
      </c>
    </row>
    <row r="751" spans="58:66" x14ac:dyDescent="0.2">
      <c r="BF751" s="3">
        <v>0</v>
      </c>
      <c r="BG751" s="3" t="str">
        <f t="shared" si="83"/>
        <v>0</v>
      </c>
      <c r="BH751" t="str">
        <f ca="1">IF((OFFSET($A$1, 751 - 1, 58 - 1)) &gt;= (OFFSET($A$1, 96 - 1, 7 - 1)), "1","0")</f>
        <v>0</v>
      </c>
      <c r="BI751">
        <f ca="1" xml:space="preserve"> IF( AND( OFFSET($A$1, 751 - 1, 59 - 1) = "1", OFFSET($A$1, 751 - 1, 60 - 1) = "1" ), 1, IF( AND( OFFSET($A$1, 751 - 1, 59 - 1) = "1", OFFSET($A$1, 751 - 1, 60 - 1) = "0" ), 2, IF( AND( OFFSET($A$1, 751 - 1, 59 - 1) = "0", OFFSET($A$1, 751 - 1, 60 - 1) = "1" ), 3, 4 ) ) )</f>
        <v>4</v>
      </c>
      <c r="BK751" s="3">
        <v>0.36</v>
      </c>
      <c r="BL751" s="3" t="str">
        <f>"1"</f>
        <v>1</v>
      </c>
      <c r="BM751" t="str">
        <f ca="1">IF((OFFSET($A$1, 751 - 1, 63 - 1)) &gt;= (OFFSET($A$1, 135 - 1, 7 - 1)), "1","0")</f>
        <v>0</v>
      </c>
      <c r="BN751">
        <f ca="1" xml:space="preserve"> IF( AND( OFFSET($A$1, 751 - 1, 64 - 1) = "1", OFFSET($A$1, 751 - 1, 65 - 1) = "1" ), 1, IF( AND( OFFSET($A$1, 751 - 1, 64 - 1) = "1", OFFSET($A$1, 751 - 1, 65 - 1) = "0" ), 2, IF( AND( OFFSET($A$1, 751 - 1, 64 - 1) = "0", OFFSET($A$1, 751 - 1, 65 - 1) = "1" ), 3, 4 ) ) )</f>
        <v>2</v>
      </c>
    </row>
    <row r="752" spans="58:66" x14ac:dyDescent="0.2">
      <c r="BF752" s="3">
        <v>0.1081081081081081</v>
      </c>
      <c r="BG752" s="3" t="str">
        <f t="shared" si="83"/>
        <v>0</v>
      </c>
      <c r="BH752" t="str">
        <f ca="1">IF((OFFSET($A$1, 752 - 1, 58 - 1)) &gt;= (OFFSET($A$1, 96 - 1, 7 - 1)), "1","0")</f>
        <v>0</v>
      </c>
      <c r="BI752">
        <f ca="1" xml:space="preserve"> IF( AND( OFFSET($A$1, 752 - 1, 59 - 1) = "1", OFFSET($A$1, 752 - 1, 60 - 1) = "1" ), 1, IF( AND( OFFSET($A$1, 752 - 1, 59 - 1) = "1", OFFSET($A$1, 752 - 1, 60 - 1) = "0" ), 2, IF( AND( OFFSET($A$1, 752 - 1, 59 - 1) = "0", OFFSET($A$1, 752 - 1, 60 - 1) = "1" ), 3, 4 ) ) )</f>
        <v>4</v>
      </c>
      <c r="BK752" s="3">
        <v>6.6350710900473939E-2</v>
      </c>
      <c r="BL752" s="3" t="str">
        <f>"0"</f>
        <v>0</v>
      </c>
      <c r="BM752" t="str">
        <f ca="1">IF((OFFSET($A$1, 752 - 1, 63 - 1)) &gt;= (OFFSET($A$1, 135 - 1, 7 - 1)), "1","0")</f>
        <v>0</v>
      </c>
      <c r="BN752">
        <f ca="1" xml:space="preserve"> IF( AND( OFFSET($A$1, 752 - 1, 64 - 1) = "1", OFFSET($A$1, 752 - 1, 65 - 1) = "1" ), 1, IF( AND( OFFSET($A$1, 752 - 1, 64 - 1) = "1", OFFSET($A$1, 752 - 1, 65 - 1) = "0" ), 2, IF( AND( OFFSET($A$1, 752 - 1, 64 - 1) = "0", OFFSET($A$1, 752 - 1, 65 - 1) = "1" ), 3, 4 ) ) )</f>
        <v>4</v>
      </c>
    </row>
    <row r="753" spans="58:66" x14ac:dyDescent="0.2">
      <c r="BF753" s="3">
        <v>4.3478260869565216E-2</v>
      </c>
      <c r="BG753" s="3" t="str">
        <f t="shared" si="83"/>
        <v>0</v>
      </c>
      <c r="BH753" t="str">
        <f ca="1">IF((OFFSET($A$1, 753 - 1, 58 - 1)) &gt;= (OFFSET($A$1, 96 - 1, 7 - 1)), "1","0")</f>
        <v>0</v>
      </c>
      <c r="BI753">
        <f ca="1" xml:space="preserve"> IF( AND( OFFSET($A$1, 753 - 1, 59 - 1) = "1", OFFSET($A$1, 753 - 1, 60 - 1) = "1" ), 1, IF( AND( OFFSET($A$1, 753 - 1, 59 - 1) = "1", OFFSET($A$1, 753 - 1, 60 - 1) = "0" ), 2, IF( AND( OFFSET($A$1, 753 - 1, 59 - 1) = "0", OFFSET($A$1, 753 - 1, 60 - 1) = "1" ), 3, 4 ) ) )</f>
        <v>4</v>
      </c>
      <c r="BK753" s="3">
        <v>6.6350710900473939E-2</v>
      </c>
      <c r="BL753" s="3" t="str">
        <f>"0"</f>
        <v>0</v>
      </c>
      <c r="BM753" t="str">
        <f ca="1">IF((OFFSET($A$1, 753 - 1, 63 - 1)) &gt;= (OFFSET($A$1, 135 - 1, 7 - 1)), "1","0")</f>
        <v>0</v>
      </c>
      <c r="BN753">
        <f ca="1" xml:space="preserve"> IF( AND( OFFSET($A$1, 753 - 1, 64 - 1) = "1", OFFSET($A$1, 753 - 1, 65 - 1) = "1" ), 1, IF( AND( OFFSET($A$1, 753 - 1, 64 - 1) = "1", OFFSET($A$1, 753 - 1, 65 - 1) = "0" ), 2, IF( AND( OFFSET($A$1, 753 - 1, 64 - 1) = "0", OFFSET($A$1, 753 - 1, 65 - 1) = "1" ), 3, 4 ) ) )</f>
        <v>4</v>
      </c>
    </row>
    <row r="754" spans="58:66" x14ac:dyDescent="0.2">
      <c r="BF754" s="3">
        <v>0</v>
      </c>
      <c r="BG754" s="3" t="str">
        <f t="shared" si="83"/>
        <v>0</v>
      </c>
      <c r="BH754" t="str">
        <f ca="1">IF((OFFSET($A$1, 754 - 1, 58 - 1)) &gt;= (OFFSET($A$1, 96 - 1, 7 - 1)), "1","0")</f>
        <v>0</v>
      </c>
      <c r="BI754">
        <f ca="1" xml:space="preserve"> IF( AND( OFFSET($A$1, 754 - 1, 59 - 1) = "1", OFFSET($A$1, 754 - 1, 60 - 1) = "1" ), 1, IF( AND( OFFSET($A$1, 754 - 1, 59 - 1) = "1", OFFSET($A$1, 754 - 1, 60 - 1) = "0" ), 2, IF( AND( OFFSET($A$1, 754 - 1, 59 - 1) = "0", OFFSET($A$1, 754 - 1, 60 - 1) = "1" ), 3, 4 ) ) )</f>
        <v>4</v>
      </c>
      <c r="BK754" s="3">
        <v>6.6350710900473939E-2</v>
      </c>
      <c r="BL754" s="3" t="str">
        <f>"0"</f>
        <v>0</v>
      </c>
      <c r="BM754" t="str">
        <f ca="1">IF((OFFSET($A$1, 754 - 1, 63 - 1)) &gt;= (OFFSET($A$1, 135 - 1, 7 - 1)), "1","0")</f>
        <v>0</v>
      </c>
      <c r="BN754">
        <f ca="1" xml:space="preserve"> IF( AND( OFFSET($A$1, 754 - 1, 64 - 1) = "1", OFFSET($A$1, 754 - 1, 65 - 1) = "1" ), 1, IF( AND( OFFSET($A$1, 754 - 1, 64 - 1) = "1", OFFSET($A$1, 754 - 1, 65 - 1) = "0" ), 2, IF( AND( OFFSET($A$1, 754 - 1, 64 - 1) = "0", OFFSET($A$1, 754 - 1, 65 - 1) = "1" ), 3, 4 ) ) )</f>
        <v>4</v>
      </c>
    </row>
    <row r="755" spans="58:66" x14ac:dyDescent="0.2">
      <c r="BF755" s="3">
        <v>4.3478260869565216E-2</v>
      </c>
      <c r="BG755" s="3" t="str">
        <f t="shared" si="83"/>
        <v>0</v>
      </c>
      <c r="BH755" t="str">
        <f ca="1">IF((OFFSET($A$1, 755 - 1, 58 - 1)) &gt;= (OFFSET($A$1, 96 - 1, 7 - 1)), "1","0")</f>
        <v>0</v>
      </c>
      <c r="BI755">
        <f ca="1" xml:space="preserve"> IF( AND( OFFSET($A$1, 755 - 1, 59 - 1) = "1", OFFSET($A$1, 755 - 1, 60 - 1) = "1" ), 1, IF( AND( OFFSET($A$1, 755 - 1, 59 - 1) = "1", OFFSET($A$1, 755 - 1, 60 - 1) = "0" ), 2, IF( AND( OFFSET($A$1, 755 - 1, 59 - 1) = "0", OFFSET($A$1, 755 - 1, 60 - 1) = "1" ), 3, 4 ) ) )</f>
        <v>4</v>
      </c>
      <c r="BK755" s="3">
        <v>6.6350710900473939E-2</v>
      </c>
      <c r="BL755" s="3" t="str">
        <f>"0"</f>
        <v>0</v>
      </c>
      <c r="BM755" t="str">
        <f ca="1">IF((OFFSET($A$1, 755 - 1, 63 - 1)) &gt;= (OFFSET($A$1, 135 - 1, 7 - 1)), "1","0")</f>
        <v>0</v>
      </c>
      <c r="BN755">
        <f ca="1" xml:space="preserve"> IF( AND( OFFSET($A$1, 755 - 1, 64 - 1) = "1", OFFSET($A$1, 755 - 1, 65 - 1) = "1" ), 1, IF( AND( OFFSET($A$1, 755 - 1, 64 - 1) = "1", OFFSET($A$1, 755 - 1, 65 - 1) = "0" ), 2, IF( AND( OFFSET($A$1, 755 - 1, 64 - 1) = "0", OFFSET($A$1, 755 - 1, 65 - 1) = "1" ), 3, 4 ) ) )</f>
        <v>4</v>
      </c>
    </row>
    <row r="756" spans="58:66" x14ac:dyDescent="0.2">
      <c r="BF756" s="3">
        <v>0</v>
      </c>
      <c r="BG756" s="3" t="str">
        <f t="shared" si="83"/>
        <v>0</v>
      </c>
      <c r="BH756" t="str">
        <f ca="1">IF((OFFSET($A$1, 756 - 1, 58 - 1)) &gt;= (OFFSET($A$1, 96 - 1, 7 - 1)), "1","0")</f>
        <v>0</v>
      </c>
      <c r="BI756">
        <f ca="1" xml:space="preserve"> IF( AND( OFFSET($A$1, 756 - 1, 59 - 1) = "1", OFFSET($A$1, 756 - 1, 60 - 1) = "1" ), 1, IF( AND( OFFSET($A$1, 756 - 1, 59 - 1) = "1", OFFSET($A$1, 756 - 1, 60 - 1) = "0" ), 2, IF( AND( OFFSET($A$1, 756 - 1, 59 - 1) = "0", OFFSET($A$1, 756 - 1, 60 - 1) = "1" ), 3, 4 ) ) )</f>
        <v>4</v>
      </c>
      <c r="BK756" s="3">
        <v>0.90579710144927539</v>
      </c>
      <c r="BL756" s="3" t="str">
        <f>"1"</f>
        <v>1</v>
      </c>
      <c r="BM756" t="str">
        <f ca="1">IF((OFFSET($A$1, 756 - 1, 63 - 1)) &gt;= (OFFSET($A$1, 135 - 1, 7 - 1)), "1","0")</f>
        <v>1</v>
      </c>
      <c r="BN756">
        <f ca="1" xml:space="preserve"> IF( AND( OFFSET($A$1, 756 - 1, 64 - 1) = "1", OFFSET($A$1, 756 - 1, 65 - 1) = "1" ), 1, IF( AND( OFFSET($A$1, 756 - 1, 64 - 1) = "1", OFFSET($A$1, 756 - 1, 65 - 1) = "0" ), 2, IF( AND( OFFSET($A$1, 756 - 1, 64 - 1) = "0", OFFSET($A$1, 756 - 1, 65 - 1) = "1" ), 3, 4 ) ) )</f>
        <v>1</v>
      </c>
    </row>
    <row r="757" spans="58:66" x14ac:dyDescent="0.2">
      <c r="BF757" s="3">
        <v>0.34722222222222221</v>
      </c>
      <c r="BG757" s="3" t="str">
        <f t="shared" si="83"/>
        <v>0</v>
      </c>
      <c r="BH757" t="str">
        <f ca="1">IF((OFFSET($A$1, 757 - 1, 58 - 1)) &gt;= (OFFSET($A$1, 96 - 1, 7 - 1)), "1","0")</f>
        <v>0</v>
      </c>
      <c r="BI757">
        <f ca="1" xml:space="preserve"> IF( AND( OFFSET($A$1, 757 - 1, 59 - 1) = "1", OFFSET($A$1, 757 - 1, 60 - 1) = "1" ), 1, IF( AND( OFFSET($A$1, 757 - 1, 59 - 1) = "1", OFFSET($A$1, 757 - 1, 60 - 1) = "0" ), 2, IF( AND( OFFSET($A$1, 757 - 1, 59 - 1) = "0", OFFSET($A$1, 757 - 1, 60 - 1) = "1" ), 3, 4 ) ) )</f>
        <v>4</v>
      </c>
      <c r="BK757" s="3">
        <v>0.38775510204081637</v>
      </c>
      <c r="BL757" s="3" t="str">
        <f>"0"</f>
        <v>0</v>
      </c>
      <c r="BM757" t="str">
        <f ca="1">IF((OFFSET($A$1, 757 - 1, 63 - 1)) &gt;= (OFFSET($A$1, 135 - 1, 7 - 1)), "1","0")</f>
        <v>0</v>
      </c>
      <c r="BN757">
        <f ca="1" xml:space="preserve"> IF( AND( OFFSET($A$1, 757 - 1, 64 - 1) = "1", OFFSET($A$1, 757 - 1, 65 - 1) = "1" ), 1, IF( AND( OFFSET($A$1, 757 - 1, 64 - 1) = "1", OFFSET($A$1, 757 - 1, 65 - 1) = "0" ), 2, IF( AND( OFFSET($A$1, 757 - 1, 64 - 1) = "0", OFFSET($A$1, 757 - 1, 65 - 1) = "1" ), 3, 4 ) ) )</f>
        <v>4</v>
      </c>
    </row>
    <row r="758" spans="58:66" x14ac:dyDescent="0.2">
      <c r="BF758" s="3">
        <v>0.34722222222222221</v>
      </c>
      <c r="BG758" s="3" t="str">
        <f t="shared" si="83"/>
        <v>0</v>
      </c>
      <c r="BH758" t="str">
        <f ca="1">IF((OFFSET($A$1, 758 - 1, 58 - 1)) &gt;= (OFFSET($A$1, 96 - 1, 7 - 1)), "1","0")</f>
        <v>0</v>
      </c>
      <c r="BI758">
        <f ca="1" xml:space="preserve"> IF( AND( OFFSET($A$1, 758 - 1, 59 - 1) = "1", OFFSET($A$1, 758 - 1, 60 - 1) = "1" ), 1, IF( AND( OFFSET($A$1, 758 - 1, 59 - 1) = "1", OFFSET($A$1, 758 - 1, 60 - 1) = "0" ), 2, IF( AND( OFFSET($A$1, 758 - 1, 59 - 1) = "0", OFFSET($A$1, 758 - 1, 60 - 1) = "1" ), 3, 4 ) ) )</f>
        <v>4</v>
      </c>
      <c r="BK758" s="3">
        <v>0.38775510204081637</v>
      </c>
      <c r="BL758" s="3" t="str">
        <f>"0"</f>
        <v>0</v>
      </c>
      <c r="BM758" t="str">
        <f ca="1">IF((OFFSET($A$1, 758 - 1, 63 - 1)) &gt;= (OFFSET($A$1, 135 - 1, 7 - 1)), "1","0")</f>
        <v>0</v>
      </c>
      <c r="BN758">
        <f ca="1" xml:space="preserve"> IF( AND( OFFSET($A$1, 758 - 1, 64 - 1) = "1", OFFSET($A$1, 758 - 1, 65 - 1) = "1" ), 1, IF( AND( OFFSET($A$1, 758 - 1, 64 - 1) = "1", OFFSET($A$1, 758 - 1, 65 - 1) = "0" ), 2, IF( AND( OFFSET($A$1, 758 - 1, 64 - 1) = "0", OFFSET($A$1, 758 - 1, 65 - 1) = "1" ), 3, 4 ) ) )</f>
        <v>4</v>
      </c>
    </row>
    <row r="759" spans="58:66" x14ac:dyDescent="0.2">
      <c r="BF759" s="3">
        <v>0</v>
      </c>
      <c r="BG759" s="3" t="str">
        <f t="shared" si="83"/>
        <v>0</v>
      </c>
      <c r="BH759" t="str">
        <f ca="1">IF((OFFSET($A$1, 759 - 1, 58 - 1)) &gt;= (OFFSET($A$1, 96 - 1, 7 - 1)), "1","0")</f>
        <v>0</v>
      </c>
      <c r="BI759">
        <f ca="1" xml:space="preserve"> IF( AND( OFFSET($A$1, 759 - 1, 59 - 1) = "1", OFFSET($A$1, 759 - 1, 60 - 1) = "1" ), 1, IF( AND( OFFSET($A$1, 759 - 1, 59 - 1) = "1", OFFSET($A$1, 759 - 1, 60 - 1) = "0" ), 2, IF( AND( OFFSET($A$1, 759 - 1, 59 - 1) = "0", OFFSET($A$1, 759 - 1, 60 - 1) = "1" ), 3, 4 ) ) )</f>
        <v>4</v>
      </c>
      <c r="BK759" s="3">
        <v>6.6350710900473939E-2</v>
      </c>
      <c r="BL759" s="3" t="str">
        <f>"0"</f>
        <v>0</v>
      </c>
      <c r="BM759" t="str">
        <f ca="1">IF((OFFSET($A$1, 759 - 1, 63 - 1)) &gt;= (OFFSET($A$1, 135 - 1, 7 - 1)), "1","0")</f>
        <v>0</v>
      </c>
      <c r="BN759">
        <f ca="1" xml:space="preserve"> IF( AND( OFFSET($A$1, 759 - 1, 64 - 1) = "1", OFFSET($A$1, 759 - 1, 65 - 1) = "1" ), 1, IF( AND( OFFSET($A$1, 759 - 1, 64 - 1) = "1", OFFSET($A$1, 759 - 1, 65 - 1) = "0" ), 2, IF( AND( OFFSET($A$1, 759 - 1, 64 - 1) = "0", OFFSET($A$1, 759 - 1, 65 - 1) = "1" ), 3, 4 ) ) )</f>
        <v>4</v>
      </c>
    </row>
    <row r="760" spans="58:66" x14ac:dyDescent="0.2">
      <c r="BF760" s="3">
        <v>3.7037037037037042E-2</v>
      </c>
      <c r="BG760" s="3" t="str">
        <f t="shared" si="83"/>
        <v>0</v>
      </c>
      <c r="BH760" t="str">
        <f ca="1">IF((OFFSET($A$1, 760 - 1, 58 - 1)) &gt;= (OFFSET($A$1, 96 - 1, 7 - 1)), "1","0")</f>
        <v>0</v>
      </c>
      <c r="BI760">
        <f ca="1" xml:space="preserve"> IF( AND( OFFSET($A$1, 760 - 1, 59 - 1) = "1", OFFSET($A$1, 760 - 1, 60 - 1) = "1" ), 1, IF( AND( OFFSET($A$1, 760 - 1, 59 - 1) = "1", OFFSET($A$1, 760 - 1, 60 - 1) = "0" ), 2, IF( AND( OFFSET($A$1, 760 - 1, 59 - 1) = "0", OFFSET($A$1, 760 - 1, 60 - 1) = "1" ), 3, 4 ) ) )</f>
        <v>4</v>
      </c>
      <c r="BK760" s="3">
        <v>6.6350710900473939E-2</v>
      </c>
      <c r="BL760" s="3" t="str">
        <f>"0"</f>
        <v>0</v>
      </c>
      <c r="BM760" t="str">
        <f ca="1">IF((OFFSET($A$1, 760 - 1, 63 - 1)) &gt;= (OFFSET($A$1, 135 - 1, 7 - 1)), "1","0")</f>
        <v>0</v>
      </c>
      <c r="BN760">
        <f ca="1" xml:space="preserve"> IF( AND( OFFSET($A$1, 760 - 1, 64 - 1) = "1", OFFSET($A$1, 760 - 1, 65 - 1) = "1" ), 1, IF( AND( OFFSET($A$1, 760 - 1, 64 - 1) = "1", OFFSET($A$1, 760 - 1, 65 - 1) = "0" ), 2, IF( AND( OFFSET($A$1, 760 - 1, 64 - 1) = "0", OFFSET($A$1, 760 - 1, 65 - 1) = "1" ), 3, 4 ) ) )</f>
        <v>4</v>
      </c>
    </row>
    <row r="761" spans="58:66" x14ac:dyDescent="0.2">
      <c r="BF761" s="3">
        <v>0.90579710144927539</v>
      </c>
      <c r="BG761" s="3" t="str">
        <f>"1"</f>
        <v>1</v>
      </c>
      <c r="BH761" t="str">
        <f ca="1">IF((OFFSET($A$1, 761 - 1, 58 - 1)) &gt;= (OFFSET($A$1, 96 - 1, 7 - 1)), "1","0")</f>
        <v>1</v>
      </c>
      <c r="BI761">
        <f ca="1" xml:space="preserve"> IF( AND( OFFSET($A$1, 761 - 1, 59 - 1) = "1", OFFSET($A$1, 761 - 1, 60 - 1) = "1" ), 1, IF( AND( OFFSET($A$1, 761 - 1, 59 - 1) = "1", OFFSET($A$1, 761 - 1, 60 - 1) = "0" ), 2, IF( AND( OFFSET($A$1, 761 - 1, 59 - 1) = "0", OFFSET($A$1, 761 - 1, 60 - 1) = "1" ), 3, 4 ) ) )</f>
        <v>1</v>
      </c>
      <c r="BK761" s="3">
        <v>0.90579710144927539</v>
      </c>
      <c r="BL761" s="3" t="str">
        <f>"1"</f>
        <v>1</v>
      </c>
      <c r="BM761" t="str">
        <f ca="1">IF((OFFSET($A$1, 761 - 1, 63 - 1)) &gt;= (OFFSET($A$1, 135 - 1, 7 - 1)), "1","0")</f>
        <v>1</v>
      </c>
      <c r="BN761">
        <f ca="1" xml:space="preserve"> IF( AND( OFFSET($A$1, 761 - 1, 64 - 1) = "1", OFFSET($A$1, 761 - 1, 65 - 1) = "1" ), 1, IF( AND( OFFSET($A$1, 761 - 1, 64 - 1) = "1", OFFSET($A$1, 761 - 1, 65 - 1) = "0" ), 2, IF( AND( OFFSET($A$1, 761 - 1, 64 - 1) = "0", OFFSET($A$1, 761 - 1, 65 - 1) = "1" ), 3, 4 ) ) )</f>
        <v>1</v>
      </c>
    </row>
    <row r="762" spans="58:66" x14ac:dyDescent="0.2">
      <c r="BF762" s="3">
        <v>0</v>
      </c>
      <c r="BG762" s="3" t="str">
        <f>"0"</f>
        <v>0</v>
      </c>
      <c r="BH762" t="str">
        <f ca="1">IF((OFFSET($A$1, 762 - 1, 58 - 1)) &gt;= (OFFSET($A$1, 96 - 1, 7 - 1)), "1","0")</f>
        <v>0</v>
      </c>
      <c r="BI762">
        <f ca="1" xml:space="preserve"> IF( AND( OFFSET($A$1, 762 - 1, 59 - 1) = "1", OFFSET($A$1, 762 - 1, 60 - 1) = "1" ), 1, IF( AND( OFFSET($A$1, 762 - 1, 59 - 1) = "1", OFFSET($A$1, 762 - 1, 60 - 1) = "0" ), 2, IF( AND( OFFSET($A$1, 762 - 1, 59 - 1) = "0", OFFSET($A$1, 762 - 1, 60 - 1) = "1" ), 3, 4 ) ) )</f>
        <v>4</v>
      </c>
      <c r="BK762" s="3">
        <v>0.36</v>
      </c>
      <c r="BL762" s="3" t="str">
        <f>"0"</f>
        <v>0</v>
      </c>
      <c r="BM762" t="str">
        <f ca="1">IF((OFFSET($A$1, 762 - 1, 63 - 1)) &gt;= (OFFSET($A$1, 135 - 1, 7 - 1)), "1","0")</f>
        <v>0</v>
      </c>
      <c r="BN762">
        <f ca="1" xml:space="preserve"> IF( AND( OFFSET($A$1, 762 - 1, 64 - 1) = "1", OFFSET($A$1, 762 - 1, 65 - 1) = "1" ), 1, IF( AND( OFFSET($A$1, 762 - 1, 64 - 1) = "1", OFFSET($A$1, 762 - 1, 65 - 1) = "0" ), 2, IF( AND( OFFSET($A$1, 762 - 1, 64 - 1) = "0", OFFSET($A$1, 762 - 1, 65 - 1) = "1" ), 3, 4 ) ) )</f>
        <v>4</v>
      </c>
    </row>
    <row r="763" spans="58:66" x14ac:dyDescent="0.2">
      <c r="BF763" s="3">
        <v>3.7037037037037042E-2</v>
      </c>
      <c r="BG763" s="3" t="str">
        <f>"1"</f>
        <v>1</v>
      </c>
      <c r="BH763" t="str">
        <f ca="1">IF((OFFSET($A$1, 763 - 1, 58 - 1)) &gt;= (OFFSET($A$1, 96 - 1, 7 - 1)), "1","0")</f>
        <v>0</v>
      </c>
      <c r="BI763">
        <f ca="1" xml:space="preserve"> IF( AND( OFFSET($A$1, 763 - 1, 59 - 1) = "1", OFFSET($A$1, 763 - 1, 60 - 1) = "1" ), 1, IF( AND( OFFSET($A$1, 763 - 1, 59 - 1) = "1", OFFSET($A$1, 763 - 1, 60 - 1) = "0" ), 2, IF( AND( OFFSET($A$1, 763 - 1, 59 - 1) = "0", OFFSET($A$1, 763 - 1, 60 - 1) = "1" ), 3, 4 ) ) )</f>
        <v>2</v>
      </c>
      <c r="BK763" s="3">
        <v>6.6350710900473939E-2</v>
      </c>
      <c r="BL763" s="3" t="str">
        <f>"0"</f>
        <v>0</v>
      </c>
      <c r="BM763" t="str">
        <f ca="1">IF((OFFSET($A$1, 763 - 1, 63 - 1)) &gt;= (OFFSET($A$1, 135 - 1, 7 - 1)), "1","0")</f>
        <v>0</v>
      </c>
      <c r="BN763">
        <f ca="1" xml:space="preserve"> IF( AND( OFFSET($A$1, 763 - 1, 64 - 1) = "1", OFFSET($A$1, 763 - 1, 65 - 1) = "1" ), 1, IF( AND( OFFSET($A$1, 763 - 1, 64 - 1) = "1", OFFSET($A$1, 763 - 1, 65 - 1) = "0" ), 2, IF( AND( OFFSET($A$1, 763 - 1, 64 - 1) = "0", OFFSET($A$1, 763 - 1, 65 - 1) = "1" ), 3, 4 ) ) )</f>
        <v>4</v>
      </c>
    </row>
    <row r="764" spans="58:66" x14ac:dyDescent="0.2">
      <c r="BF764" s="3">
        <v>3.7037037037037042E-2</v>
      </c>
      <c r="BG764" s="3" t="str">
        <f t="shared" ref="BG764:BG773" si="84">"0"</f>
        <v>0</v>
      </c>
      <c r="BH764" t="str">
        <f ca="1">IF((OFFSET($A$1, 764 - 1, 58 - 1)) &gt;= (OFFSET($A$1, 96 - 1, 7 - 1)), "1","0")</f>
        <v>0</v>
      </c>
      <c r="BI764">
        <f ca="1" xml:space="preserve"> IF( AND( OFFSET($A$1, 764 - 1, 59 - 1) = "1", OFFSET($A$1, 764 - 1, 60 - 1) = "1" ), 1, IF( AND( OFFSET($A$1, 764 - 1, 59 - 1) = "1", OFFSET($A$1, 764 - 1, 60 - 1) = "0" ), 2, IF( AND( OFFSET($A$1, 764 - 1, 59 - 1) = "0", OFFSET($A$1, 764 - 1, 60 - 1) = "1" ), 3, 4 ) ) )</f>
        <v>4</v>
      </c>
      <c r="BK764" s="3">
        <v>6.6350710900473939E-2</v>
      </c>
      <c r="BL764" s="3" t="str">
        <f>"0"</f>
        <v>0</v>
      </c>
      <c r="BM764" t="str">
        <f ca="1">IF((OFFSET($A$1, 764 - 1, 63 - 1)) &gt;= (OFFSET($A$1, 135 - 1, 7 - 1)), "1","0")</f>
        <v>0</v>
      </c>
      <c r="BN764">
        <f ca="1" xml:space="preserve"> IF( AND( OFFSET($A$1, 764 - 1, 64 - 1) = "1", OFFSET($A$1, 764 - 1, 65 - 1) = "1" ), 1, IF( AND( OFFSET($A$1, 764 - 1, 64 - 1) = "1", OFFSET($A$1, 764 - 1, 65 - 1) = "0" ), 2, IF( AND( OFFSET($A$1, 764 - 1, 64 - 1) = "0", OFFSET($A$1, 764 - 1, 65 - 1) = "1" ), 3, 4 ) ) )</f>
        <v>4</v>
      </c>
    </row>
    <row r="765" spans="58:66" x14ac:dyDescent="0.2">
      <c r="BF765" s="3">
        <v>0.08</v>
      </c>
      <c r="BG765" s="3" t="str">
        <f t="shared" si="84"/>
        <v>0</v>
      </c>
      <c r="BH765" t="str">
        <f ca="1">IF((OFFSET($A$1, 765 - 1, 58 - 1)) &gt;= (OFFSET($A$1, 96 - 1, 7 - 1)), "1","0")</f>
        <v>0</v>
      </c>
      <c r="BI765">
        <f ca="1" xml:space="preserve"> IF( AND( OFFSET($A$1, 765 - 1, 59 - 1) = "1", OFFSET($A$1, 765 - 1, 60 - 1) = "1" ), 1, IF( AND( OFFSET($A$1, 765 - 1, 59 - 1) = "1", OFFSET($A$1, 765 - 1, 60 - 1) = "0" ), 2, IF( AND( OFFSET($A$1, 765 - 1, 59 - 1) = "0", OFFSET($A$1, 765 - 1, 60 - 1) = "1" ), 3, 4 ) ) )</f>
        <v>4</v>
      </c>
      <c r="BK765" s="3">
        <v>6.6350710900473939E-2</v>
      </c>
      <c r="BL765" s="3" t="str">
        <f>"0"</f>
        <v>0</v>
      </c>
      <c r="BM765" t="str">
        <f ca="1">IF((OFFSET($A$1, 765 - 1, 63 - 1)) &gt;= (OFFSET($A$1, 135 - 1, 7 - 1)), "1","0")</f>
        <v>0</v>
      </c>
      <c r="BN765">
        <f ca="1" xml:space="preserve"> IF( AND( OFFSET($A$1, 765 - 1, 64 - 1) = "1", OFFSET($A$1, 765 - 1, 65 - 1) = "1" ), 1, IF( AND( OFFSET($A$1, 765 - 1, 64 - 1) = "1", OFFSET($A$1, 765 - 1, 65 - 1) = "0" ), 2, IF( AND( OFFSET($A$1, 765 - 1, 64 - 1) = "0", OFFSET($A$1, 765 - 1, 65 - 1) = "1" ), 3, 4 ) ) )</f>
        <v>4</v>
      </c>
    </row>
    <row r="766" spans="58:66" x14ac:dyDescent="0.2">
      <c r="BF766" s="3">
        <v>3.7037037037037042E-2</v>
      </c>
      <c r="BG766" s="3" t="str">
        <f t="shared" si="84"/>
        <v>0</v>
      </c>
      <c r="BH766" t="str">
        <f ca="1">IF((OFFSET($A$1, 766 - 1, 58 - 1)) &gt;= (OFFSET($A$1, 96 - 1, 7 - 1)), "1","0")</f>
        <v>0</v>
      </c>
      <c r="BI766">
        <f ca="1" xml:space="preserve"> IF( AND( OFFSET($A$1, 766 - 1, 59 - 1) = "1", OFFSET($A$1, 766 - 1, 60 - 1) = "1" ), 1, IF( AND( OFFSET($A$1, 766 - 1, 59 - 1) = "1", OFFSET($A$1, 766 - 1, 60 - 1) = "0" ), 2, IF( AND( OFFSET($A$1, 766 - 1, 59 - 1) = "0", OFFSET($A$1, 766 - 1, 60 - 1) = "1" ), 3, 4 ) ) )</f>
        <v>4</v>
      </c>
      <c r="BK766" s="3">
        <v>6.6350710900473939E-2</v>
      </c>
      <c r="BL766" s="3" t="str">
        <f>"1"</f>
        <v>1</v>
      </c>
      <c r="BM766" t="str">
        <f ca="1">IF((OFFSET($A$1, 766 - 1, 63 - 1)) &gt;= (OFFSET($A$1, 135 - 1, 7 - 1)), "1","0")</f>
        <v>0</v>
      </c>
      <c r="BN766">
        <f ca="1" xml:space="preserve"> IF( AND( OFFSET($A$1, 766 - 1, 64 - 1) = "1", OFFSET($A$1, 766 - 1, 65 - 1) = "1" ), 1, IF( AND( OFFSET($A$1, 766 - 1, 64 - 1) = "1", OFFSET($A$1, 766 - 1, 65 - 1) = "0" ), 2, IF( AND( OFFSET($A$1, 766 - 1, 64 - 1) = "0", OFFSET($A$1, 766 - 1, 65 - 1) = "1" ), 3, 4 ) ) )</f>
        <v>2</v>
      </c>
    </row>
    <row r="767" spans="58:66" x14ac:dyDescent="0.2">
      <c r="BF767" s="3">
        <v>0</v>
      </c>
      <c r="BG767" s="3" t="str">
        <f t="shared" si="84"/>
        <v>0</v>
      </c>
      <c r="BH767" t="str">
        <f ca="1">IF((OFFSET($A$1, 767 - 1, 58 - 1)) &gt;= (OFFSET($A$1, 96 - 1, 7 - 1)), "1","0")</f>
        <v>0</v>
      </c>
      <c r="BI767">
        <f ca="1" xml:space="preserve"> IF( AND( OFFSET($A$1, 767 - 1, 59 - 1) = "1", OFFSET($A$1, 767 - 1, 60 - 1) = "1" ), 1, IF( AND( OFFSET($A$1, 767 - 1, 59 - 1) = "1", OFFSET($A$1, 767 - 1, 60 - 1) = "0" ), 2, IF( AND( OFFSET($A$1, 767 - 1, 59 - 1) = "0", OFFSET($A$1, 767 - 1, 60 - 1) = "1" ), 3, 4 ) ) )</f>
        <v>4</v>
      </c>
      <c r="BK767" s="3">
        <v>6.6350710900473939E-2</v>
      </c>
      <c r="BL767" s="3" t="str">
        <f t="shared" ref="BL767:BL772" si="85">"0"</f>
        <v>0</v>
      </c>
      <c r="BM767" t="str">
        <f ca="1">IF((OFFSET($A$1, 767 - 1, 63 - 1)) &gt;= (OFFSET($A$1, 135 - 1, 7 - 1)), "1","0")</f>
        <v>0</v>
      </c>
      <c r="BN767">
        <f ca="1" xml:space="preserve"> IF( AND( OFFSET($A$1, 767 - 1, 64 - 1) = "1", OFFSET($A$1, 767 - 1, 65 - 1) = "1" ), 1, IF( AND( OFFSET($A$1, 767 - 1, 64 - 1) = "1", OFFSET($A$1, 767 - 1, 65 - 1) = "0" ), 2, IF( AND( OFFSET($A$1, 767 - 1, 64 - 1) = "0", OFFSET($A$1, 767 - 1, 65 - 1) = "1" ), 3, 4 ) ) )</f>
        <v>4</v>
      </c>
    </row>
    <row r="768" spans="58:66" x14ac:dyDescent="0.2">
      <c r="BF768" s="3">
        <v>3.7037037037037042E-2</v>
      </c>
      <c r="BG768" s="3" t="str">
        <f t="shared" si="84"/>
        <v>0</v>
      </c>
      <c r="BH768" t="str">
        <f ca="1">IF((OFFSET($A$1, 768 - 1, 58 - 1)) &gt;= (OFFSET($A$1, 96 - 1, 7 - 1)), "1","0")</f>
        <v>0</v>
      </c>
      <c r="BI768">
        <f ca="1" xml:space="preserve"> IF( AND( OFFSET($A$1, 768 - 1, 59 - 1) = "1", OFFSET($A$1, 768 - 1, 60 - 1) = "1" ), 1, IF( AND( OFFSET($A$1, 768 - 1, 59 - 1) = "1", OFFSET($A$1, 768 - 1, 60 - 1) = "0" ), 2, IF( AND( OFFSET($A$1, 768 - 1, 59 - 1) = "0", OFFSET($A$1, 768 - 1, 60 - 1) = "1" ), 3, 4 ) ) )</f>
        <v>4</v>
      </c>
      <c r="BK768" s="3">
        <v>6.6350710900473939E-2</v>
      </c>
      <c r="BL768" s="3" t="str">
        <f t="shared" si="85"/>
        <v>0</v>
      </c>
      <c r="BM768" t="str">
        <f ca="1">IF((OFFSET($A$1, 768 - 1, 63 - 1)) &gt;= (OFFSET($A$1, 135 - 1, 7 - 1)), "1","0")</f>
        <v>0</v>
      </c>
      <c r="BN768">
        <f ca="1" xml:space="preserve"> IF( AND( OFFSET($A$1, 768 - 1, 64 - 1) = "1", OFFSET($A$1, 768 - 1, 65 - 1) = "1" ), 1, IF( AND( OFFSET($A$1, 768 - 1, 64 - 1) = "1", OFFSET($A$1, 768 - 1, 65 - 1) = "0" ), 2, IF( AND( OFFSET($A$1, 768 - 1, 64 - 1) = "0", OFFSET($A$1, 768 - 1, 65 - 1) = "1" ), 3, 4 ) ) )</f>
        <v>4</v>
      </c>
    </row>
    <row r="769" spans="58:66" x14ac:dyDescent="0.2">
      <c r="BF769" s="3">
        <v>0</v>
      </c>
      <c r="BG769" s="3" t="str">
        <f t="shared" si="84"/>
        <v>0</v>
      </c>
      <c r="BH769" t="str">
        <f ca="1">IF((OFFSET($A$1, 769 - 1, 58 - 1)) &gt;= (OFFSET($A$1, 96 - 1, 7 - 1)), "1","0")</f>
        <v>0</v>
      </c>
      <c r="BI769">
        <f ca="1" xml:space="preserve"> IF( AND( OFFSET($A$1, 769 - 1, 59 - 1) = "1", OFFSET($A$1, 769 - 1, 60 - 1) = "1" ), 1, IF( AND( OFFSET($A$1, 769 - 1, 59 - 1) = "1", OFFSET($A$1, 769 - 1, 60 - 1) = "0" ), 2, IF( AND( OFFSET($A$1, 769 - 1, 59 - 1) = "0", OFFSET($A$1, 769 - 1, 60 - 1) = "1" ), 3, 4 ) ) )</f>
        <v>4</v>
      </c>
      <c r="BK769" s="3">
        <v>6.6350710900473939E-2</v>
      </c>
      <c r="BL769" s="3" t="str">
        <f t="shared" si="85"/>
        <v>0</v>
      </c>
      <c r="BM769" t="str">
        <f ca="1">IF((OFFSET($A$1, 769 - 1, 63 - 1)) &gt;= (OFFSET($A$1, 135 - 1, 7 - 1)), "1","0")</f>
        <v>0</v>
      </c>
      <c r="BN769">
        <f ca="1" xml:space="preserve"> IF( AND( OFFSET($A$1, 769 - 1, 64 - 1) = "1", OFFSET($A$1, 769 - 1, 65 - 1) = "1" ), 1, IF( AND( OFFSET($A$1, 769 - 1, 64 - 1) = "1", OFFSET($A$1, 769 - 1, 65 - 1) = "0" ), 2, IF( AND( OFFSET($A$1, 769 - 1, 64 - 1) = "0", OFFSET($A$1, 769 - 1, 65 - 1) = "1" ), 3, 4 ) ) )</f>
        <v>4</v>
      </c>
    </row>
    <row r="770" spans="58:66" x14ac:dyDescent="0.2">
      <c r="BF770" s="3">
        <v>3.7037037037037042E-2</v>
      </c>
      <c r="BG770" s="3" t="str">
        <f t="shared" si="84"/>
        <v>0</v>
      </c>
      <c r="BH770" t="str">
        <f ca="1">IF((OFFSET($A$1, 770 - 1, 58 - 1)) &gt;= (OFFSET($A$1, 96 - 1, 7 - 1)), "1","0")</f>
        <v>0</v>
      </c>
      <c r="BI770">
        <f ca="1" xml:space="preserve"> IF( AND( OFFSET($A$1, 770 - 1, 59 - 1) = "1", OFFSET($A$1, 770 - 1, 60 - 1) = "1" ), 1, IF( AND( OFFSET($A$1, 770 - 1, 59 - 1) = "1", OFFSET($A$1, 770 - 1, 60 - 1) = "0" ), 2, IF( AND( OFFSET($A$1, 770 - 1, 59 - 1) = "0", OFFSET($A$1, 770 - 1, 60 - 1) = "1" ), 3, 4 ) ) )</f>
        <v>4</v>
      </c>
      <c r="BK770" s="3">
        <v>6.6350710900473939E-2</v>
      </c>
      <c r="BL770" s="3" t="str">
        <f t="shared" si="85"/>
        <v>0</v>
      </c>
      <c r="BM770" t="str">
        <f ca="1">IF((OFFSET($A$1, 770 - 1, 63 - 1)) &gt;= (OFFSET($A$1, 135 - 1, 7 - 1)), "1","0")</f>
        <v>0</v>
      </c>
      <c r="BN770">
        <f ca="1" xml:space="preserve"> IF( AND( OFFSET($A$1, 770 - 1, 64 - 1) = "1", OFFSET($A$1, 770 - 1, 65 - 1) = "1" ), 1, IF( AND( OFFSET($A$1, 770 - 1, 64 - 1) = "1", OFFSET($A$1, 770 - 1, 65 - 1) = "0" ), 2, IF( AND( OFFSET($A$1, 770 - 1, 64 - 1) = "0", OFFSET($A$1, 770 - 1, 65 - 1) = "1" ), 3, 4 ) ) )</f>
        <v>4</v>
      </c>
    </row>
    <row r="771" spans="58:66" x14ac:dyDescent="0.2">
      <c r="BF771" s="3">
        <v>0</v>
      </c>
      <c r="BG771" s="3" t="str">
        <f t="shared" si="84"/>
        <v>0</v>
      </c>
      <c r="BH771" t="str">
        <f ca="1">IF((OFFSET($A$1, 771 - 1, 58 - 1)) &gt;= (OFFSET($A$1, 96 - 1, 7 - 1)), "1","0")</f>
        <v>0</v>
      </c>
      <c r="BI771">
        <f ca="1" xml:space="preserve"> IF( AND( OFFSET($A$1, 771 - 1, 59 - 1) = "1", OFFSET($A$1, 771 - 1, 60 - 1) = "1" ), 1, IF( AND( OFFSET($A$1, 771 - 1, 59 - 1) = "1", OFFSET($A$1, 771 - 1, 60 - 1) = "0" ), 2, IF( AND( OFFSET($A$1, 771 - 1, 59 - 1) = "0", OFFSET($A$1, 771 - 1, 60 - 1) = "1" ), 3, 4 ) ) )</f>
        <v>4</v>
      </c>
      <c r="BK771" s="3">
        <v>6.6350710900473939E-2</v>
      </c>
      <c r="BL771" s="3" t="str">
        <f t="shared" si="85"/>
        <v>0</v>
      </c>
      <c r="BM771" t="str">
        <f ca="1">IF((OFFSET($A$1, 771 - 1, 63 - 1)) &gt;= (OFFSET($A$1, 135 - 1, 7 - 1)), "1","0")</f>
        <v>0</v>
      </c>
      <c r="BN771">
        <f ca="1" xml:space="preserve"> IF( AND( OFFSET($A$1, 771 - 1, 64 - 1) = "1", OFFSET($A$1, 771 - 1, 65 - 1) = "1" ), 1, IF( AND( OFFSET($A$1, 771 - 1, 64 - 1) = "1", OFFSET($A$1, 771 - 1, 65 - 1) = "0" ), 2, IF( AND( OFFSET($A$1, 771 - 1, 64 - 1) = "0", OFFSET($A$1, 771 - 1, 65 - 1) = "1" ), 3, 4 ) ) )</f>
        <v>4</v>
      </c>
    </row>
    <row r="772" spans="58:66" x14ac:dyDescent="0.2">
      <c r="BF772" s="3">
        <v>0.1081081081081081</v>
      </c>
      <c r="BG772" s="3" t="str">
        <f t="shared" si="84"/>
        <v>0</v>
      </c>
      <c r="BH772" t="str">
        <f ca="1">IF((OFFSET($A$1, 772 - 1, 58 - 1)) &gt;= (OFFSET($A$1, 96 - 1, 7 - 1)), "1","0")</f>
        <v>0</v>
      </c>
      <c r="BI772">
        <f ca="1" xml:space="preserve"> IF( AND( OFFSET($A$1, 772 - 1, 59 - 1) = "1", OFFSET($A$1, 772 - 1, 60 - 1) = "1" ), 1, IF( AND( OFFSET($A$1, 772 - 1, 59 - 1) = "1", OFFSET($A$1, 772 - 1, 60 - 1) = "0" ), 2, IF( AND( OFFSET($A$1, 772 - 1, 59 - 1) = "0", OFFSET($A$1, 772 - 1, 60 - 1) = "1" ), 3, 4 ) ) )</f>
        <v>4</v>
      </c>
      <c r="BK772" s="3">
        <v>6.6350710900473939E-2</v>
      </c>
      <c r="BL772" s="3" t="str">
        <f t="shared" si="85"/>
        <v>0</v>
      </c>
      <c r="BM772" t="str">
        <f ca="1">IF((OFFSET($A$1, 772 - 1, 63 - 1)) &gt;= (OFFSET($A$1, 135 - 1, 7 - 1)), "1","0")</f>
        <v>0</v>
      </c>
      <c r="BN772">
        <f ca="1" xml:space="preserve"> IF( AND( OFFSET($A$1, 772 - 1, 64 - 1) = "1", OFFSET($A$1, 772 - 1, 65 - 1) = "1" ), 1, IF( AND( OFFSET($A$1, 772 - 1, 64 - 1) = "1", OFFSET($A$1, 772 - 1, 65 - 1) = "0" ), 2, IF( AND( OFFSET($A$1, 772 - 1, 64 - 1) = "0", OFFSET($A$1, 772 - 1, 65 - 1) = "1" ), 3, 4 ) ) )</f>
        <v>4</v>
      </c>
    </row>
    <row r="773" spans="58:66" x14ac:dyDescent="0.2">
      <c r="BF773" s="3">
        <v>0</v>
      </c>
      <c r="BG773" s="3" t="str">
        <f t="shared" si="84"/>
        <v>0</v>
      </c>
      <c r="BH773" t="str">
        <f ca="1">IF((OFFSET($A$1, 773 - 1, 58 - 1)) &gt;= (OFFSET($A$1, 96 - 1, 7 - 1)), "1","0")</f>
        <v>0</v>
      </c>
      <c r="BI773">
        <f ca="1" xml:space="preserve"> IF( AND( OFFSET($A$1, 773 - 1, 59 - 1) = "1", OFFSET($A$1, 773 - 1, 60 - 1) = "1" ), 1, IF( AND( OFFSET($A$1, 773 - 1, 59 - 1) = "1", OFFSET($A$1, 773 - 1, 60 - 1) = "0" ), 2, IF( AND( OFFSET($A$1, 773 - 1, 59 - 1) = "0", OFFSET($A$1, 773 - 1, 60 - 1) = "1" ), 3, 4 ) ) )</f>
        <v>4</v>
      </c>
      <c r="BK773" s="3">
        <v>6.6350710900473939E-2</v>
      </c>
      <c r="BL773" s="3" t="str">
        <f>"1"</f>
        <v>1</v>
      </c>
      <c r="BM773" t="str">
        <f ca="1">IF((OFFSET($A$1, 773 - 1, 63 - 1)) &gt;= (OFFSET($A$1, 135 - 1, 7 - 1)), "1","0")</f>
        <v>0</v>
      </c>
      <c r="BN773">
        <f ca="1" xml:space="preserve"> IF( AND( OFFSET($A$1, 773 - 1, 64 - 1) = "1", OFFSET($A$1, 773 - 1, 65 - 1) = "1" ), 1, IF( AND( OFFSET($A$1, 773 - 1, 64 - 1) = "1", OFFSET($A$1, 773 - 1, 65 - 1) = "0" ), 2, IF( AND( OFFSET($A$1, 773 - 1, 64 - 1) = "0", OFFSET($A$1, 773 - 1, 65 - 1) = "1" ), 3, 4 ) ) )</f>
        <v>2</v>
      </c>
    </row>
    <row r="774" spans="58:66" x14ac:dyDescent="0.2">
      <c r="BF774" s="3">
        <v>0.08</v>
      </c>
      <c r="BG774" s="3" t="str">
        <f>"1"</f>
        <v>1</v>
      </c>
      <c r="BH774" t="str">
        <f ca="1">IF((OFFSET($A$1, 774 - 1, 58 - 1)) &gt;= (OFFSET($A$1, 96 - 1, 7 - 1)), "1","0")</f>
        <v>0</v>
      </c>
      <c r="BI774">
        <f ca="1" xml:space="preserve"> IF( AND( OFFSET($A$1, 774 - 1, 59 - 1) = "1", OFFSET($A$1, 774 - 1, 60 - 1) = "1" ), 1, IF( AND( OFFSET($A$1, 774 - 1, 59 - 1) = "1", OFFSET($A$1, 774 - 1, 60 - 1) = "0" ), 2, IF( AND( OFFSET($A$1, 774 - 1, 59 - 1) = "0", OFFSET($A$1, 774 - 1, 60 - 1) = "1" ), 3, 4 ) ) )</f>
        <v>2</v>
      </c>
      <c r="BK774" s="3">
        <v>6.6350710900473939E-2</v>
      </c>
      <c r="BL774" s="3" t="str">
        <f>"0"</f>
        <v>0</v>
      </c>
      <c r="BM774" t="str">
        <f ca="1">IF((OFFSET($A$1, 774 - 1, 63 - 1)) &gt;= (OFFSET($A$1, 135 - 1, 7 - 1)), "1","0")</f>
        <v>0</v>
      </c>
      <c r="BN774">
        <f ca="1" xml:space="preserve"> IF( AND( OFFSET($A$1, 774 - 1, 64 - 1) = "1", OFFSET($A$1, 774 - 1, 65 - 1) = "1" ), 1, IF( AND( OFFSET($A$1, 774 - 1, 64 - 1) = "1", OFFSET($A$1, 774 - 1, 65 - 1) = "0" ), 2, IF( AND( OFFSET($A$1, 774 - 1, 64 - 1) = "0", OFFSET($A$1, 774 - 1, 65 - 1) = "1" ), 3, 4 ) ) )</f>
        <v>4</v>
      </c>
    </row>
    <row r="775" spans="58:66" x14ac:dyDescent="0.2">
      <c r="BF775" s="3">
        <v>0</v>
      </c>
      <c r="BG775" s="3" t="str">
        <f t="shared" ref="BG775:BG786" si="86">"0"</f>
        <v>0</v>
      </c>
      <c r="BH775" t="str">
        <f ca="1">IF((OFFSET($A$1, 775 - 1, 58 - 1)) &gt;= (OFFSET($A$1, 96 - 1, 7 - 1)), "1","0")</f>
        <v>0</v>
      </c>
      <c r="BI775">
        <f ca="1" xml:space="preserve"> IF( AND( OFFSET($A$1, 775 - 1, 59 - 1) = "1", OFFSET($A$1, 775 - 1, 60 - 1) = "1" ), 1, IF( AND( OFFSET($A$1, 775 - 1, 59 - 1) = "1", OFFSET($A$1, 775 - 1, 60 - 1) = "0" ), 2, IF( AND( OFFSET($A$1, 775 - 1, 59 - 1) = "0", OFFSET($A$1, 775 - 1, 60 - 1) = "1" ), 3, 4 ) ) )</f>
        <v>4</v>
      </c>
      <c r="BK775" s="3">
        <v>0.38775510204081637</v>
      </c>
      <c r="BL775" s="3" t="str">
        <f>"1"</f>
        <v>1</v>
      </c>
      <c r="BM775" t="str">
        <f ca="1">IF((OFFSET($A$1, 775 - 1, 63 - 1)) &gt;= (OFFSET($A$1, 135 - 1, 7 - 1)), "1","0")</f>
        <v>0</v>
      </c>
      <c r="BN775">
        <f ca="1" xml:space="preserve"> IF( AND( OFFSET($A$1, 775 - 1, 64 - 1) = "1", OFFSET($A$1, 775 - 1, 65 - 1) = "1" ), 1, IF( AND( OFFSET($A$1, 775 - 1, 64 - 1) = "1", OFFSET($A$1, 775 - 1, 65 - 1) = "0" ), 2, IF( AND( OFFSET($A$1, 775 - 1, 64 - 1) = "0", OFFSET($A$1, 775 - 1, 65 - 1) = "1" ), 3, 4 ) ) )</f>
        <v>2</v>
      </c>
    </row>
    <row r="776" spans="58:66" x14ac:dyDescent="0.2">
      <c r="BF776" s="3">
        <v>0</v>
      </c>
      <c r="BG776" s="3" t="str">
        <f t="shared" si="86"/>
        <v>0</v>
      </c>
      <c r="BH776" t="str">
        <f ca="1">IF((OFFSET($A$1, 776 - 1, 58 - 1)) &gt;= (OFFSET($A$1, 96 - 1, 7 - 1)), "1","0")</f>
        <v>0</v>
      </c>
      <c r="BI776">
        <f ca="1" xml:space="preserve"> IF( AND( OFFSET($A$1, 776 - 1, 59 - 1) = "1", OFFSET($A$1, 776 - 1, 60 - 1) = "1" ), 1, IF( AND( OFFSET($A$1, 776 - 1, 59 - 1) = "1", OFFSET($A$1, 776 - 1, 60 - 1) = "0" ), 2, IF( AND( OFFSET($A$1, 776 - 1, 59 - 1) = "0", OFFSET($A$1, 776 - 1, 60 - 1) = "1" ), 3, 4 ) ) )</f>
        <v>4</v>
      </c>
      <c r="BK776" s="3">
        <v>6.6350710900473939E-2</v>
      </c>
      <c r="BL776" s="3" t="str">
        <f>"0"</f>
        <v>0</v>
      </c>
      <c r="BM776" t="str">
        <f ca="1">IF((OFFSET($A$1, 776 - 1, 63 - 1)) &gt;= (OFFSET($A$1, 135 - 1, 7 - 1)), "1","0")</f>
        <v>0</v>
      </c>
      <c r="BN776">
        <f ca="1" xml:space="preserve"> IF( AND( OFFSET($A$1, 776 - 1, 64 - 1) = "1", OFFSET($A$1, 776 - 1, 65 - 1) = "1" ), 1, IF( AND( OFFSET($A$1, 776 - 1, 64 - 1) = "1", OFFSET($A$1, 776 - 1, 65 - 1) = "0" ), 2, IF( AND( OFFSET($A$1, 776 - 1, 64 - 1) = "0", OFFSET($A$1, 776 - 1, 65 - 1) = "1" ), 3, 4 ) ) )</f>
        <v>4</v>
      </c>
    </row>
    <row r="777" spans="58:66" x14ac:dyDescent="0.2">
      <c r="BF777" s="3">
        <v>0</v>
      </c>
      <c r="BG777" s="3" t="str">
        <f t="shared" si="86"/>
        <v>0</v>
      </c>
      <c r="BH777" t="str">
        <f ca="1">IF((OFFSET($A$1, 777 - 1, 58 - 1)) &gt;= (OFFSET($A$1, 96 - 1, 7 - 1)), "1","0")</f>
        <v>0</v>
      </c>
      <c r="BI777">
        <f ca="1" xml:space="preserve"> IF( AND( OFFSET($A$1, 777 - 1, 59 - 1) = "1", OFFSET($A$1, 777 - 1, 60 - 1) = "1" ), 1, IF( AND( OFFSET($A$1, 777 - 1, 59 - 1) = "1", OFFSET($A$1, 777 - 1, 60 - 1) = "0" ), 2, IF( AND( OFFSET($A$1, 777 - 1, 59 - 1) = "0", OFFSET($A$1, 777 - 1, 60 - 1) = "1" ), 3, 4 ) ) )</f>
        <v>4</v>
      </c>
      <c r="BK777" s="3">
        <v>6.6350710900473939E-2</v>
      </c>
      <c r="BL777" s="3" t="str">
        <f>"0"</f>
        <v>0</v>
      </c>
      <c r="BM777" t="str">
        <f ca="1">IF((OFFSET($A$1, 777 - 1, 63 - 1)) &gt;= (OFFSET($A$1, 135 - 1, 7 - 1)), "1","0")</f>
        <v>0</v>
      </c>
      <c r="BN777">
        <f ca="1" xml:space="preserve"> IF( AND( OFFSET($A$1, 777 - 1, 64 - 1) = "1", OFFSET($A$1, 777 - 1, 65 - 1) = "1" ), 1, IF( AND( OFFSET($A$1, 777 - 1, 64 - 1) = "1", OFFSET($A$1, 777 - 1, 65 - 1) = "0" ), 2, IF( AND( OFFSET($A$1, 777 - 1, 64 - 1) = "0", OFFSET($A$1, 777 - 1, 65 - 1) = "1" ), 3, 4 ) ) )</f>
        <v>4</v>
      </c>
    </row>
    <row r="778" spans="58:66" x14ac:dyDescent="0.2">
      <c r="BF778" s="3">
        <v>0</v>
      </c>
      <c r="BG778" s="3" t="str">
        <f t="shared" si="86"/>
        <v>0</v>
      </c>
      <c r="BH778" t="str">
        <f ca="1">IF((OFFSET($A$1, 778 - 1, 58 - 1)) &gt;= (OFFSET($A$1, 96 - 1, 7 - 1)), "1","0")</f>
        <v>0</v>
      </c>
      <c r="BI778">
        <f ca="1" xml:space="preserve"> IF( AND( OFFSET($A$1, 778 - 1, 59 - 1) = "1", OFFSET($A$1, 778 - 1, 60 - 1) = "1" ), 1, IF( AND( OFFSET($A$1, 778 - 1, 59 - 1) = "1", OFFSET($A$1, 778 - 1, 60 - 1) = "0" ), 2, IF( AND( OFFSET($A$1, 778 - 1, 59 - 1) = "0", OFFSET($A$1, 778 - 1, 60 - 1) = "1" ), 3, 4 ) ) )</f>
        <v>4</v>
      </c>
      <c r="BK778" s="3">
        <v>6.6350710900473939E-2</v>
      </c>
      <c r="BL778" s="3" t="str">
        <f>"0"</f>
        <v>0</v>
      </c>
      <c r="BM778" t="str">
        <f ca="1">IF((OFFSET($A$1, 778 - 1, 63 - 1)) &gt;= (OFFSET($A$1, 135 - 1, 7 - 1)), "1","0")</f>
        <v>0</v>
      </c>
      <c r="BN778">
        <f ca="1" xml:space="preserve"> IF( AND( OFFSET($A$1, 778 - 1, 64 - 1) = "1", OFFSET($A$1, 778 - 1, 65 - 1) = "1" ), 1, IF( AND( OFFSET($A$1, 778 - 1, 64 - 1) = "1", OFFSET($A$1, 778 - 1, 65 - 1) = "0" ), 2, IF( AND( OFFSET($A$1, 778 - 1, 64 - 1) = "0", OFFSET($A$1, 778 - 1, 65 - 1) = "1" ), 3, 4 ) ) )</f>
        <v>4</v>
      </c>
    </row>
    <row r="779" spans="58:66" x14ac:dyDescent="0.2">
      <c r="BF779" s="3">
        <v>0</v>
      </c>
      <c r="BG779" s="3" t="str">
        <f t="shared" si="86"/>
        <v>0</v>
      </c>
      <c r="BH779" t="str">
        <f ca="1">IF((OFFSET($A$1, 779 - 1, 58 - 1)) &gt;= (OFFSET($A$1, 96 - 1, 7 - 1)), "1","0")</f>
        <v>0</v>
      </c>
      <c r="BI779">
        <f ca="1" xml:space="preserve"> IF( AND( OFFSET($A$1, 779 - 1, 59 - 1) = "1", OFFSET($A$1, 779 - 1, 60 - 1) = "1" ), 1, IF( AND( OFFSET($A$1, 779 - 1, 59 - 1) = "1", OFFSET($A$1, 779 - 1, 60 - 1) = "0" ), 2, IF( AND( OFFSET($A$1, 779 - 1, 59 - 1) = "0", OFFSET($A$1, 779 - 1, 60 - 1) = "1" ), 3, 4 ) ) )</f>
        <v>4</v>
      </c>
      <c r="BK779" s="3">
        <v>0.90579710144927539</v>
      </c>
      <c r="BL779" s="3" t="str">
        <f>"1"</f>
        <v>1</v>
      </c>
      <c r="BM779" t="str">
        <f ca="1">IF((OFFSET($A$1, 779 - 1, 63 - 1)) &gt;= (OFFSET($A$1, 135 - 1, 7 - 1)), "1","0")</f>
        <v>1</v>
      </c>
      <c r="BN779">
        <f ca="1" xml:space="preserve"> IF( AND( OFFSET($A$1, 779 - 1, 64 - 1) = "1", OFFSET($A$1, 779 - 1, 65 - 1) = "1" ), 1, IF( AND( OFFSET($A$1, 779 - 1, 64 - 1) = "1", OFFSET($A$1, 779 - 1, 65 - 1) = "0" ), 2, IF( AND( OFFSET($A$1, 779 - 1, 64 - 1) = "0", OFFSET($A$1, 779 - 1, 65 - 1) = "1" ), 3, 4 ) ) )</f>
        <v>1</v>
      </c>
    </row>
    <row r="780" spans="58:66" x14ac:dyDescent="0.2">
      <c r="BF780" s="3">
        <v>0.1081081081081081</v>
      </c>
      <c r="BG780" s="3" t="str">
        <f t="shared" si="86"/>
        <v>0</v>
      </c>
      <c r="BH780" t="str">
        <f ca="1">IF((OFFSET($A$1, 780 - 1, 58 - 1)) &gt;= (OFFSET($A$1, 96 - 1, 7 - 1)), "1","0")</f>
        <v>0</v>
      </c>
      <c r="BI780">
        <f ca="1" xml:space="preserve"> IF( AND( OFFSET($A$1, 780 - 1, 59 - 1) = "1", OFFSET($A$1, 780 - 1, 60 - 1) = "1" ), 1, IF( AND( OFFSET($A$1, 780 - 1, 59 - 1) = "1", OFFSET($A$1, 780 - 1, 60 - 1) = "0" ), 2, IF( AND( OFFSET($A$1, 780 - 1, 59 - 1) = "0", OFFSET($A$1, 780 - 1, 60 - 1) = "1" ), 3, 4 ) ) )</f>
        <v>4</v>
      </c>
      <c r="BK780" s="3">
        <v>2.5316455696202531E-2</v>
      </c>
      <c r="BL780" s="3" t="str">
        <f t="shared" ref="BL780:BL790" si="87">"0"</f>
        <v>0</v>
      </c>
      <c r="BM780" t="str">
        <f ca="1">IF((OFFSET($A$1, 780 - 1, 63 - 1)) &gt;= (OFFSET($A$1, 135 - 1, 7 - 1)), "1","0")</f>
        <v>0</v>
      </c>
      <c r="BN780">
        <f ca="1" xml:space="preserve"> IF( AND( OFFSET($A$1, 780 - 1, 64 - 1) = "1", OFFSET($A$1, 780 - 1, 65 - 1) = "1" ), 1, IF( AND( OFFSET($A$1, 780 - 1, 64 - 1) = "1", OFFSET($A$1, 780 - 1, 65 - 1) = "0" ), 2, IF( AND( OFFSET($A$1, 780 - 1, 64 - 1) = "0", OFFSET($A$1, 780 - 1, 65 - 1) = "1" ), 3, 4 ) ) )</f>
        <v>4</v>
      </c>
    </row>
    <row r="781" spans="58:66" x14ac:dyDescent="0.2">
      <c r="BF781" s="3">
        <v>3.7037037037037042E-2</v>
      </c>
      <c r="BG781" s="3" t="str">
        <f t="shared" si="86"/>
        <v>0</v>
      </c>
      <c r="BH781" t="str">
        <f ca="1">IF((OFFSET($A$1, 781 - 1, 58 - 1)) &gt;= (OFFSET($A$1, 96 - 1, 7 - 1)), "1","0")</f>
        <v>0</v>
      </c>
      <c r="BI781">
        <f ca="1" xml:space="preserve"> IF( AND( OFFSET($A$1, 781 - 1, 59 - 1) = "1", OFFSET($A$1, 781 - 1, 60 - 1) = "1" ), 1, IF( AND( OFFSET($A$1, 781 - 1, 59 - 1) = "1", OFFSET($A$1, 781 - 1, 60 - 1) = "0" ), 2, IF( AND( OFFSET($A$1, 781 - 1, 59 - 1) = "0", OFFSET($A$1, 781 - 1, 60 - 1) = "1" ), 3, 4 ) ) )</f>
        <v>4</v>
      </c>
      <c r="BK781" s="3">
        <v>6.6350710900473939E-2</v>
      </c>
      <c r="BL781" s="3" t="str">
        <f t="shared" si="87"/>
        <v>0</v>
      </c>
      <c r="BM781" t="str">
        <f ca="1">IF((OFFSET($A$1, 781 - 1, 63 - 1)) &gt;= (OFFSET($A$1, 135 - 1, 7 - 1)), "1","0")</f>
        <v>0</v>
      </c>
      <c r="BN781">
        <f ca="1" xml:space="preserve"> IF( AND( OFFSET($A$1, 781 - 1, 64 - 1) = "1", OFFSET($A$1, 781 - 1, 65 - 1) = "1" ), 1, IF( AND( OFFSET($A$1, 781 - 1, 64 - 1) = "1", OFFSET($A$1, 781 - 1, 65 - 1) = "0" ), 2, IF( AND( OFFSET($A$1, 781 - 1, 64 - 1) = "0", OFFSET($A$1, 781 - 1, 65 - 1) = "1" ), 3, 4 ) ) )</f>
        <v>4</v>
      </c>
    </row>
    <row r="782" spans="58:66" x14ac:dyDescent="0.2">
      <c r="BF782" s="3">
        <v>0</v>
      </c>
      <c r="BG782" s="3" t="str">
        <f t="shared" si="86"/>
        <v>0</v>
      </c>
      <c r="BH782" t="str">
        <f ca="1">IF((OFFSET($A$1, 782 - 1, 58 - 1)) &gt;= (OFFSET($A$1, 96 - 1, 7 - 1)), "1","0")</f>
        <v>0</v>
      </c>
      <c r="BI782">
        <f ca="1" xml:space="preserve"> IF( AND( OFFSET($A$1, 782 - 1, 59 - 1) = "1", OFFSET($A$1, 782 - 1, 60 - 1) = "1" ), 1, IF( AND( OFFSET($A$1, 782 - 1, 59 - 1) = "1", OFFSET($A$1, 782 - 1, 60 - 1) = "0" ), 2, IF( AND( OFFSET($A$1, 782 - 1, 59 - 1) = "0", OFFSET($A$1, 782 - 1, 60 - 1) = "1" ), 3, 4 ) ) )</f>
        <v>4</v>
      </c>
      <c r="BK782" s="3">
        <v>6.6350710900473939E-2</v>
      </c>
      <c r="BL782" s="3" t="str">
        <f t="shared" si="87"/>
        <v>0</v>
      </c>
      <c r="BM782" t="str">
        <f ca="1">IF((OFFSET($A$1, 782 - 1, 63 - 1)) &gt;= (OFFSET($A$1, 135 - 1, 7 - 1)), "1","0")</f>
        <v>0</v>
      </c>
      <c r="BN782">
        <f ca="1" xml:space="preserve"> IF( AND( OFFSET($A$1, 782 - 1, 64 - 1) = "1", OFFSET($A$1, 782 - 1, 65 - 1) = "1" ), 1, IF( AND( OFFSET($A$1, 782 - 1, 64 - 1) = "1", OFFSET($A$1, 782 - 1, 65 - 1) = "0" ), 2, IF( AND( OFFSET($A$1, 782 - 1, 64 - 1) = "0", OFFSET($A$1, 782 - 1, 65 - 1) = "1" ), 3, 4 ) ) )</f>
        <v>4</v>
      </c>
    </row>
    <row r="783" spans="58:66" x14ac:dyDescent="0.2">
      <c r="BF783" s="3">
        <v>0</v>
      </c>
      <c r="BG783" s="3" t="str">
        <f t="shared" si="86"/>
        <v>0</v>
      </c>
      <c r="BH783" t="str">
        <f ca="1">IF((OFFSET($A$1, 783 - 1, 58 - 1)) &gt;= (OFFSET($A$1, 96 - 1, 7 - 1)), "1","0")</f>
        <v>0</v>
      </c>
      <c r="BI783">
        <f ca="1" xml:space="preserve"> IF( AND( OFFSET($A$1, 783 - 1, 59 - 1) = "1", OFFSET($A$1, 783 - 1, 60 - 1) = "1" ), 1, IF( AND( OFFSET($A$1, 783 - 1, 59 - 1) = "1", OFFSET($A$1, 783 - 1, 60 - 1) = "0" ), 2, IF( AND( OFFSET($A$1, 783 - 1, 59 - 1) = "0", OFFSET($A$1, 783 - 1, 60 - 1) = "1" ), 3, 4 ) ) )</f>
        <v>4</v>
      </c>
      <c r="BK783" s="3">
        <v>6.6350710900473939E-2</v>
      </c>
      <c r="BL783" s="3" t="str">
        <f t="shared" si="87"/>
        <v>0</v>
      </c>
      <c r="BM783" t="str">
        <f ca="1">IF((OFFSET($A$1, 783 - 1, 63 - 1)) &gt;= (OFFSET($A$1, 135 - 1, 7 - 1)), "1","0")</f>
        <v>0</v>
      </c>
      <c r="BN783">
        <f ca="1" xml:space="preserve"> IF( AND( OFFSET($A$1, 783 - 1, 64 - 1) = "1", OFFSET($A$1, 783 - 1, 65 - 1) = "1" ), 1, IF( AND( OFFSET($A$1, 783 - 1, 64 - 1) = "1", OFFSET($A$1, 783 - 1, 65 - 1) = "0" ), 2, IF( AND( OFFSET($A$1, 783 - 1, 64 - 1) = "0", OFFSET($A$1, 783 - 1, 65 - 1) = "1" ), 3, 4 ) ) )</f>
        <v>4</v>
      </c>
    </row>
    <row r="784" spans="58:66" x14ac:dyDescent="0.2">
      <c r="BF784" s="3">
        <v>0</v>
      </c>
      <c r="BG784" s="3" t="str">
        <f t="shared" si="86"/>
        <v>0</v>
      </c>
      <c r="BH784" t="str">
        <f ca="1">IF((OFFSET($A$1, 784 - 1, 58 - 1)) &gt;= (OFFSET($A$1, 96 - 1, 7 - 1)), "1","0")</f>
        <v>0</v>
      </c>
      <c r="BI784">
        <f ca="1" xml:space="preserve"> IF( AND( OFFSET($A$1, 784 - 1, 59 - 1) = "1", OFFSET($A$1, 784 - 1, 60 - 1) = "1" ), 1, IF( AND( OFFSET($A$1, 784 - 1, 59 - 1) = "1", OFFSET($A$1, 784 - 1, 60 - 1) = "0" ), 2, IF( AND( OFFSET($A$1, 784 - 1, 59 - 1) = "0", OFFSET($A$1, 784 - 1, 60 - 1) = "1" ), 3, 4 ) ) )</f>
        <v>4</v>
      </c>
      <c r="BK784" s="3">
        <v>6.6350710900473939E-2</v>
      </c>
      <c r="BL784" s="3" t="str">
        <f t="shared" si="87"/>
        <v>0</v>
      </c>
      <c r="BM784" t="str">
        <f ca="1">IF((OFFSET($A$1, 784 - 1, 63 - 1)) &gt;= (OFFSET($A$1, 135 - 1, 7 - 1)), "1","0")</f>
        <v>0</v>
      </c>
      <c r="BN784">
        <f ca="1" xml:space="preserve"> IF( AND( OFFSET($A$1, 784 - 1, 64 - 1) = "1", OFFSET($A$1, 784 - 1, 65 - 1) = "1" ), 1, IF( AND( OFFSET($A$1, 784 - 1, 64 - 1) = "1", OFFSET($A$1, 784 - 1, 65 - 1) = "0" ), 2, IF( AND( OFFSET($A$1, 784 - 1, 64 - 1) = "0", OFFSET($A$1, 784 - 1, 65 - 1) = "1" ), 3, 4 ) ) )</f>
        <v>4</v>
      </c>
    </row>
    <row r="785" spans="58:66" x14ac:dyDescent="0.2">
      <c r="BF785" s="3">
        <v>0</v>
      </c>
      <c r="BG785" s="3" t="str">
        <f t="shared" si="86"/>
        <v>0</v>
      </c>
      <c r="BH785" t="str">
        <f ca="1">IF((OFFSET($A$1, 785 - 1, 58 - 1)) &gt;= (OFFSET($A$1, 96 - 1, 7 - 1)), "1","0")</f>
        <v>0</v>
      </c>
      <c r="BI785">
        <f ca="1" xml:space="preserve"> IF( AND( OFFSET($A$1, 785 - 1, 59 - 1) = "1", OFFSET($A$1, 785 - 1, 60 - 1) = "1" ), 1, IF( AND( OFFSET($A$1, 785 - 1, 59 - 1) = "1", OFFSET($A$1, 785 - 1, 60 - 1) = "0" ), 2, IF( AND( OFFSET($A$1, 785 - 1, 59 - 1) = "0", OFFSET($A$1, 785 - 1, 60 - 1) = "1" ), 3, 4 ) ) )</f>
        <v>4</v>
      </c>
      <c r="BK785" s="3">
        <v>6.6350710900473939E-2</v>
      </c>
      <c r="BL785" s="3" t="str">
        <f t="shared" si="87"/>
        <v>0</v>
      </c>
      <c r="BM785" t="str">
        <f ca="1">IF((OFFSET($A$1, 785 - 1, 63 - 1)) &gt;= (OFFSET($A$1, 135 - 1, 7 - 1)), "1","0")</f>
        <v>0</v>
      </c>
      <c r="BN785">
        <f ca="1" xml:space="preserve"> IF( AND( OFFSET($A$1, 785 - 1, 64 - 1) = "1", OFFSET($A$1, 785 - 1, 65 - 1) = "1" ), 1, IF( AND( OFFSET($A$1, 785 - 1, 64 - 1) = "1", OFFSET($A$1, 785 - 1, 65 - 1) = "0" ), 2, IF( AND( OFFSET($A$1, 785 - 1, 64 - 1) = "0", OFFSET($A$1, 785 - 1, 65 - 1) = "1" ), 3, 4 ) ) )</f>
        <v>4</v>
      </c>
    </row>
    <row r="786" spans="58:66" x14ac:dyDescent="0.2">
      <c r="BF786" s="3">
        <v>0</v>
      </c>
      <c r="BG786" s="3" t="str">
        <f t="shared" si="86"/>
        <v>0</v>
      </c>
      <c r="BH786" t="str">
        <f ca="1">IF((OFFSET($A$1, 786 - 1, 58 - 1)) &gt;= (OFFSET($A$1, 96 - 1, 7 - 1)), "1","0")</f>
        <v>0</v>
      </c>
      <c r="BI786">
        <f ca="1" xml:space="preserve"> IF( AND( OFFSET($A$1, 786 - 1, 59 - 1) = "1", OFFSET($A$1, 786 - 1, 60 - 1) = "1" ), 1, IF( AND( OFFSET($A$1, 786 - 1, 59 - 1) = "1", OFFSET($A$1, 786 - 1, 60 - 1) = "0" ), 2, IF( AND( OFFSET($A$1, 786 - 1, 59 - 1) = "0", OFFSET($A$1, 786 - 1, 60 - 1) = "1" ), 3, 4 ) ) )</f>
        <v>4</v>
      </c>
      <c r="BK786" s="3">
        <v>6.6350710900473939E-2</v>
      </c>
      <c r="BL786" s="3" t="str">
        <f t="shared" si="87"/>
        <v>0</v>
      </c>
      <c r="BM786" t="str">
        <f ca="1">IF((OFFSET($A$1, 786 - 1, 63 - 1)) &gt;= (OFFSET($A$1, 135 - 1, 7 - 1)), "1","0")</f>
        <v>0</v>
      </c>
      <c r="BN786">
        <f ca="1" xml:space="preserve"> IF( AND( OFFSET($A$1, 786 - 1, 64 - 1) = "1", OFFSET($A$1, 786 - 1, 65 - 1) = "1" ), 1, IF( AND( OFFSET($A$1, 786 - 1, 64 - 1) = "1", OFFSET($A$1, 786 - 1, 65 - 1) = "0" ), 2, IF( AND( OFFSET($A$1, 786 - 1, 64 - 1) = "0", OFFSET($A$1, 786 - 1, 65 - 1) = "1" ), 3, 4 ) ) )</f>
        <v>4</v>
      </c>
    </row>
    <row r="787" spans="58:66" x14ac:dyDescent="0.2">
      <c r="BF787" s="3">
        <v>0.90579710144927539</v>
      </c>
      <c r="BG787" s="3" t="str">
        <f>"1"</f>
        <v>1</v>
      </c>
      <c r="BH787" t="str">
        <f ca="1">IF((OFFSET($A$1, 787 - 1, 58 - 1)) &gt;= (OFFSET($A$1, 96 - 1, 7 - 1)), "1","0")</f>
        <v>1</v>
      </c>
      <c r="BI787">
        <f ca="1" xml:space="preserve"> IF( AND( OFFSET($A$1, 787 - 1, 59 - 1) = "1", OFFSET($A$1, 787 - 1, 60 - 1) = "1" ), 1, IF( AND( OFFSET($A$1, 787 - 1, 59 - 1) = "1", OFFSET($A$1, 787 - 1, 60 - 1) = "0" ), 2, IF( AND( OFFSET($A$1, 787 - 1, 59 - 1) = "0", OFFSET($A$1, 787 - 1, 60 - 1) = "1" ), 3, 4 ) ) )</f>
        <v>1</v>
      </c>
      <c r="BK787" s="3">
        <v>6.6350710900473939E-2</v>
      </c>
      <c r="BL787" s="3" t="str">
        <f t="shared" si="87"/>
        <v>0</v>
      </c>
      <c r="BM787" t="str">
        <f ca="1">IF((OFFSET($A$1, 787 - 1, 63 - 1)) &gt;= (OFFSET($A$1, 135 - 1, 7 - 1)), "1","0")</f>
        <v>0</v>
      </c>
      <c r="BN787">
        <f ca="1" xml:space="preserve"> IF( AND( OFFSET($A$1, 787 - 1, 64 - 1) = "1", OFFSET($A$1, 787 - 1, 65 - 1) = "1" ), 1, IF( AND( OFFSET($A$1, 787 - 1, 64 - 1) = "1", OFFSET($A$1, 787 - 1, 65 - 1) = "0" ), 2, IF( AND( OFFSET($A$1, 787 - 1, 64 - 1) = "0", OFFSET($A$1, 787 - 1, 65 - 1) = "1" ), 3, 4 ) ) )</f>
        <v>4</v>
      </c>
    </row>
    <row r="788" spans="58:66" x14ac:dyDescent="0.2">
      <c r="BF788" s="3">
        <v>0</v>
      </c>
      <c r="BG788" s="3" t="str">
        <f>"0"</f>
        <v>0</v>
      </c>
      <c r="BH788" t="str">
        <f ca="1">IF((OFFSET($A$1, 788 - 1, 58 - 1)) &gt;= (OFFSET($A$1, 96 - 1, 7 - 1)), "1","0")</f>
        <v>0</v>
      </c>
      <c r="BI788">
        <f ca="1" xml:space="preserve"> IF( AND( OFFSET($A$1, 788 - 1, 59 - 1) = "1", OFFSET($A$1, 788 - 1, 60 - 1) = "1" ), 1, IF( AND( OFFSET($A$1, 788 - 1, 59 - 1) = "1", OFFSET($A$1, 788 - 1, 60 - 1) = "0" ), 2, IF( AND( OFFSET($A$1, 788 - 1, 59 - 1) = "0", OFFSET($A$1, 788 - 1, 60 - 1) = "1" ), 3, 4 ) ) )</f>
        <v>4</v>
      </c>
      <c r="BK788" s="3">
        <v>6.6350710900473939E-2</v>
      </c>
      <c r="BL788" s="3" t="str">
        <f t="shared" si="87"/>
        <v>0</v>
      </c>
      <c r="BM788" t="str">
        <f ca="1">IF((OFFSET($A$1, 788 - 1, 63 - 1)) &gt;= (OFFSET($A$1, 135 - 1, 7 - 1)), "1","0")</f>
        <v>0</v>
      </c>
      <c r="BN788">
        <f ca="1" xml:space="preserve"> IF( AND( OFFSET($A$1, 788 - 1, 64 - 1) = "1", OFFSET($A$1, 788 - 1, 65 - 1) = "1" ), 1, IF( AND( OFFSET($A$1, 788 - 1, 64 - 1) = "1", OFFSET($A$1, 788 - 1, 65 - 1) = "0" ), 2, IF( AND( OFFSET($A$1, 788 - 1, 64 - 1) = "0", OFFSET($A$1, 788 - 1, 65 - 1) = "1" ), 3, 4 ) ) )</f>
        <v>4</v>
      </c>
    </row>
    <row r="789" spans="58:66" x14ac:dyDescent="0.2">
      <c r="BF789" s="3">
        <v>0</v>
      </c>
      <c r="BG789" s="3" t="str">
        <f>"0"</f>
        <v>0</v>
      </c>
      <c r="BH789" t="str">
        <f ca="1">IF((OFFSET($A$1, 789 - 1, 58 - 1)) &gt;= (OFFSET($A$1, 96 - 1, 7 - 1)), "1","0")</f>
        <v>0</v>
      </c>
      <c r="BI789">
        <f ca="1" xml:space="preserve"> IF( AND( OFFSET($A$1, 789 - 1, 59 - 1) = "1", OFFSET($A$1, 789 - 1, 60 - 1) = "1" ), 1, IF( AND( OFFSET($A$1, 789 - 1, 59 - 1) = "1", OFFSET($A$1, 789 - 1, 60 - 1) = "0" ), 2, IF( AND( OFFSET($A$1, 789 - 1, 59 - 1) = "0", OFFSET($A$1, 789 - 1, 60 - 1) = "1" ), 3, 4 ) ) )</f>
        <v>4</v>
      </c>
      <c r="BK789" s="3">
        <v>6.6350710900473939E-2</v>
      </c>
      <c r="BL789" s="3" t="str">
        <f t="shared" si="87"/>
        <v>0</v>
      </c>
      <c r="BM789" t="str">
        <f ca="1">IF((OFFSET($A$1, 789 - 1, 63 - 1)) &gt;= (OFFSET($A$1, 135 - 1, 7 - 1)), "1","0")</f>
        <v>0</v>
      </c>
      <c r="BN789">
        <f ca="1" xml:space="preserve"> IF( AND( OFFSET($A$1, 789 - 1, 64 - 1) = "1", OFFSET($A$1, 789 - 1, 65 - 1) = "1" ), 1, IF( AND( OFFSET($A$1, 789 - 1, 64 - 1) = "1", OFFSET($A$1, 789 - 1, 65 - 1) = "0" ), 2, IF( AND( OFFSET($A$1, 789 - 1, 64 - 1) = "0", OFFSET($A$1, 789 - 1, 65 - 1) = "1" ), 3, 4 ) ) )</f>
        <v>4</v>
      </c>
    </row>
    <row r="790" spans="58:66" x14ac:dyDescent="0.2">
      <c r="BF790" s="3">
        <v>0</v>
      </c>
      <c r="BG790" s="3" t="str">
        <f>"0"</f>
        <v>0</v>
      </c>
      <c r="BH790" t="str">
        <f ca="1">IF((OFFSET($A$1, 790 - 1, 58 - 1)) &gt;= (OFFSET($A$1, 96 - 1, 7 - 1)), "1","0")</f>
        <v>0</v>
      </c>
      <c r="BI790">
        <f ca="1" xml:space="preserve"> IF( AND( OFFSET($A$1, 790 - 1, 59 - 1) = "1", OFFSET($A$1, 790 - 1, 60 - 1) = "1" ), 1, IF( AND( OFFSET($A$1, 790 - 1, 59 - 1) = "1", OFFSET($A$1, 790 - 1, 60 - 1) = "0" ), 2, IF( AND( OFFSET($A$1, 790 - 1, 59 - 1) = "0", OFFSET($A$1, 790 - 1, 60 - 1) = "1" ), 3, 4 ) ) )</f>
        <v>4</v>
      </c>
      <c r="BK790" s="3">
        <v>2.5316455696202531E-2</v>
      </c>
      <c r="BL790" s="3" t="str">
        <f t="shared" si="87"/>
        <v>0</v>
      </c>
      <c r="BM790" t="str">
        <f ca="1">IF((OFFSET($A$1, 790 - 1, 63 - 1)) &gt;= (OFFSET($A$1, 135 - 1, 7 - 1)), "1","0")</f>
        <v>0</v>
      </c>
      <c r="BN790">
        <f ca="1" xml:space="preserve"> IF( AND( OFFSET($A$1, 790 - 1, 64 - 1) = "1", OFFSET($A$1, 790 - 1, 65 - 1) = "1" ), 1, IF( AND( OFFSET($A$1, 790 - 1, 64 - 1) = "1", OFFSET($A$1, 790 - 1, 65 - 1) = "0" ), 2, IF( AND( OFFSET($A$1, 790 - 1, 64 - 1) = "0", OFFSET($A$1, 790 - 1, 65 - 1) = "1" ), 3, 4 ) ) )</f>
        <v>4</v>
      </c>
    </row>
    <row r="791" spans="58:66" x14ac:dyDescent="0.2">
      <c r="BF791" s="3">
        <v>0</v>
      </c>
      <c r="BG791" s="3" t="str">
        <f>"0"</f>
        <v>0</v>
      </c>
      <c r="BH791" t="str">
        <f ca="1">IF((OFFSET($A$1, 791 - 1, 58 - 1)) &gt;= (OFFSET($A$1, 96 - 1, 7 - 1)), "1","0")</f>
        <v>0</v>
      </c>
      <c r="BI791">
        <f ca="1" xml:space="preserve"> IF( AND( OFFSET($A$1, 791 - 1, 59 - 1) = "1", OFFSET($A$1, 791 - 1, 60 - 1) = "1" ), 1, IF( AND( OFFSET($A$1, 791 - 1, 59 - 1) = "1", OFFSET($A$1, 791 - 1, 60 - 1) = "0" ), 2, IF( AND( OFFSET($A$1, 791 - 1, 59 - 1) = "0", OFFSET($A$1, 791 - 1, 60 - 1) = "1" ), 3, 4 ) ) )</f>
        <v>4</v>
      </c>
      <c r="BK791" s="3">
        <v>0.90579710144927539</v>
      </c>
      <c r="BL791" s="3" t="str">
        <f>"1"</f>
        <v>1</v>
      </c>
      <c r="BM791" t="str">
        <f ca="1">IF((OFFSET($A$1, 791 - 1, 63 - 1)) &gt;= (OFFSET($A$1, 135 - 1, 7 - 1)), "1","0")</f>
        <v>1</v>
      </c>
      <c r="BN791">
        <f ca="1" xml:space="preserve"> IF( AND( OFFSET($A$1, 791 - 1, 64 - 1) = "1", OFFSET($A$1, 791 - 1, 65 - 1) = "1" ), 1, IF( AND( OFFSET($A$1, 791 - 1, 64 - 1) = "1", OFFSET($A$1, 791 - 1, 65 - 1) = "0" ), 2, IF( AND( OFFSET($A$1, 791 - 1, 64 - 1) = "0", OFFSET($A$1, 791 - 1, 65 - 1) = "1" ), 3, 4 ) ) )</f>
        <v>1</v>
      </c>
    </row>
    <row r="792" spans="58:66" x14ac:dyDescent="0.2">
      <c r="BF792" s="3">
        <v>0</v>
      </c>
      <c r="BG792" s="3" t="str">
        <f>"0"</f>
        <v>0</v>
      </c>
      <c r="BH792" t="str">
        <f ca="1">IF((OFFSET($A$1, 792 - 1, 58 - 1)) &gt;= (OFFSET($A$1, 96 - 1, 7 - 1)), "1","0")</f>
        <v>0</v>
      </c>
      <c r="BI792">
        <f ca="1" xml:space="preserve"> IF( AND( OFFSET($A$1, 792 - 1, 59 - 1) = "1", OFFSET($A$1, 792 - 1, 60 - 1) = "1" ), 1, IF( AND( OFFSET($A$1, 792 - 1, 59 - 1) = "1", OFFSET($A$1, 792 - 1, 60 - 1) = "0" ), 2, IF( AND( OFFSET($A$1, 792 - 1, 59 - 1) = "0", OFFSET($A$1, 792 - 1, 60 - 1) = "1" ), 3, 4 ) ) )</f>
        <v>4</v>
      </c>
      <c r="BK792" s="3">
        <v>6.6350710900473939E-2</v>
      </c>
      <c r="BL792" s="3" t="str">
        <f>"0"</f>
        <v>0</v>
      </c>
      <c r="BM792" t="str">
        <f ca="1">IF((OFFSET($A$1, 792 - 1, 63 - 1)) &gt;= (OFFSET($A$1, 135 - 1, 7 - 1)), "1","0")</f>
        <v>0</v>
      </c>
      <c r="BN792">
        <f ca="1" xml:space="preserve"> IF( AND( OFFSET($A$1, 792 - 1, 64 - 1) = "1", OFFSET($A$1, 792 - 1, 65 - 1) = "1" ), 1, IF( AND( OFFSET($A$1, 792 - 1, 64 - 1) = "1", OFFSET($A$1, 792 - 1, 65 - 1) = "0" ), 2, IF( AND( OFFSET($A$1, 792 - 1, 64 - 1) = "0", OFFSET($A$1, 792 - 1, 65 - 1) = "1" ), 3, 4 ) ) )</f>
        <v>4</v>
      </c>
    </row>
    <row r="793" spans="58:66" x14ac:dyDescent="0.2">
      <c r="BF793" s="3">
        <v>0.90579710144927539</v>
      </c>
      <c r="BG793" s="3" t="str">
        <f>"1"</f>
        <v>1</v>
      </c>
      <c r="BH793" t="str">
        <f ca="1">IF((OFFSET($A$1, 793 - 1, 58 - 1)) &gt;= (OFFSET($A$1, 96 - 1, 7 - 1)), "1","0")</f>
        <v>1</v>
      </c>
      <c r="BI793">
        <f ca="1" xml:space="preserve"> IF( AND( OFFSET($A$1, 793 - 1, 59 - 1) = "1", OFFSET($A$1, 793 - 1, 60 - 1) = "1" ), 1, IF( AND( OFFSET($A$1, 793 - 1, 59 - 1) = "1", OFFSET($A$1, 793 - 1, 60 - 1) = "0" ), 2, IF( AND( OFFSET($A$1, 793 - 1, 59 - 1) = "0", OFFSET($A$1, 793 - 1, 60 - 1) = "1" ), 3, 4 ) ) )</f>
        <v>1</v>
      </c>
      <c r="BK793" s="3">
        <v>0.36</v>
      </c>
      <c r="BL793" s="3" t="str">
        <f>"1"</f>
        <v>1</v>
      </c>
      <c r="BM793" t="str">
        <f ca="1">IF((OFFSET($A$1, 793 - 1, 63 - 1)) &gt;= (OFFSET($A$1, 135 - 1, 7 - 1)), "1","0")</f>
        <v>0</v>
      </c>
      <c r="BN793">
        <f ca="1" xml:space="preserve"> IF( AND( OFFSET($A$1, 793 - 1, 64 - 1) = "1", OFFSET($A$1, 793 - 1, 65 - 1) = "1" ), 1, IF( AND( OFFSET($A$1, 793 - 1, 64 - 1) = "1", OFFSET($A$1, 793 - 1, 65 - 1) = "0" ), 2, IF( AND( OFFSET($A$1, 793 - 1, 64 - 1) = "0", OFFSET($A$1, 793 - 1, 65 - 1) = "1" ), 3, 4 ) ) )</f>
        <v>2</v>
      </c>
    </row>
    <row r="794" spans="58:66" x14ac:dyDescent="0.2">
      <c r="BF794" s="3">
        <v>0</v>
      </c>
      <c r="BG794" s="3" t="str">
        <f t="shared" ref="BG794:BG801" si="88">"0"</f>
        <v>0</v>
      </c>
      <c r="BH794" t="str">
        <f ca="1">IF((OFFSET($A$1, 794 - 1, 58 - 1)) &gt;= (OFFSET($A$1, 96 - 1, 7 - 1)), "1","0")</f>
        <v>0</v>
      </c>
      <c r="BI794">
        <f ca="1" xml:space="preserve"> IF( AND( OFFSET($A$1, 794 - 1, 59 - 1) = "1", OFFSET($A$1, 794 - 1, 60 - 1) = "1" ), 1, IF( AND( OFFSET($A$1, 794 - 1, 59 - 1) = "1", OFFSET($A$1, 794 - 1, 60 - 1) = "0" ), 2, IF( AND( OFFSET($A$1, 794 - 1, 59 - 1) = "0", OFFSET($A$1, 794 - 1, 60 - 1) = "1" ), 3, 4 ) ) )</f>
        <v>4</v>
      </c>
      <c r="BK794" s="3">
        <v>6.6350710900473939E-2</v>
      </c>
      <c r="BL794" s="3" t="str">
        <f>"1"</f>
        <v>1</v>
      </c>
      <c r="BM794" t="str">
        <f ca="1">IF((OFFSET($A$1, 794 - 1, 63 - 1)) &gt;= (OFFSET($A$1, 135 - 1, 7 - 1)), "1","0")</f>
        <v>0</v>
      </c>
      <c r="BN794">
        <f ca="1" xml:space="preserve"> IF( AND( OFFSET($A$1, 794 - 1, 64 - 1) = "1", OFFSET($A$1, 794 - 1, 65 - 1) = "1" ), 1, IF( AND( OFFSET($A$1, 794 - 1, 64 - 1) = "1", OFFSET($A$1, 794 - 1, 65 - 1) = "0" ), 2, IF( AND( OFFSET($A$1, 794 - 1, 64 - 1) = "0", OFFSET($A$1, 794 - 1, 65 - 1) = "1" ), 3, 4 ) ) )</f>
        <v>2</v>
      </c>
    </row>
    <row r="795" spans="58:66" x14ac:dyDescent="0.2">
      <c r="BF795" s="3">
        <v>0</v>
      </c>
      <c r="BG795" s="3" t="str">
        <f t="shared" si="88"/>
        <v>0</v>
      </c>
      <c r="BH795" t="str">
        <f ca="1">IF((OFFSET($A$1, 795 - 1, 58 - 1)) &gt;= (OFFSET($A$1, 96 - 1, 7 - 1)), "1","0")</f>
        <v>0</v>
      </c>
      <c r="BI795">
        <f ca="1" xml:space="preserve"> IF( AND( OFFSET($A$1, 795 - 1, 59 - 1) = "1", OFFSET($A$1, 795 - 1, 60 - 1) = "1" ), 1, IF( AND( OFFSET($A$1, 795 - 1, 59 - 1) = "1", OFFSET($A$1, 795 - 1, 60 - 1) = "0" ), 2, IF( AND( OFFSET($A$1, 795 - 1, 59 - 1) = "0", OFFSET($A$1, 795 - 1, 60 - 1) = "1" ), 3, 4 ) ) )</f>
        <v>4</v>
      </c>
      <c r="BK795" s="3">
        <v>6.6350710900473939E-2</v>
      </c>
      <c r="BL795" s="3" t="str">
        <f t="shared" ref="BL795:BL804" si="89">"0"</f>
        <v>0</v>
      </c>
      <c r="BM795" t="str">
        <f ca="1">IF((OFFSET($A$1, 795 - 1, 63 - 1)) &gt;= (OFFSET($A$1, 135 - 1, 7 - 1)), "1","0")</f>
        <v>0</v>
      </c>
      <c r="BN795">
        <f ca="1" xml:space="preserve"> IF( AND( OFFSET($A$1, 795 - 1, 64 - 1) = "1", OFFSET($A$1, 795 - 1, 65 - 1) = "1" ), 1, IF( AND( OFFSET($A$1, 795 - 1, 64 - 1) = "1", OFFSET($A$1, 795 - 1, 65 - 1) = "0" ), 2, IF( AND( OFFSET($A$1, 795 - 1, 64 - 1) = "0", OFFSET($A$1, 795 - 1, 65 - 1) = "1" ), 3, 4 ) ) )</f>
        <v>4</v>
      </c>
    </row>
    <row r="796" spans="58:66" x14ac:dyDescent="0.2">
      <c r="BF796" s="3">
        <v>0</v>
      </c>
      <c r="BG796" s="3" t="str">
        <f t="shared" si="88"/>
        <v>0</v>
      </c>
      <c r="BH796" t="str">
        <f ca="1">IF((OFFSET($A$1, 796 - 1, 58 - 1)) &gt;= (OFFSET($A$1, 96 - 1, 7 - 1)), "1","0")</f>
        <v>0</v>
      </c>
      <c r="BI796">
        <f ca="1" xml:space="preserve"> IF( AND( OFFSET($A$1, 796 - 1, 59 - 1) = "1", OFFSET($A$1, 796 - 1, 60 - 1) = "1" ), 1, IF( AND( OFFSET($A$1, 796 - 1, 59 - 1) = "1", OFFSET($A$1, 796 - 1, 60 - 1) = "0" ), 2, IF( AND( OFFSET($A$1, 796 - 1, 59 - 1) = "0", OFFSET($A$1, 796 - 1, 60 - 1) = "1" ), 3, 4 ) ) )</f>
        <v>4</v>
      </c>
      <c r="BK796" s="3">
        <v>6.6350710900473939E-2</v>
      </c>
      <c r="BL796" s="3" t="str">
        <f t="shared" si="89"/>
        <v>0</v>
      </c>
      <c r="BM796" t="str">
        <f ca="1">IF((OFFSET($A$1, 796 - 1, 63 - 1)) &gt;= (OFFSET($A$1, 135 - 1, 7 - 1)), "1","0")</f>
        <v>0</v>
      </c>
      <c r="BN796">
        <f ca="1" xml:space="preserve"> IF( AND( OFFSET($A$1, 796 - 1, 64 - 1) = "1", OFFSET($A$1, 796 - 1, 65 - 1) = "1" ), 1, IF( AND( OFFSET($A$1, 796 - 1, 64 - 1) = "1", OFFSET($A$1, 796 - 1, 65 - 1) = "0" ), 2, IF( AND( OFFSET($A$1, 796 - 1, 64 - 1) = "0", OFFSET($A$1, 796 - 1, 65 - 1) = "1" ), 3, 4 ) ) )</f>
        <v>4</v>
      </c>
    </row>
    <row r="797" spans="58:66" x14ac:dyDescent="0.2">
      <c r="BF797" s="3">
        <v>0</v>
      </c>
      <c r="BG797" s="3" t="str">
        <f t="shared" si="88"/>
        <v>0</v>
      </c>
      <c r="BH797" t="str">
        <f ca="1">IF((OFFSET($A$1, 797 - 1, 58 - 1)) &gt;= (OFFSET($A$1, 96 - 1, 7 - 1)), "1","0")</f>
        <v>0</v>
      </c>
      <c r="BI797">
        <f ca="1" xml:space="preserve"> IF( AND( OFFSET($A$1, 797 - 1, 59 - 1) = "1", OFFSET($A$1, 797 - 1, 60 - 1) = "1" ), 1, IF( AND( OFFSET($A$1, 797 - 1, 59 - 1) = "1", OFFSET($A$1, 797 - 1, 60 - 1) = "0" ), 2, IF( AND( OFFSET($A$1, 797 - 1, 59 - 1) = "0", OFFSET($A$1, 797 - 1, 60 - 1) = "1" ), 3, 4 ) ) )</f>
        <v>4</v>
      </c>
      <c r="BK797" s="3">
        <v>0.36</v>
      </c>
      <c r="BL797" s="3" t="str">
        <f t="shared" si="89"/>
        <v>0</v>
      </c>
      <c r="BM797" t="str">
        <f ca="1">IF((OFFSET($A$1, 797 - 1, 63 - 1)) &gt;= (OFFSET($A$1, 135 - 1, 7 - 1)), "1","0")</f>
        <v>0</v>
      </c>
      <c r="BN797">
        <f ca="1" xml:space="preserve"> IF( AND( OFFSET($A$1, 797 - 1, 64 - 1) = "1", OFFSET($A$1, 797 - 1, 65 - 1) = "1" ), 1, IF( AND( OFFSET($A$1, 797 - 1, 64 - 1) = "1", OFFSET($A$1, 797 - 1, 65 - 1) = "0" ), 2, IF( AND( OFFSET($A$1, 797 - 1, 64 - 1) = "0", OFFSET($A$1, 797 - 1, 65 - 1) = "1" ), 3, 4 ) ) )</f>
        <v>4</v>
      </c>
    </row>
    <row r="798" spans="58:66" x14ac:dyDescent="0.2">
      <c r="BF798" s="3">
        <v>0.34722222222222221</v>
      </c>
      <c r="BG798" s="3" t="str">
        <f t="shared" si="88"/>
        <v>0</v>
      </c>
      <c r="BH798" t="str">
        <f ca="1">IF((OFFSET($A$1, 798 - 1, 58 - 1)) &gt;= (OFFSET($A$1, 96 - 1, 7 - 1)), "1","0")</f>
        <v>0</v>
      </c>
      <c r="BI798">
        <f ca="1" xml:space="preserve"> IF( AND( OFFSET($A$1, 798 - 1, 59 - 1) = "1", OFFSET($A$1, 798 - 1, 60 - 1) = "1" ), 1, IF( AND( OFFSET($A$1, 798 - 1, 59 - 1) = "1", OFFSET($A$1, 798 - 1, 60 - 1) = "0" ), 2, IF( AND( OFFSET($A$1, 798 - 1, 59 - 1) = "0", OFFSET($A$1, 798 - 1, 60 - 1) = "1" ), 3, 4 ) ) )</f>
        <v>4</v>
      </c>
      <c r="BK798" s="3">
        <v>2.5316455696202531E-2</v>
      </c>
      <c r="BL798" s="3" t="str">
        <f t="shared" si="89"/>
        <v>0</v>
      </c>
      <c r="BM798" t="str">
        <f ca="1">IF((OFFSET($A$1, 798 - 1, 63 - 1)) &gt;= (OFFSET($A$1, 135 - 1, 7 - 1)), "1","0")</f>
        <v>0</v>
      </c>
      <c r="BN798">
        <f ca="1" xml:space="preserve"> IF( AND( OFFSET($A$1, 798 - 1, 64 - 1) = "1", OFFSET($A$1, 798 - 1, 65 - 1) = "1" ), 1, IF( AND( OFFSET($A$1, 798 - 1, 64 - 1) = "1", OFFSET($A$1, 798 - 1, 65 - 1) = "0" ), 2, IF( AND( OFFSET($A$1, 798 - 1, 64 - 1) = "0", OFFSET($A$1, 798 - 1, 65 - 1) = "1" ), 3, 4 ) ) )</f>
        <v>4</v>
      </c>
    </row>
    <row r="799" spans="58:66" x14ac:dyDescent="0.2">
      <c r="BF799" s="3">
        <v>0</v>
      </c>
      <c r="BG799" s="3" t="str">
        <f t="shared" si="88"/>
        <v>0</v>
      </c>
      <c r="BH799" t="str">
        <f ca="1">IF((OFFSET($A$1, 799 - 1, 58 - 1)) &gt;= (OFFSET($A$1, 96 - 1, 7 - 1)), "1","0")</f>
        <v>0</v>
      </c>
      <c r="BI799">
        <f ca="1" xml:space="preserve"> IF( AND( OFFSET($A$1, 799 - 1, 59 - 1) = "1", OFFSET($A$1, 799 - 1, 60 - 1) = "1" ), 1, IF( AND( OFFSET($A$1, 799 - 1, 59 - 1) = "1", OFFSET($A$1, 799 - 1, 60 - 1) = "0" ), 2, IF( AND( OFFSET($A$1, 799 - 1, 59 - 1) = "0", OFFSET($A$1, 799 - 1, 60 - 1) = "1" ), 3, 4 ) ) )</f>
        <v>4</v>
      </c>
      <c r="BK799" s="3">
        <v>6.6350710900473939E-2</v>
      </c>
      <c r="BL799" s="3" t="str">
        <f t="shared" si="89"/>
        <v>0</v>
      </c>
      <c r="BM799" t="str">
        <f ca="1">IF((OFFSET($A$1, 799 - 1, 63 - 1)) &gt;= (OFFSET($A$1, 135 - 1, 7 - 1)), "1","0")</f>
        <v>0</v>
      </c>
      <c r="BN799">
        <f ca="1" xml:space="preserve"> IF( AND( OFFSET($A$1, 799 - 1, 64 - 1) = "1", OFFSET($A$1, 799 - 1, 65 - 1) = "1" ), 1, IF( AND( OFFSET($A$1, 799 - 1, 64 - 1) = "1", OFFSET($A$1, 799 - 1, 65 - 1) = "0" ), 2, IF( AND( OFFSET($A$1, 799 - 1, 64 - 1) = "0", OFFSET($A$1, 799 - 1, 65 - 1) = "1" ), 3, 4 ) ) )</f>
        <v>4</v>
      </c>
    </row>
    <row r="800" spans="58:66" x14ac:dyDescent="0.2">
      <c r="BF800" s="3">
        <v>4.3478260869565216E-2</v>
      </c>
      <c r="BG800" s="3" t="str">
        <f t="shared" si="88"/>
        <v>0</v>
      </c>
      <c r="BH800" t="str">
        <f ca="1">IF((OFFSET($A$1, 800 - 1, 58 - 1)) &gt;= (OFFSET($A$1, 96 - 1, 7 - 1)), "1","0")</f>
        <v>0</v>
      </c>
      <c r="BI800">
        <f ca="1" xml:space="preserve"> IF( AND( OFFSET($A$1, 800 - 1, 59 - 1) = "1", OFFSET($A$1, 800 - 1, 60 - 1) = "1" ), 1, IF( AND( OFFSET($A$1, 800 - 1, 59 - 1) = "1", OFFSET($A$1, 800 - 1, 60 - 1) = "0" ), 2, IF( AND( OFFSET($A$1, 800 - 1, 59 - 1) = "0", OFFSET($A$1, 800 - 1, 60 - 1) = "1" ), 3, 4 ) ) )</f>
        <v>4</v>
      </c>
      <c r="BK800" s="3">
        <v>6.6350710900473939E-2</v>
      </c>
      <c r="BL800" s="3" t="str">
        <f t="shared" si="89"/>
        <v>0</v>
      </c>
      <c r="BM800" t="str">
        <f ca="1">IF((OFFSET($A$1, 800 - 1, 63 - 1)) &gt;= (OFFSET($A$1, 135 - 1, 7 - 1)), "1","0")</f>
        <v>0</v>
      </c>
      <c r="BN800">
        <f ca="1" xml:space="preserve"> IF( AND( OFFSET($A$1, 800 - 1, 64 - 1) = "1", OFFSET($A$1, 800 - 1, 65 - 1) = "1" ), 1, IF( AND( OFFSET($A$1, 800 - 1, 64 - 1) = "1", OFFSET($A$1, 800 - 1, 65 - 1) = "0" ), 2, IF( AND( OFFSET($A$1, 800 - 1, 64 - 1) = "0", OFFSET($A$1, 800 - 1, 65 - 1) = "1" ), 3, 4 ) ) )</f>
        <v>4</v>
      </c>
    </row>
    <row r="801" spans="58:66" x14ac:dyDescent="0.2">
      <c r="BF801" s="3">
        <v>0</v>
      </c>
      <c r="BG801" s="3" t="str">
        <f t="shared" si="88"/>
        <v>0</v>
      </c>
      <c r="BH801" t="str">
        <f ca="1">IF((OFFSET($A$1, 801 - 1, 58 - 1)) &gt;= (OFFSET($A$1, 96 - 1, 7 - 1)), "1","0")</f>
        <v>0</v>
      </c>
      <c r="BI801">
        <f ca="1" xml:space="preserve"> IF( AND( OFFSET($A$1, 801 - 1, 59 - 1) = "1", OFFSET($A$1, 801 - 1, 60 - 1) = "1" ), 1, IF( AND( OFFSET($A$1, 801 - 1, 59 - 1) = "1", OFFSET($A$1, 801 - 1, 60 - 1) = "0" ), 2, IF( AND( OFFSET($A$1, 801 - 1, 59 - 1) = "0", OFFSET($A$1, 801 - 1, 60 - 1) = "1" ), 3, 4 ) ) )</f>
        <v>4</v>
      </c>
      <c r="BK801" s="3">
        <v>6.6350710900473939E-2</v>
      </c>
      <c r="BL801" s="3" t="str">
        <f t="shared" si="89"/>
        <v>0</v>
      </c>
      <c r="BM801" t="str">
        <f ca="1">IF((OFFSET($A$1, 801 - 1, 63 - 1)) &gt;= (OFFSET($A$1, 135 - 1, 7 - 1)), "1","0")</f>
        <v>0</v>
      </c>
      <c r="BN801">
        <f ca="1" xml:space="preserve"> IF( AND( OFFSET($A$1, 801 - 1, 64 - 1) = "1", OFFSET($A$1, 801 - 1, 65 - 1) = "1" ), 1, IF( AND( OFFSET($A$1, 801 - 1, 64 - 1) = "1", OFFSET($A$1, 801 - 1, 65 - 1) = "0" ), 2, IF( AND( OFFSET($A$1, 801 - 1, 64 - 1) = "0", OFFSET($A$1, 801 - 1, 65 - 1) = "1" ), 3, 4 ) ) )</f>
        <v>4</v>
      </c>
    </row>
    <row r="802" spans="58:66" x14ac:dyDescent="0.2">
      <c r="BF802" s="3">
        <v>0.36</v>
      </c>
      <c r="BG802" s="3" t="str">
        <f>"1"</f>
        <v>1</v>
      </c>
      <c r="BH802" t="str">
        <f ca="1">IF((OFFSET($A$1, 802 - 1, 58 - 1)) &gt;= (OFFSET($A$1, 96 - 1, 7 - 1)), "1","0")</f>
        <v>0</v>
      </c>
      <c r="BI802">
        <f ca="1" xml:space="preserve"> IF( AND( OFFSET($A$1, 802 - 1, 59 - 1) = "1", OFFSET($A$1, 802 - 1, 60 - 1) = "1" ), 1, IF( AND( OFFSET($A$1, 802 - 1, 59 - 1) = "1", OFFSET($A$1, 802 - 1, 60 - 1) = "0" ), 2, IF( AND( OFFSET($A$1, 802 - 1, 59 - 1) = "0", OFFSET($A$1, 802 - 1, 60 - 1) = "1" ), 3, 4 ) ) )</f>
        <v>2</v>
      </c>
      <c r="BK802" s="3">
        <v>6.6350710900473939E-2</v>
      </c>
      <c r="BL802" s="3" t="str">
        <f t="shared" si="89"/>
        <v>0</v>
      </c>
      <c r="BM802" t="str">
        <f ca="1">IF((OFFSET($A$1, 802 - 1, 63 - 1)) &gt;= (OFFSET($A$1, 135 - 1, 7 - 1)), "1","0")</f>
        <v>0</v>
      </c>
      <c r="BN802">
        <f ca="1" xml:space="preserve"> IF( AND( OFFSET($A$1, 802 - 1, 64 - 1) = "1", OFFSET($A$1, 802 - 1, 65 - 1) = "1" ), 1, IF( AND( OFFSET($A$1, 802 - 1, 64 - 1) = "1", OFFSET($A$1, 802 - 1, 65 - 1) = "0" ), 2, IF( AND( OFFSET($A$1, 802 - 1, 64 - 1) = "0", OFFSET($A$1, 802 - 1, 65 - 1) = "1" ), 3, 4 ) ) )</f>
        <v>4</v>
      </c>
    </row>
    <row r="803" spans="58:66" x14ac:dyDescent="0.2">
      <c r="BF803" s="3">
        <v>3.7037037037037042E-2</v>
      </c>
      <c r="BG803" s="3" t="str">
        <f>"0"</f>
        <v>0</v>
      </c>
      <c r="BH803" t="str">
        <f ca="1">IF((OFFSET($A$1, 803 - 1, 58 - 1)) &gt;= (OFFSET($A$1, 96 - 1, 7 - 1)), "1","0")</f>
        <v>0</v>
      </c>
      <c r="BI803">
        <f ca="1" xml:space="preserve"> IF( AND( OFFSET($A$1, 803 - 1, 59 - 1) = "1", OFFSET($A$1, 803 - 1, 60 - 1) = "1" ), 1, IF( AND( OFFSET($A$1, 803 - 1, 59 - 1) = "1", OFFSET($A$1, 803 - 1, 60 - 1) = "0" ), 2, IF( AND( OFFSET($A$1, 803 - 1, 59 - 1) = "0", OFFSET($A$1, 803 - 1, 60 - 1) = "1" ), 3, 4 ) ) )</f>
        <v>4</v>
      </c>
      <c r="BK803" s="3">
        <v>6.6350710900473939E-2</v>
      </c>
      <c r="BL803" s="3" t="str">
        <f t="shared" si="89"/>
        <v>0</v>
      </c>
      <c r="BM803" t="str">
        <f ca="1">IF((OFFSET($A$1, 803 - 1, 63 - 1)) &gt;= (OFFSET($A$1, 135 - 1, 7 - 1)), "1","0")</f>
        <v>0</v>
      </c>
      <c r="BN803">
        <f ca="1" xml:space="preserve"> IF( AND( OFFSET($A$1, 803 - 1, 64 - 1) = "1", OFFSET($A$1, 803 - 1, 65 - 1) = "1" ), 1, IF( AND( OFFSET($A$1, 803 - 1, 64 - 1) = "1", OFFSET($A$1, 803 - 1, 65 - 1) = "0" ), 2, IF( AND( OFFSET($A$1, 803 - 1, 64 - 1) = "0", OFFSET($A$1, 803 - 1, 65 - 1) = "1" ), 3, 4 ) ) )</f>
        <v>4</v>
      </c>
    </row>
    <row r="804" spans="58:66" x14ac:dyDescent="0.2">
      <c r="BF804" s="3">
        <v>0.08</v>
      </c>
      <c r="BG804" s="3" t="str">
        <f>"1"</f>
        <v>1</v>
      </c>
      <c r="BH804" t="str">
        <f ca="1">IF((OFFSET($A$1, 804 - 1, 58 - 1)) &gt;= (OFFSET($A$1, 96 - 1, 7 - 1)), "1","0")</f>
        <v>0</v>
      </c>
      <c r="BI804">
        <f ca="1" xml:space="preserve"> IF( AND( OFFSET($A$1, 804 - 1, 59 - 1) = "1", OFFSET($A$1, 804 - 1, 60 - 1) = "1" ), 1, IF( AND( OFFSET($A$1, 804 - 1, 59 - 1) = "1", OFFSET($A$1, 804 - 1, 60 - 1) = "0" ), 2, IF( AND( OFFSET($A$1, 804 - 1, 59 - 1) = "0", OFFSET($A$1, 804 - 1, 60 - 1) = "1" ), 3, 4 ) ) )</f>
        <v>2</v>
      </c>
      <c r="BK804" s="3">
        <v>6.6350710900473939E-2</v>
      </c>
      <c r="BL804" s="3" t="str">
        <f t="shared" si="89"/>
        <v>0</v>
      </c>
      <c r="BM804" t="str">
        <f ca="1">IF((OFFSET($A$1, 804 - 1, 63 - 1)) &gt;= (OFFSET($A$1, 135 - 1, 7 - 1)), "1","0")</f>
        <v>0</v>
      </c>
      <c r="BN804">
        <f ca="1" xml:space="preserve"> IF( AND( OFFSET($A$1, 804 - 1, 64 - 1) = "1", OFFSET($A$1, 804 - 1, 65 - 1) = "1" ), 1, IF( AND( OFFSET($A$1, 804 - 1, 64 - 1) = "1", OFFSET($A$1, 804 - 1, 65 - 1) = "0" ), 2, IF( AND( OFFSET($A$1, 804 - 1, 64 - 1) = "0", OFFSET($A$1, 804 - 1, 65 - 1) = "1" ), 3, 4 ) ) )</f>
        <v>4</v>
      </c>
    </row>
    <row r="805" spans="58:66" x14ac:dyDescent="0.2">
      <c r="BF805" s="3">
        <v>0</v>
      </c>
      <c r="BG805" s="3" t="str">
        <f t="shared" ref="BG805:BG814" si="90">"0"</f>
        <v>0</v>
      </c>
      <c r="BH805" t="str">
        <f ca="1">IF((OFFSET($A$1, 805 - 1, 58 - 1)) &gt;= (OFFSET($A$1, 96 - 1, 7 - 1)), "1","0")</f>
        <v>0</v>
      </c>
      <c r="BI805">
        <f ca="1" xml:space="preserve"> IF( AND( OFFSET($A$1, 805 - 1, 59 - 1) = "1", OFFSET($A$1, 805 - 1, 60 - 1) = "1" ), 1, IF( AND( OFFSET($A$1, 805 - 1, 59 - 1) = "1", OFFSET($A$1, 805 - 1, 60 - 1) = "0" ), 2, IF( AND( OFFSET($A$1, 805 - 1, 59 - 1) = "0", OFFSET($A$1, 805 - 1, 60 - 1) = "1" ), 3, 4 ) ) )</f>
        <v>4</v>
      </c>
      <c r="BK805" s="3">
        <v>6.6350710900473939E-2</v>
      </c>
      <c r="BL805" s="3" t="str">
        <f>"1"</f>
        <v>1</v>
      </c>
      <c r="BM805" t="str">
        <f ca="1">IF((OFFSET($A$1, 805 - 1, 63 - 1)) &gt;= (OFFSET($A$1, 135 - 1, 7 - 1)), "1","0")</f>
        <v>0</v>
      </c>
      <c r="BN805">
        <f ca="1" xml:space="preserve"> IF( AND( OFFSET($A$1, 805 - 1, 64 - 1) = "1", OFFSET($A$1, 805 - 1, 65 - 1) = "1" ), 1, IF( AND( OFFSET($A$1, 805 - 1, 64 - 1) = "1", OFFSET($A$1, 805 - 1, 65 - 1) = "0" ), 2, IF( AND( OFFSET($A$1, 805 - 1, 64 - 1) = "0", OFFSET($A$1, 805 - 1, 65 - 1) = "1" ), 3, 4 ) ) )</f>
        <v>2</v>
      </c>
    </row>
    <row r="806" spans="58:66" x14ac:dyDescent="0.2">
      <c r="BF806" s="3">
        <v>0</v>
      </c>
      <c r="BG806" s="3" t="str">
        <f t="shared" si="90"/>
        <v>0</v>
      </c>
      <c r="BH806" t="str">
        <f ca="1">IF((OFFSET($A$1, 806 - 1, 58 - 1)) &gt;= (OFFSET($A$1, 96 - 1, 7 - 1)), "1","0")</f>
        <v>0</v>
      </c>
      <c r="BI806">
        <f ca="1" xml:space="preserve"> IF( AND( OFFSET($A$1, 806 - 1, 59 - 1) = "1", OFFSET($A$1, 806 - 1, 60 - 1) = "1" ), 1, IF( AND( OFFSET($A$1, 806 - 1, 59 - 1) = "1", OFFSET($A$1, 806 - 1, 60 - 1) = "0" ), 2, IF( AND( OFFSET($A$1, 806 - 1, 59 - 1) = "0", OFFSET($A$1, 806 - 1, 60 - 1) = "1" ), 3, 4 ) ) )</f>
        <v>4</v>
      </c>
      <c r="BK806" s="3">
        <v>6.6350710900473939E-2</v>
      </c>
      <c r="BL806" s="3" t="str">
        <f>"1"</f>
        <v>1</v>
      </c>
      <c r="BM806" t="str">
        <f ca="1">IF((OFFSET($A$1, 806 - 1, 63 - 1)) &gt;= (OFFSET($A$1, 135 - 1, 7 - 1)), "1","0")</f>
        <v>0</v>
      </c>
      <c r="BN806">
        <f ca="1" xml:space="preserve"> IF( AND( OFFSET($A$1, 806 - 1, 64 - 1) = "1", OFFSET($A$1, 806 - 1, 65 - 1) = "1" ), 1, IF( AND( OFFSET($A$1, 806 - 1, 64 - 1) = "1", OFFSET($A$1, 806 - 1, 65 - 1) = "0" ), 2, IF( AND( OFFSET($A$1, 806 - 1, 64 - 1) = "0", OFFSET($A$1, 806 - 1, 65 - 1) = "1" ), 3, 4 ) ) )</f>
        <v>2</v>
      </c>
    </row>
    <row r="807" spans="58:66" x14ac:dyDescent="0.2">
      <c r="BF807" s="3">
        <v>0</v>
      </c>
      <c r="BG807" s="3" t="str">
        <f t="shared" si="90"/>
        <v>0</v>
      </c>
      <c r="BH807" t="str">
        <f ca="1">IF((OFFSET($A$1, 807 - 1, 58 - 1)) &gt;= (OFFSET($A$1, 96 - 1, 7 - 1)), "1","0")</f>
        <v>0</v>
      </c>
      <c r="BI807">
        <f ca="1" xml:space="preserve"> IF( AND( OFFSET($A$1, 807 - 1, 59 - 1) = "1", OFFSET($A$1, 807 - 1, 60 - 1) = "1" ), 1, IF( AND( OFFSET($A$1, 807 - 1, 59 - 1) = "1", OFFSET($A$1, 807 - 1, 60 - 1) = "0" ), 2, IF( AND( OFFSET($A$1, 807 - 1, 59 - 1) = "0", OFFSET($A$1, 807 - 1, 60 - 1) = "1" ), 3, 4 ) ) )</f>
        <v>4</v>
      </c>
      <c r="BK807" s="3">
        <v>0.90579710144927539</v>
      </c>
      <c r="BL807" s="3" t="str">
        <f>"1"</f>
        <v>1</v>
      </c>
      <c r="BM807" t="str">
        <f ca="1">IF((OFFSET($A$1, 807 - 1, 63 - 1)) &gt;= (OFFSET($A$1, 135 - 1, 7 - 1)), "1","0")</f>
        <v>1</v>
      </c>
      <c r="BN807">
        <f ca="1" xml:space="preserve"> IF( AND( OFFSET($A$1, 807 - 1, 64 - 1) = "1", OFFSET($A$1, 807 - 1, 65 - 1) = "1" ), 1, IF( AND( OFFSET($A$1, 807 - 1, 64 - 1) = "1", OFFSET($A$1, 807 - 1, 65 - 1) = "0" ), 2, IF( AND( OFFSET($A$1, 807 - 1, 64 - 1) = "0", OFFSET($A$1, 807 - 1, 65 - 1) = "1" ), 3, 4 ) ) )</f>
        <v>1</v>
      </c>
    </row>
    <row r="808" spans="58:66" x14ac:dyDescent="0.2">
      <c r="BF808" s="3">
        <v>0.34722222222222221</v>
      </c>
      <c r="BG808" s="3" t="str">
        <f t="shared" si="90"/>
        <v>0</v>
      </c>
      <c r="BH808" t="str">
        <f ca="1">IF((OFFSET($A$1, 808 - 1, 58 - 1)) &gt;= (OFFSET($A$1, 96 - 1, 7 - 1)), "1","0")</f>
        <v>0</v>
      </c>
      <c r="BI808">
        <f ca="1" xml:space="preserve"> IF( AND( OFFSET($A$1, 808 - 1, 59 - 1) = "1", OFFSET($A$1, 808 - 1, 60 - 1) = "1" ), 1, IF( AND( OFFSET($A$1, 808 - 1, 59 - 1) = "1", OFFSET($A$1, 808 - 1, 60 - 1) = "0" ), 2, IF( AND( OFFSET($A$1, 808 - 1, 59 - 1) = "0", OFFSET($A$1, 808 - 1, 60 - 1) = "1" ), 3, 4 ) ) )</f>
        <v>4</v>
      </c>
      <c r="BK808" s="3">
        <v>0.90579710144927539</v>
      </c>
      <c r="BL808" s="3" t="str">
        <f t="shared" ref="BL808:BL820" si="91">"0"</f>
        <v>0</v>
      </c>
      <c r="BM808" t="str">
        <f ca="1">IF((OFFSET($A$1, 808 - 1, 63 - 1)) &gt;= (OFFSET($A$1, 135 - 1, 7 - 1)), "1","0")</f>
        <v>1</v>
      </c>
      <c r="BN808">
        <f ca="1" xml:space="preserve"> IF( AND( OFFSET($A$1, 808 - 1, 64 - 1) = "1", OFFSET($A$1, 808 - 1, 65 - 1) = "1" ), 1, IF( AND( OFFSET($A$1, 808 - 1, 64 - 1) = "1", OFFSET($A$1, 808 - 1, 65 - 1) = "0" ), 2, IF( AND( OFFSET($A$1, 808 - 1, 64 - 1) = "0", OFFSET($A$1, 808 - 1, 65 - 1) = "1" ), 3, 4 ) ) )</f>
        <v>3</v>
      </c>
    </row>
    <row r="809" spans="58:66" x14ac:dyDescent="0.2">
      <c r="BF809" s="3">
        <v>0</v>
      </c>
      <c r="BG809" s="3" t="str">
        <f t="shared" si="90"/>
        <v>0</v>
      </c>
      <c r="BH809" t="str">
        <f ca="1">IF((OFFSET($A$1, 809 - 1, 58 - 1)) &gt;= (OFFSET($A$1, 96 - 1, 7 - 1)), "1","0")</f>
        <v>0</v>
      </c>
      <c r="BI809">
        <f ca="1" xml:space="preserve"> IF( AND( OFFSET($A$1, 809 - 1, 59 - 1) = "1", OFFSET($A$1, 809 - 1, 60 - 1) = "1" ), 1, IF( AND( OFFSET($A$1, 809 - 1, 59 - 1) = "1", OFFSET($A$1, 809 - 1, 60 - 1) = "0" ), 2, IF( AND( OFFSET($A$1, 809 - 1, 59 - 1) = "0", OFFSET($A$1, 809 - 1, 60 - 1) = "1" ), 3, 4 ) ) )</f>
        <v>4</v>
      </c>
      <c r="BK809" s="3">
        <v>6.6350710900473939E-2</v>
      </c>
      <c r="BL809" s="3" t="str">
        <f t="shared" si="91"/>
        <v>0</v>
      </c>
      <c r="BM809" t="str">
        <f ca="1">IF((OFFSET($A$1, 809 - 1, 63 - 1)) &gt;= (OFFSET($A$1, 135 - 1, 7 - 1)), "1","0")</f>
        <v>0</v>
      </c>
      <c r="BN809">
        <f ca="1" xml:space="preserve"> IF( AND( OFFSET($A$1, 809 - 1, 64 - 1) = "1", OFFSET($A$1, 809 - 1, 65 - 1) = "1" ), 1, IF( AND( OFFSET($A$1, 809 - 1, 64 - 1) = "1", OFFSET($A$1, 809 - 1, 65 - 1) = "0" ), 2, IF( AND( OFFSET($A$1, 809 - 1, 64 - 1) = "0", OFFSET($A$1, 809 - 1, 65 - 1) = "1" ), 3, 4 ) ) )</f>
        <v>4</v>
      </c>
    </row>
    <row r="810" spans="58:66" x14ac:dyDescent="0.2">
      <c r="BF810" s="3">
        <v>0</v>
      </c>
      <c r="BG810" s="3" t="str">
        <f t="shared" si="90"/>
        <v>0</v>
      </c>
      <c r="BH810" t="str">
        <f ca="1">IF((OFFSET($A$1, 810 - 1, 58 - 1)) &gt;= (OFFSET($A$1, 96 - 1, 7 - 1)), "1","0")</f>
        <v>0</v>
      </c>
      <c r="BI810">
        <f ca="1" xml:space="preserve"> IF( AND( OFFSET($A$1, 810 - 1, 59 - 1) = "1", OFFSET($A$1, 810 - 1, 60 - 1) = "1" ), 1, IF( AND( OFFSET($A$1, 810 - 1, 59 - 1) = "1", OFFSET($A$1, 810 - 1, 60 - 1) = "0" ), 2, IF( AND( OFFSET($A$1, 810 - 1, 59 - 1) = "0", OFFSET($A$1, 810 - 1, 60 - 1) = "1" ), 3, 4 ) ) )</f>
        <v>4</v>
      </c>
      <c r="BK810" s="3">
        <v>6.6350710900473939E-2</v>
      </c>
      <c r="BL810" s="3" t="str">
        <f t="shared" si="91"/>
        <v>0</v>
      </c>
      <c r="BM810" t="str">
        <f ca="1">IF((OFFSET($A$1, 810 - 1, 63 - 1)) &gt;= (OFFSET($A$1, 135 - 1, 7 - 1)), "1","0")</f>
        <v>0</v>
      </c>
      <c r="BN810">
        <f ca="1" xml:space="preserve"> IF( AND( OFFSET($A$1, 810 - 1, 64 - 1) = "1", OFFSET($A$1, 810 - 1, 65 - 1) = "1" ), 1, IF( AND( OFFSET($A$1, 810 - 1, 64 - 1) = "1", OFFSET($A$1, 810 - 1, 65 - 1) = "0" ), 2, IF( AND( OFFSET($A$1, 810 - 1, 64 - 1) = "0", OFFSET($A$1, 810 - 1, 65 - 1) = "1" ), 3, 4 ) ) )</f>
        <v>4</v>
      </c>
    </row>
    <row r="811" spans="58:66" x14ac:dyDescent="0.2">
      <c r="BF811" s="3">
        <v>0</v>
      </c>
      <c r="BG811" s="3" t="str">
        <f t="shared" si="90"/>
        <v>0</v>
      </c>
      <c r="BH811" t="str">
        <f ca="1">IF((OFFSET($A$1, 811 - 1, 58 - 1)) &gt;= (OFFSET($A$1, 96 - 1, 7 - 1)), "1","0")</f>
        <v>0</v>
      </c>
      <c r="BI811">
        <f ca="1" xml:space="preserve"> IF( AND( OFFSET($A$1, 811 - 1, 59 - 1) = "1", OFFSET($A$1, 811 - 1, 60 - 1) = "1" ), 1, IF( AND( OFFSET($A$1, 811 - 1, 59 - 1) = "1", OFFSET($A$1, 811 - 1, 60 - 1) = "0" ), 2, IF( AND( OFFSET($A$1, 811 - 1, 59 - 1) = "0", OFFSET($A$1, 811 - 1, 60 - 1) = "1" ), 3, 4 ) ) )</f>
        <v>4</v>
      </c>
      <c r="BK811" s="3">
        <v>6.6350710900473939E-2</v>
      </c>
      <c r="BL811" s="3" t="str">
        <f t="shared" si="91"/>
        <v>0</v>
      </c>
      <c r="BM811" t="str">
        <f ca="1">IF((OFFSET($A$1, 811 - 1, 63 - 1)) &gt;= (OFFSET($A$1, 135 - 1, 7 - 1)), "1","0")</f>
        <v>0</v>
      </c>
      <c r="BN811">
        <f ca="1" xml:space="preserve"> IF( AND( OFFSET($A$1, 811 - 1, 64 - 1) = "1", OFFSET($A$1, 811 - 1, 65 - 1) = "1" ), 1, IF( AND( OFFSET($A$1, 811 - 1, 64 - 1) = "1", OFFSET($A$1, 811 - 1, 65 - 1) = "0" ), 2, IF( AND( OFFSET($A$1, 811 - 1, 64 - 1) = "0", OFFSET($A$1, 811 - 1, 65 - 1) = "1" ), 3, 4 ) ) )</f>
        <v>4</v>
      </c>
    </row>
    <row r="812" spans="58:66" x14ac:dyDescent="0.2">
      <c r="BF812" s="3">
        <v>0.47692307692307689</v>
      </c>
      <c r="BG812" s="3" t="str">
        <f t="shared" si="90"/>
        <v>0</v>
      </c>
      <c r="BH812" t="str">
        <f ca="1">IF((OFFSET($A$1, 812 - 1, 58 - 1)) &gt;= (OFFSET($A$1, 96 - 1, 7 - 1)), "1","0")</f>
        <v>0</v>
      </c>
      <c r="BI812">
        <f ca="1" xml:space="preserve"> IF( AND( OFFSET($A$1, 812 - 1, 59 - 1) = "1", OFFSET($A$1, 812 - 1, 60 - 1) = "1" ), 1, IF( AND( OFFSET($A$1, 812 - 1, 59 - 1) = "1", OFFSET($A$1, 812 - 1, 60 - 1) = "0" ), 2, IF( AND( OFFSET($A$1, 812 - 1, 59 - 1) = "0", OFFSET($A$1, 812 - 1, 60 - 1) = "1" ), 3, 4 ) ) )</f>
        <v>4</v>
      </c>
      <c r="BK812" s="3">
        <v>6.6350710900473939E-2</v>
      </c>
      <c r="BL812" s="3" t="str">
        <f t="shared" si="91"/>
        <v>0</v>
      </c>
      <c r="BM812" t="str">
        <f ca="1">IF((OFFSET($A$1, 812 - 1, 63 - 1)) &gt;= (OFFSET($A$1, 135 - 1, 7 - 1)), "1","0")</f>
        <v>0</v>
      </c>
      <c r="BN812">
        <f ca="1" xml:space="preserve"> IF( AND( OFFSET($A$1, 812 - 1, 64 - 1) = "1", OFFSET($A$1, 812 - 1, 65 - 1) = "1" ), 1, IF( AND( OFFSET($A$1, 812 - 1, 64 - 1) = "1", OFFSET($A$1, 812 - 1, 65 - 1) = "0" ), 2, IF( AND( OFFSET($A$1, 812 - 1, 64 - 1) = "0", OFFSET($A$1, 812 - 1, 65 - 1) = "1" ), 3, 4 ) ) )</f>
        <v>4</v>
      </c>
    </row>
    <row r="813" spans="58:66" x14ac:dyDescent="0.2">
      <c r="BF813" s="3">
        <v>0.36</v>
      </c>
      <c r="BG813" s="3" t="str">
        <f t="shared" si="90"/>
        <v>0</v>
      </c>
      <c r="BH813" t="str">
        <f ca="1">IF((OFFSET($A$1, 813 - 1, 58 - 1)) &gt;= (OFFSET($A$1, 96 - 1, 7 - 1)), "1","0")</f>
        <v>0</v>
      </c>
      <c r="BI813">
        <f ca="1" xml:space="preserve"> IF( AND( OFFSET($A$1, 813 - 1, 59 - 1) = "1", OFFSET($A$1, 813 - 1, 60 - 1) = "1" ), 1, IF( AND( OFFSET($A$1, 813 - 1, 59 - 1) = "1", OFFSET($A$1, 813 - 1, 60 - 1) = "0" ), 2, IF( AND( OFFSET($A$1, 813 - 1, 59 - 1) = "0", OFFSET($A$1, 813 - 1, 60 - 1) = "1" ), 3, 4 ) ) )</f>
        <v>4</v>
      </c>
      <c r="BK813" s="3">
        <v>2.5316455696202531E-2</v>
      </c>
      <c r="BL813" s="3" t="str">
        <f t="shared" si="91"/>
        <v>0</v>
      </c>
      <c r="BM813" t="str">
        <f ca="1">IF((OFFSET($A$1, 813 - 1, 63 - 1)) &gt;= (OFFSET($A$1, 135 - 1, 7 - 1)), "1","0")</f>
        <v>0</v>
      </c>
      <c r="BN813">
        <f ca="1" xml:space="preserve"> IF( AND( OFFSET($A$1, 813 - 1, 64 - 1) = "1", OFFSET($A$1, 813 - 1, 65 - 1) = "1" ), 1, IF( AND( OFFSET($A$1, 813 - 1, 64 - 1) = "1", OFFSET($A$1, 813 - 1, 65 - 1) = "0" ), 2, IF( AND( OFFSET($A$1, 813 - 1, 64 - 1) = "0", OFFSET($A$1, 813 - 1, 65 - 1) = "1" ), 3, 4 ) ) )</f>
        <v>4</v>
      </c>
    </row>
    <row r="814" spans="58:66" x14ac:dyDescent="0.2">
      <c r="BF814" s="3">
        <v>0</v>
      </c>
      <c r="BG814" s="3" t="str">
        <f t="shared" si="90"/>
        <v>0</v>
      </c>
      <c r="BH814" t="str">
        <f ca="1">IF((OFFSET($A$1, 814 - 1, 58 - 1)) &gt;= (OFFSET($A$1, 96 - 1, 7 - 1)), "1","0")</f>
        <v>0</v>
      </c>
      <c r="BI814">
        <f ca="1" xml:space="preserve"> IF( AND( OFFSET($A$1, 814 - 1, 59 - 1) = "1", OFFSET($A$1, 814 - 1, 60 - 1) = "1" ), 1, IF( AND( OFFSET($A$1, 814 - 1, 59 - 1) = "1", OFFSET($A$1, 814 - 1, 60 - 1) = "0" ), 2, IF( AND( OFFSET($A$1, 814 - 1, 59 - 1) = "0", OFFSET($A$1, 814 - 1, 60 - 1) = "1" ), 3, 4 ) ) )</f>
        <v>4</v>
      </c>
      <c r="BK814" s="3">
        <v>6.6350710900473939E-2</v>
      </c>
      <c r="BL814" s="3" t="str">
        <f t="shared" si="91"/>
        <v>0</v>
      </c>
      <c r="BM814" t="str">
        <f ca="1">IF((OFFSET($A$1, 814 - 1, 63 - 1)) &gt;= (OFFSET($A$1, 135 - 1, 7 - 1)), "1","0")</f>
        <v>0</v>
      </c>
      <c r="BN814">
        <f ca="1" xml:space="preserve"> IF( AND( OFFSET($A$1, 814 - 1, 64 - 1) = "1", OFFSET($A$1, 814 - 1, 65 - 1) = "1" ), 1, IF( AND( OFFSET($A$1, 814 - 1, 64 - 1) = "1", OFFSET($A$1, 814 - 1, 65 - 1) = "0" ), 2, IF( AND( OFFSET($A$1, 814 - 1, 64 - 1) = "0", OFFSET($A$1, 814 - 1, 65 - 1) = "1" ), 3, 4 ) ) )</f>
        <v>4</v>
      </c>
    </row>
    <row r="815" spans="58:66" x14ac:dyDescent="0.2">
      <c r="BF815" s="3">
        <v>0.36</v>
      </c>
      <c r="BG815" s="3" t="str">
        <f>"1"</f>
        <v>1</v>
      </c>
      <c r="BH815" t="str">
        <f ca="1">IF((OFFSET($A$1, 815 - 1, 58 - 1)) &gt;= (OFFSET($A$1, 96 - 1, 7 - 1)), "1","0")</f>
        <v>0</v>
      </c>
      <c r="BI815">
        <f ca="1" xml:space="preserve"> IF( AND( OFFSET($A$1, 815 - 1, 59 - 1) = "1", OFFSET($A$1, 815 - 1, 60 - 1) = "1" ), 1, IF( AND( OFFSET($A$1, 815 - 1, 59 - 1) = "1", OFFSET($A$1, 815 - 1, 60 - 1) = "0" ), 2, IF( AND( OFFSET($A$1, 815 - 1, 59 - 1) = "0", OFFSET($A$1, 815 - 1, 60 - 1) = "1" ), 3, 4 ) ) )</f>
        <v>2</v>
      </c>
      <c r="BK815" s="3">
        <v>6.6350710900473939E-2</v>
      </c>
      <c r="BL815" s="3" t="str">
        <f t="shared" si="91"/>
        <v>0</v>
      </c>
      <c r="BM815" t="str">
        <f ca="1">IF((OFFSET($A$1, 815 - 1, 63 - 1)) &gt;= (OFFSET($A$1, 135 - 1, 7 - 1)), "1","0")</f>
        <v>0</v>
      </c>
      <c r="BN815">
        <f ca="1" xml:space="preserve"> IF( AND( OFFSET($A$1, 815 - 1, 64 - 1) = "1", OFFSET($A$1, 815 - 1, 65 - 1) = "1" ), 1, IF( AND( OFFSET($A$1, 815 - 1, 64 - 1) = "1", OFFSET($A$1, 815 - 1, 65 - 1) = "0" ), 2, IF( AND( OFFSET($A$1, 815 - 1, 64 - 1) = "0", OFFSET($A$1, 815 - 1, 65 - 1) = "1" ), 3, 4 ) ) )</f>
        <v>4</v>
      </c>
    </row>
    <row r="816" spans="58:66" x14ac:dyDescent="0.2">
      <c r="BF816" s="3">
        <v>0</v>
      </c>
      <c r="BG816" s="3" t="str">
        <f>"0"</f>
        <v>0</v>
      </c>
      <c r="BH816" t="str">
        <f ca="1">IF((OFFSET($A$1, 816 - 1, 58 - 1)) &gt;= (OFFSET($A$1, 96 - 1, 7 - 1)), "1","0")</f>
        <v>0</v>
      </c>
      <c r="BI816">
        <f ca="1" xml:space="preserve"> IF( AND( OFFSET($A$1, 816 - 1, 59 - 1) = "1", OFFSET($A$1, 816 - 1, 60 - 1) = "1" ), 1, IF( AND( OFFSET($A$1, 816 - 1, 59 - 1) = "1", OFFSET($A$1, 816 - 1, 60 - 1) = "0" ), 2, IF( AND( OFFSET($A$1, 816 - 1, 59 - 1) = "0", OFFSET($A$1, 816 - 1, 60 - 1) = "1" ), 3, 4 ) ) )</f>
        <v>4</v>
      </c>
      <c r="BK816" s="3">
        <v>6.6350710900473939E-2</v>
      </c>
      <c r="BL816" s="3" t="str">
        <f t="shared" si="91"/>
        <v>0</v>
      </c>
      <c r="BM816" t="str">
        <f ca="1">IF((OFFSET($A$1, 816 - 1, 63 - 1)) &gt;= (OFFSET($A$1, 135 - 1, 7 - 1)), "1","0")</f>
        <v>0</v>
      </c>
      <c r="BN816">
        <f ca="1" xml:space="preserve"> IF( AND( OFFSET($A$1, 816 - 1, 64 - 1) = "1", OFFSET($A$1, 816 - 1, 65 - 1) = "1" ), 1, IF( AND( OFFSET($A$1, 816 - 1, 64 - 1) = "1", OFFSET($A$1, 816 - 1, 65 - 1) = "0" ), 2, IF( AND( OFFSET($A$1, 816 - 1, 64 - 1) = "0", OFFSET($A$1, 816 - 1, 65 - 1) = "1" ), 3, 4 ) ) )</f>
        <v>4</v>
      </c>
    </row>
    <row r="817" spans="58:66" x14ac:dyDescent="0.2">
      <c r="BF817" s="3">
        <v>0.90579710144927539</v>
      </c>
      <c r="BG817" s="3" t="str">
        <f>"1"</f>
        <v>1</v>
      </c>
      <c r="BH817" t="str">
        <f ca="1">IF((OFFSET($A$1, 817 - 1, 58 - 1)) &gt;= (OFFSET($A$1, 96 - 1, 7 - 1)), "1","0")</f>
        <v>1</v>
      </c>
      <c r="BI817">
        <f ca="1" xml:space="preserve"> IF( AND( OFFSET($A$1, 817 - 1, 59 - 1) = "1", OFFSET($A$1, 817 - 1, 60 - 1) = "1" ), 1, IF( AND( OFFSET($A$1, 817 - 1, 59 - 1) = "1", OFFSET($A$1, 817 - 1, 60 - 1) = "0" ), 2, IF( AND( OFFSET($A$1, 817 - 1, 59 - 1) = "0", OFFSET($A$1, 817 - 1, 60 - 1) = "1" ), 3, 4 ) ) )</f>
        <v>1</v>
      </c>
      <c r="BK817" s="3">
        <v>6.6350710900473939E-2</v>
      </c>
      <c r="BL817" s="3" t="str">
        <f t="shared" si="91"/>
        <v>0</v>
      </c>
      <c r="BM817" t="str">
        <f ca="1">IF((OFFSET($A$1, 817 - 1, 63 - 1)) &gt;= (OFFSET($A$1, 135 - 1, 7 - 1)), "1","0")</f>
        <v>0</v>
      </c>
      <c r="BN817">
        <f ca="1" xml:space="preserve"> IF( AND( OFFSET($A$1, 817 - 1, 64 - 1) = "1", OFFSET($A$1, 817 - 1, 65 - 1) = "1" ), 1, IF( AND( OFFSET($A$1, 817 - 1, 64 - 1) = "1", OFFSET($A$1, 817 - 1, 65 - 1) = "0" ), 2, IF( AND( OFFSET($A$1, 817 - 1, 64 - 1) = "0", OFFSET($A$1, 817 - 1, 65 - 1) = "1" ), 3, 4 ) ) )</f>
        <v>4</v>
      </c>
    </row>
    <row r="818" spans="58:66" x14ac:dyDescent="0.2">
      <c r="BF818" s="3">
        <v>0.38775510204081637</v>
      </c>
      <c r="BG818" s="3" t="str">
        <f t="shared" ref="BG818:BG830" si="92">"0"</f>
        <v>0</v>
      </c>
      <c r="BH818" t="str">
        <f ca="1">IF((OFFSET($A$1, 818 - 1, 58 - 1)) &gt;= (OFFSET($A$1, 96 - 1, 7 - 1)), "1","0")</f>
        <v>0</v>
      </c>
      <c r="BI818">
        <f ca="1" xml:space="preserve"> IF( AND( OFFSET($A$1, 818 - 1, 59 - 1) = "1", OFFSET($A$1, 818 - 1, 60 - 1) = "1" ), 1, IF( AND( OFFSET($A$1, 818 - 1, 59 - 1) = "1", OFFSET($A$1, 818 - 1, 60 - 1) = "0" ), 2, IF( AND( OFFSET($A$1, 818 - 1, 59 - 1) = "0", OFFSET($A$1, 818 - 1, 60 - 1) = "1" ), 3, 4 ) ) )</f>
        <v>4</v>
      </c>
      <c r="BK818" s="3">
        <v>2.5316455696202531E-2</v>
      </c>
      <c r="BL818" s="3" t="str">
        <f t="shared" si="91"/>
        <v>0</v>
      </c>
      <c r="BM818" t="str">
        <f ca="1">IF((OFFSET($A$1, 818 - 1, 63 - 1)) &gt;= (OFFSET($A$1, 135 - 1, 7 - 1)), "1","0")</f>
        <v>0</v>
      </c>
      <c r="BN818">
        <f ca="1" xml:space="preserve"> IF( AND( OFFSET($A$1, 818 - 1, 64 - 1) = "1", OFFSET($A$1, 818 - 1, 65 - 1) = "1" ), 1, IF( AND( OFFSET($A$1, 818 - 1, 64 - 1) = "1", OFFSET($A$1, 818 - 1, 65 - 1) = "0" ), 2, IF( AND( OFFSET($A$1, 818 - 1, 64 - 1) = "0", OFFSET($A$1, 818 - 1, 65 - 1) = "1" ), 3, 4 ) ) )</f>
        <v>4</v>
      </c>
    </row>
    <row r="819" spans="58:66" x14ac:dyDescent="0.2">
      <c r="BF819" s="3">
        <v>0.08</v>
      </c>
      <c r="BG819" s="3" t="str">
        <f t="shared" si="92"/>
        <v>0</v>
      </c>
      <c r="BH819" t="str">
        <f ca="1">IF((OFFSET($A$1, 819 - 1, 58 - 1)) &gt;= (OFFSET($A$1, 96 - 1, 7 - 1)), "1","0")</f>
        <v>0</v>
      </c>
      <c r="BI819">
        <f ca="1" xml:space="preserve"> IF( AND( OFFSET($A$1, 819 - 1, 59 - 1) = "1", OFFSET($A$1, 819 - 1, 60 - 1) = "1" ), 1, IF( AND( OFFSET($A$1, 819 - 1, 59 - 1) = "1", OFFSET($A$1, 819 - 1, 60 - 1) = "0" ), 2, IF( AND( OFFSET($A$1, 819 - 1, 59 - 1) = "0", OFFSET($A$1, 819 - 1, 60 - 1) = "1" ), 3, 4 ) ) )</f>
        <v>4</v>
      </c>
      <c r="BK819" s="3">
        <v>0.90579710144927539</v>
      </c>
      <c r="BL819" s="3" t="str">
        <f t="shared" si="91"/>
        <v>0</v>
      </c>
      <c r="BM819" t="str">
        <f ca="1">IF((OFFSET($A$1, 819 - 1, 63 - 1)) &gt;= (OFFSET($A$1, 135 - 1, 7 - 1)), "1","0")</f>
        <v>1</v>
      </c>
      <c r="BN819">
        <f ca="1" xml:space="preserve"> IF( AND( OFFSET($A$1, 819 - 1, 64 - 1) = "1", OFFSET($A$1, 819 - 1, 65 - 1) = "1" ), 1, IF( AND( OFFSET($A$1, 819 - 1, 64 - 1) = "1", OFFSET($A$1, 819 - 1, 65 - 1) = "0" ), 2, IF( AND( OFFSET($A$1, 819 - 1, 64 - 1) = "0", OFFSET($A$1, 819 - 1, 65 - 1) = "1" ), 3, 4 ) ) )</f>
        <v>3</v>
      </c>
    </row>
    <row r="820" spans="58:66" x14ac:dyDescent="0.2">
      <c r="BF820" s="3">
        <v>0</v>
      </c>
      <c r="BG820" s="3" t="str">
        <f t="shared" si="92"/>
        <v>0</v>
      </c>
      <c r="BH820" t="str">
        <f ca="1">IF((OFFSET($A$1, 820 - 1, 58 - 1)) &gt;= (OFFSET($A$1, 96 - 1, 7 - 1)), "1","0")</f>
        <v>0</v>
      </c>
      <c r="BI820">
        <f ca="1" xml:space="preserve"> IF( AND( OFFSET($A$1, 820 - 1, 59 - 1) = "1", OFFSET($A$1, 820 - 1, 60 - 1) = "1" ), 1, IF( AND( OFFSET($A$1, 820 - 1, 59 - 1) = "1", OFFSET($A$1, 820 - 1, 60 - 1) = "0" ), 2, IF( AND( OFFSET($A$1, 820 - 1, 59 - 1) = "0", OFFSET($A$1, 820 - 1, 60 - 1) = "1" ), 3, 4 ) ) )</f>
        <v>4</v>
      </c>
      <c r="BK820" s="3">
        <v>2.5316455696202531E-2</v>
      </c>
      <c r="BL820" s="3" t="str">
        <f t="shared" si="91"/>
        <v>0</v>
      </c>
      <c r="BM820" t="str">
        <f ca="1">IF((OFFSET($A$1, 820 - 1, 63 - 1)) &gt;= (OFFSET($A$1, 135 - 1, 7 - 1)), "1","0")</f>
        <v>0</v>
      </c>
      <c r="BN820">
        <f ca="1" xml:space="preserve"> IF( AND( OFFSET($A$1, 820 - 1, 64 - 1) = "1", OFFSET($A$1, 820 - 1, 65 - 1) = "1" ), 1, IF( AND( OFFSET($A$1, 820 - 1, 64 - 1) = "1", OFFSET($A$1, 820 - 1, 65 - 1) = "0" ), 2, IF( AND( OFFSET($A$1, 820 - 1, 64 - 1) = "0", OFFSET($A$1, 820 - 1, 65 - 1) = "1" ), 3, 4 ) ) )</f>
        <v>4</v>
      </c>
    </row>
    <row r="821" spans="58:66" x14ac:dyDescent="0.2">
      <c r="BF821" s="3">
        <v>0</v>
      </c>
      <c r="BG821" s="3" t="str">
        <f t="shared" si="92"/>
        <v>0</v>
      </c>
      <c r="BH821" t="str">
        <f ca="1">IF((OFFSET($A$1, 821 - 1, 58 - 1)) &gt;= (OFFSET($A$1, 96 - 1, 7 - 1)), "1","0")</f>
        <v>0</v>
      </c>
      <c r="BI821">
        <f ca="1" xml:space="preserve"> IF( AND( OFFSET($A$1, 821 - 1, 59 - 1) = "1", OFFSET($A$1, 821 - 1, 60 - 1) = "1" ), 1, IF( AND( OFFSET($A$1, 821 - 1, 59 - 1) = "1", OFFSET($A$1, 821 - 1, 60 - 1) = "0" ), 2, IF( AND( OFFSET($A$1, 821 - 1, 59 - 1) = "0", OFFSET($A$1, 821 - 1, 60 - 1) = "1" ), 3, 4 ) ) )</f>
        <v>4</v>
      </c>
      <c r="BK821" s="3">
        <v>0.90579710144927539</v>
      </c>
      <c r="BL821" s="3" t="str">
        <f>"1"</f>
        <v>1</v>
      </c>
      <c r="BM821" t="str">
        <f ca="1">IF((OFFSET($A$1, 821 - 1, 63 - 1)) &gt;= (OFFSET($A$1, 135 - 1, 7 - 1)), "1","0")</f>
        <v>1</v>
      </c>
      <c r="BN821">
        <f ca="1" xml:space="preserve"> IF( AND( OFFSET($A$1, 821 - 1, 64 - 1) = "1", OFFSET($A$1, 821 - 1, 65 - 1) = "1" ), 1, IF( AND( OFFSET($A$1, 821 - 1, 64 - 1) = "1", OFFSET($A$1, 821 - 1, 65 - 1) = "0" ), 2, IF( AND( OFFSET($A$1, 821 - 1, 64 - 1) = "0", OFFSET($A$1, 821 - 1, 65 - 1) = "1" ), 3, 4 ) ) )</f>
        <v>1</v>
      </c>
    </row>
    <row r="822" spans="58:66" x14ac:dyDescent="0.2">
      <c r="BF822" s="3">
        <v>0.47692307692307689</v>
      </c>
      <c r="BG822" s="3" t="str">
        <f t="shared" si="92"/>
        <v>0</v>
      </c>
      <c r="BH822" t="str">
        <f ca="1">IF((OFFSET($A$1, 822 - 1, 58 - 1)) &gt;= (OFFSET($A$1, 96 - 1, 7 - 1)), "1","0")</f>
        <v>0</v>
      </c>
      <c r="BI822">
        <f ca="1" xml:space="preserve"> IF( AND( OFFSET($A$1, 822 - 1, 59 - 1) = "1", OFFSET($A$1, 822 - 1, 60 - 1) = "1" ), 1, IF( AND( OFFSET($A$1, 822 - 1, 59 - 1) = "1", OFFSET($A$1, 822 - 1, 60 - 1) = "0" ), 2, IF( AND( OFFSET($A$1, 822 - 1, 59 - 1) = "0", OFFSET($A$1, 822 - 1, 60 - 1) = "1" ), 3, 4 ) ) )</f>
        <v>4</v>
      </c>
      <c r="BK822" s="3">
        <v>6.6350710900473939E-2</v>
      </c>
      <c r="BL822" s="3" t="str">
        <f>"1"</f>
        <v>1</v>
      </c>
      <c r="BM822" t="str">
        <f ca="1">IF((OFFSET($A$1, 822 - 1, 63 - 1)) &gt;= (OFFSET($A$1, 135 - 1, 7 - 1)), "1","0")</f>
        <v>0</v>
      </c>
      <c r="BN822">
        <f ca="1" xml:space="preserve"> IF( AND( OFFSET($A$1, 822 - 1, 64 - 1) = "1", OFFSET($A$1, 822 - 1, 65 - 1) = "1" ), 1, IF( AND( OFFSET($A$1, 822 - 1, 64 - 1) = "1", OFFSET($A$1, 822 - 1, 65 - 1) = "0" ), 2, IF( AND( OFFSET($A$1, 822 - 1, 64 - 1) = "0", OFFSET($A$1, 822 - 1, 65 - 1) = "1" ), 3, 4 ) ) )</f>
        <v>2</v>
      </c>
    </row>
    <row r="823" spans="58:66" x14ac:dyDescent="0.2">
      <c r="BF823" s="3">
        <v>0</v>
      </c>
      <c r="BG823" s="3" t="str">
        <f t="shared" si="92"/>
        <v>0</v>
      </c>
      <c r="BH823" t="str">
        <f ca="1">IF((OFFSET($A$1, 823 - 1, 58 - 1)) &gt;= (OFFSET($A$1, 96 - 1, 7 - 1)), "1","0")</f>
        <v>0</v>
      </c>
      <c r="BI823">
        <f ca="1" xml:space="preserve"> IF( AND( OFFSET($A$1, 823 - 1, 59 - 1) = "1", OFFSET($A$1, 823 - 1, 60 - 1) = "1" ), 1, IF( AND( OFFSET($A$1, 823 - 1, 59 - 1) = "1", OFFSET($A$1, 823 - 1, 60 - 1) = "0" ), 2, IF( AND( OFFSET($A$1, 823 - 1, 59 - 1) = "0", OFFSET($A$1, 823 - 1, 60 - 1) = "1" ), 3, 4 ) ) )</f>
        <v>4</v>
      </c>
      <c r="BK823" s="3">
        <v>6.6350710900473939E-2</v>
      </c>
      <c r="BL823" s="3" t="str">
        <f t="shared" ref="BL823:BL830" si="93">"0"</f>
        <v>0</v>
      </c>
      <c r="BM823" t="str">
        <f ca="1">IF((OFFSET($A$1, 823 - 1, 63 - 1)) &gt;= (OFFSET($A$1, 135 - 1, 7 - 1)), "1","0")</f>
        <v>0</v>
      </c>
      <c r="BN823">
        <f ca="1" xml:space="preserve"> IF( AND( OFFSET($A$1, 823 - 1, 64 - 1) = "1", OFFSET($A$1, 823 - 1, 65 - 1) = "1" ), 1, IF( AND( OFFSET($A$1, 823 - 1, 64 - 1) = "1", OFFSET($A$1, 823 - 1, 65 - 1) = "0" ), 2, IF( AND( OFFSET($A$1, 823 - 1, 64 - 1) = "0", OFFSET($A$1, 823 - 1, 65 - 1) = "1" ), 3, 4 ) ) )</f>
        <v>4</v>
      </c>
    </row>
    <row r="824" spans="58:66" x14ac:dyDescent="0.2">
      <c r="BF824" s="3">
        <v>0</v>
      </c>
      <c r="BG824" s="3" t="str">
        <f t="shared" si="92"/>
        <v>0</v>
      </c>
      <c r="BH824" t="str">
        <f ca="1">IF((OFFSET($A$1, 824 - 1, 58 - 1)) &gt;= (OFFSET($A$1, 96 - 1, 7 - 1)), "1","0")</f>
        <v>0</v>
      </c>
      <c r="BI824">
        <f ca="1" xml:space="preserve"> IF( AND( OFFSET($A$1, 824 - 1, 59 - 1) = "1", OFFSET($A$1, 824 - 1, 60 - 1) = "1" ), 1, IF( AND( OFFSET($A$1, 824 - 1, 59 - 1) = "1", OFFSET($A$1, 824 - 1, 60 - 1) = "0" ), 2, IF( AND( OFFSET($A$1, 824 - 1, 59 - 1) = "0", OFFSET($A$1, 824 - 1, 60 - 1) = "1" ), 3, 4 ) ) )</f>
        <v>4</v>
      </c>
      <c r="BK824" s="3">
        <v>6.6350710900473939E-2</v>
      </c>
      <c r="BL824" s="3" t="str">
        <f t="shared" si="93"/>
        <v>0</v>
      </c>
      <c r="BM824" t="str">
        <f ca="1">IF((OFFSET($A$1, 824 - 1, 63 - 1)) &gt;= (OFFSET($A$1, 135 - 1, 7 - 1)), "1","0")</f>
        <v>0</v>
      </c>
      <c r="BN824">
        <f ca="1" xml:space="preserve"> IF( AND( OFFSET($A$1, 824 - 1, 64 - 1) = "1", OFFSET($A$1, 824 - 1, 65 - 1) = "1" ), 1, IF( AND( OFFSET($A$1, 824 - 1, 64 - 1) = "1", OFFSET($A$1, 824 - 1, 65 - 1) = "0" ), 2, IF( AND( OFFSET($A$1, 824 - 1, 64 - 1) = "0", OFFSET($A$1, 824 - 1, 65 - 1) = "1" ), 3, 4 ) ) )</f>
        <v>4</v>
      </c>
    </row>
    <row r="825" spans="58:66" x14ac:dyDescent="0.2">
      <c r="BF825" s="3">
        <v>3.7037037037037042E-2</v>
      </c>
      <c r="BG825" s="3" t="str">
        <f t="shared" si="92"/>
        <v>0</v>
      </c>
      <c r="BH825" t="str">
        <f ca="1">IF((OFFSET($A$1, 825 - 1, 58 - 1)) &gt;= (OFFSET($A$1, 96 - 1, 7 - 1)), "1","0")</f>
        <v>0</v>
      </c>
      <c r="BI825">
        <f ca="1" xml:space="preserve"> IF( AND( OFFSET($A$1, 825 - 1, 59 - 1) = "1", OFFSET($A$1, 825 - 1, 60 - 1) = "1" ), 1, IF( AND( OFFSET($A$1, 825 - 1, 59 - 1) = "1", OFFSET($A$1, 825 - 1, 60 - 1) = "0" ), 2, IF( AND( OFFSET($A$1, 825 - 1, 59 - 1) = "0", OFFSET($A$1, 825 - 1, 60 - 1) = "1" ), 3, 4 ) ) )</f>
        <v>4</v>
      </c>
      <c r="BK825" s="3">
        <v>2.5316455696202531E-2</v>
      </c>
      <c r="BL825" s="3" t="str">
        <f t="shared" si="93"/>
        <v>0</v>
      </c>
      <c r="BM825" t="str">
        <f ca="1">IF((OFFSET($A$1, 825 - 1, 63 - 1)) &gt;= (OFFSET($A$1, 135 - 1, 7 - 1)), "1","0")</f>
        <v>0</v>
      </c>
      <c r="BN825">
        <f ca="1" xml:space="preserve"> IF( AND( OFFSET($A$1, 825 - 1, 64 - 1) = "1", OFFSET($A$1, 825 - 1, 65 - 1) = "1" ), 1, IF( AND( OFFSET($A$1, 825 - 1, 64 - 1) = "1", OFFSET($A$1, 825 - 1, 65 - 1) = "0" ), 2, IF( AND( OFFSET($A$1, 825 - 1, 64 - 1) = "0", OFFSET($A$1, 825 - 1, 65 - 1) = "1" ), 3, 4 ) ) )</f>
        <v>4</v>
      </c>
    </row>
    <row r="826" spans="58:66" x14ac:dyDescent="0.2">
      <c r="BF826" s="3">
        <v>0</v>
      </c>
      <c r="BG826" s="3" t="str">
        <f t="shared" si="92"/>
        <v>0</v>
      </c>
      <c r="BH826" t="str">
        <f ca="1">IF((OFFSET($A$1, 826 - 1, 58 - 1)) &gt;= (OFFSET($A$1, 96 - 1, 7 - 1)), "1","0")</f>
        <v>0</v>
      </c>
      <c r="BI826">
        <f ca="1" xml:space="preserve"> IF( AND( OFFSET($A$1, 826 - 1, 59 - 1) = "1", OFFSET($A$1, 826 - 1, 60 - 1) = "1" ), 1, IF( AND( OFFSET($A$1, 826 - 1, 59 - 1) = "1", OFFSET($A$1, 826 - 1, 60 - 1) = "0" ), 2, IF( AND( OFFSET($A$1, 826 - 1, 59 - 1) = "0", OFFSET($A$1, 826 - 1, 60 - 1) = "1" ), 3, 4 ) ) )</f>
        <v>4</v>
      </c>
      <c r="BK826" s="3">
        <v>6.6350710900473939E-2</v>
      </c>
      <c r="BL826" s="3" t="str">
        <f t="shared" si="93"/>
        <v>0</v>
      </c>
      <c r="BM826" t="str">
        <f ca="1">IF((OFFSET($A$1, 826 - 1, 63 - 1)) &gt;= (OFFSET($A$1, 135 - 1, 7 - 1)), "1","0")</f>
        <v>0</v>
      </c>
      <c r="BN826">
        <f ca="1" xml:space="preserve"> IF( AND( OFFSET($A$1, 826 - 1, 64 - 1) = "1", OFFSET($A$1, 826 - 1, 65 - 1) = "1" ), 1, IF( AND( OFFSET($A$1, 826 - 1, 64 - 1) = "1", OFFSET($A$1, 826 - 1, 65 - 1) = "0" ), 2, IF( AND( OFFSET($A$1, 826 - 1, 64 - 1) = "0", OFFSET($A$1, 826 - 1, 65 - 1) = "1" ), 3, 4 ) ) )</f>
        <v>4</v>
      </c>
    </row>
    <row r="827" spans="58:66" x14ac:dyDescent="0.2">
      <c r="BF827" s="3">
        <v>0</v>
      </c>
      <c r="BG827" s="3" t="str">
        <f t="shared" si="92"/>
        <v>0</v>
      </c>
      <c r="BH827" t="str">
        <f ca="1">IF((OFFSET($A$1, 827 - 1, 58 - 1)) &gt;= (OFFSET($A$1, 96 - 1, 7 - 1)), "1","0")</f>
        <v>0</v>
      </c>
      <c r="BI827">
        <f ca="1" xml:space="preserve"> IF( AND( OFFSET($A$1, 827 - 1, 59 - 1) = "1", OFFSET($A$1, 827 - 1, 60 - 1) = "1" ), 1, IF( AND( OFFSET($A$1, 827 - 1, 59 - 1) = "1", OFFSET($A$1, 827 - 1, 60 - 1) = "0" ), 2, IF( AND( OFFSET($A$1, 827 - 1, 59 - 1) = "0", OFFSET($A$1, 827 - 1, 60 - 1) = "1" ), 3, 4 ) ) )</f>
        <v>4</v>
      </c>
      <c r="BK827" s="3">
        <v>6.6350710900473939E-2</v>
      </c>
      <c r="BL827" s="3" t="str">
        <f t="shared" si="93"/>
        <v>0</v>
      </c>
      <c r="BM827" t="str">
        <f ca="1">IF((OFFSET($A$1, 827 - 1, 63 - 1)) &gt;= (OFFSET($A$1, 135 - 1, 7 - 1)), "1","0")</f>
        <v>0</v>
      </c>
      <c r="BN827">
        <f ca="1" xml:space="preserve"> IF( AND( OFFSET($A$1, 827 - 1, 64 - 1) = "1", OFFSET($A$1, 827 - 1, 65 - 1) = "1" ), 1, IF( AND( OFFSET($A$1, 827 - 1, 64 - 1) = "1", OFFSET($A$1, 827 - 1, 65 - 1) = "0" ), 2, IF( AND( OFFSET($A$1, 827 - 1, 64 - 1) = "0", OFFSET($A$1, 827 - 1, 65 - 1) = "1" ), 3, 4 ) ) )</f>
        <v>4</v>
      </c>
    </row>
    <row r="828" spans="58:66" x14ac:dyDescent="0.2">
      <c r="BF828" s="3">
        <v>0.36</v>
      </c>
      <c r="BG828" s="3" t="str">
        <f t="shared" si="92"/>
        <v>0</v>
      </c>
      <c r="BH828" t="str">
        <f ca="1">IF((OFFSET($A$1, 828 - 1, 58 - 1)) &gt;= (OFFSET($A$1, 96 - 1, 7 - 1)), "1","0")</f>
        <v>0</v>
      </c>
      <c r="BI828">
        <f ca="1" xml:space="preserve"> IF( AND( OFFSET($A$1, 828 - 1, 59 - 1) = "1", OFFSET($A$1, 828 - 1, 60 - 1) = "1" ), 1, IF( AND( OFFSET($A$1, 828 - 1, 59 - 1) = "1", OFFSET($A$1, 828 - 1, 60 - 1) = "0" ), 2, IF( AND( OFFSET($A$1, 828 - 1, 59 - 1) = "0", OFFSET($A$1, 828 - 1, 60 - 1) = "1" ), 3, 4 ) ) )</f>
        <v>4</v>
      </c>
      <c r="BK828" s="3">
        <v>6.6350710900473939E-2</v>
      </c>
      <c r="BL828" s="3" t="str">
        <f t="shared" si="93"/>
        <v>0</v>
      </c>
      <c r="BM828" t="str">
        <f ca="1">IF((OFFSET($A$1, 828 - 1, 63 - 1)) &gt;= (OFFSET($A$1, 135 - 1, 7 - 1)), "1","0")</f>
        <v>0</v>
      </c>
      <c r="BN828">
        <f ca="1" xml:space="preserve"> IF( AND( OFFSET($A$1, 828 - 1, 64 - 1) = "1", OFFSET($A$1, 828 - 1, 65 - 1) = "1" ), 1, IF( AND( OFFSET($A$1, 828 - 1, 64 - 1) = "1", OFFSET($A$1, 828 - 1, 65 - 1) = "0" ), 2, IF( AND( OFFSET($A$1, 828 - 1, 64 - 1) = "0", OFFSET($A$1, 828 - 1, 65 - 1) = "1" ), 3, 4 ) ) )</f>
        <v>4</v>
      </c>
    </row>
    <row r="829" spans="58:66" x14ac:dyDescent="0.2">
      <c r="BF829" s="3">
        <v>0</v>
      </c>
      <c r="BG829" s="3" t="str">
        <f t="shared" si="92"/>
        <v>0</v>
      </c>
      <c r="BH829" t="str">
        <f ca="1">IF((OFFSET($A$1, 829 - 1, 58 - 1)) &gt;= (OFFSET($A$1, 96 - 1, 7 - 1)), "1","0")</f>
        <v>0</v>
      </c>
      <c r="BI829">
        <f ca="1" xml:space="preserve"> IF( AND( OFFSET($A$1, 829 - 1, 59 - 1) = "1", OFFSET($A$1, 829 - 1, 60 - 1) = "1" ), 1, IF( AND( OFFSET($A$1, 829 - 1, 59 - 1) = "1", OFFSET($A$1, 829 - 1, 60 - 1) = "0" ), 2, IF( AND( OFFSET($A$1, 829 - 1, 59 - 1) = "0", OFFSET($A$1, 829 - 1, 60 - 1) = "1" ), 3, 4 ) ) )</f>
        <v>4</v>
      </c>
      <c r="BK829" s="3">
        <v>6.6350710900473939E-2</v>
      </c>
      <c r="BL829" s="3" t="str">
        <f t="shared" si="93"/>
        <v>0</v>
      </c>
      <c r="BM829" t="str">
        <f ca="1">IF((OFFSET($A$1, 829 - 1, 63 - 1)) &gt;= (OFFSET($A$1, 135 - 1, 7 - 1)), "1","0")</f>
        <v>0</v>
      </c>
      <c r="BN829">
        <f ca="1" xml:space="preserve"> IF( AND( OFFSET($A$1, 829 - 1, 64 - 1) = "1", OFFSET($A$1, 829 - 1, 65 - 1) = "1" ), 1, IF( AND( OFFSET($A$1, 829 - 1, 64 - 1) = "1", OFFSET($A$1, 829 - 1, 65 - 1) = "0" ), 2, IF( AND( OFFSET($A$1, 829 - 1, 64 - 1) = "0", OFFSET($A$1, 829 - 1, 65 - 1) = "1" ), 3, 4 ) ) )</f>
        <v>4</v>
      </c>
    </row>
    <row r="830" spans="58:66" x14ac:dyDescent="0.2">
      <c r="BF830" s="3">
        <v>0.36</v>
      </c>
      <c r="BG830" s="3" t="str">
        <f t="shared" si="92"/>
        <v>0</v>
      </c>
      <c r="BH830" t="str">
        <f ca="1">IF((OFFSET($A$1, 830 - 1, 58 - 1)) &gt;= (OFFSET($A$1, 96 - 1, 7 - 1)), "1","0")</f>
        <v>0</v>
      </c>
      <c r="BI830">
        <f ca="1" xml:space="preserve"> IF( AND( OFFSET($A$1, 830 - 1, 59 - 1) = "1", OFFSET($A$1, 830 - 1, 60 - 1) = "1" ), 1, IF( AND( OFFSET($A$1, 830 - 1, 59 - 1) = "1", OFFSET($A$1, 830 - 1, 60 - 1) = "0" ), 2, IF( AND( OFFSET($A$1, 830 - 1, 59 - 1) = "0", OFFSET($A$1, 830 - 1, 60 - 1) = "1" ), 3, 4 ) ) )</f>
        <v>4</v>
      </c>
      <c r="BK830" s="3">
        <v>0.36</v>
      </c>
      <c r="BL830" s="3" t="str">
        <f t="shared" si="93"/>
        <v>0</v>
      </c>
      <c r="BM830" t="str">
        <f ca="1">IF((OFFSET($A$1, 830 - 1, 63 - 1)) &gt;= (OFFSET($A$1, 135 - 1, 7 - 1)), "1","0")</f>
        <v>0</v>
      </c>
      <c r="BN830">
        <f ca="1" xml:space="preserve"> IF( AND( OFFSET($A$1, 830 - 1, 64 - 1) = "1", OFFSET($A$1, 830 - 1, 65 - 1) = "1" ), 1, IF( AND( OFFSET($A$1, 830 - 1, 64 - 1) = "1", OFFSET($A$1, 830 - 1, 65 - 1) = "0" ), 2, IF( AND( OFFSET($A$1, 830 - 1, 64 - 1) = "0", OFFSET($A$1, 830 - 1, 65 - 1) = "1" ), 3, 4 ) ) )</f>
        <v>4</v>
      </c>
    </row>
    <row r="831" spans="58:66" x14ac:dyDescent="0.2">
      <c r="BF831" s="3">
        <v>0.36</v>
      </c>
      <c r="BG831" s="3" t="str">
        <f>"1"</f>
        <v>1</v>
      </c>
      <c r="BH831" t="str">
        <f ca="1">IF((OFFSET($A$1, 831 - 1, 58 - 1)) &gt;= (OFFSET($A$1, 96 - 1, 7 - 1)), "1","0")</f>
        <v>0</v>
      </c>
      <c r="BI831">
        <f ca="1" xml:space="preserve"> IF( AND( OFFSET($A$1, 831 - 1, 59 - 1) = "1", OFFSET($A$1, 831 - 1, 60 - 1) = "1" ), 1, IF( AND( OFFSET($A$1, 831 - 1, 59 - 1) = "1", OFFSET($A$1, 831 - 1, 60 - 1) = "0" ), 2, IF( AND( OFFSET($A$1, 831 - 1, 59 - 1) = "0", OFFSET($A$1, 831 - 1, 60 - 1) = "1" ), 3, 4 ) ) )</f>
        <v>2</v>
      </c>
      <c r="BK831" s="3">
        <v>6.6350710900473939E-2</v>
      </c>
      <c r="BL831" s="3" t="str">
        <f>"1"</f>
        <v>1</v>
      </c>
      <c r="BM831" t="str">
        <f ca="1">IF((OFFSET($A$1, 831 - 1, 63 - 1)) &gt;= (OFFSET($A$1, 135 - 1, 7 - 1)), "1","0")</f>
        <v>0</v>
      </c>
      <c r="BN831">
        <f ca="1" xml:space="preserve"> IF( AND( OFFSET($A$1, 831 - 1, 64 - 1) = "1", OFFSET($A$1, 831 - 1, 65 - 1) = "1" ), 1, IF( AND( OFFSET($A$1, 831 - 1, 64 - 1) = "1", OFFSET($A$1, 831 - 1, 65 - 1) = "0" ), 2, IF( AND( OFFSET($A$1, 831 - 1, 64 - 1) = "0", OFFSET($A$1, 831 - 1, 65 - 1) = "1" ), 3, 4 ) ) )</f>
        <v>2</v>
      </c>
    </row>
    <row r="832" spans="58:66" x14ac:dyDescent="0.2">
      <c r="BF832" s="3">
        <v>0.08</v>
      </c>
      <c r="BG832" s="3" t="str">
        <f>"0"</f>
        <v>0</v>
      </c>
      <c r="BH832" t="str">
        <f ca="1">IF((OFFSET($A$1, 832 - 1, 58 - 1)) &gt;= (OFFSET($A$1, 96 - 1, 7 - 1)), "1","0")</f>
        <v>0</v>
      </c>
      <c r="BI832">
        <f ca="1" xml:space="preserve"> IF( AND( OFFSET($A$1, 832 - 1, 59 - 1) = "1", OFFSET($A$1, 832 - 1, 60 - 1) = "1" ), 1, IF( AND( OFFSET($A$1, 832 - 1, 59 - 1) = "1", OFFSET($A$1, 832 - 1, 60 - 1) = "0" ), 2, IF( AND( OFFSET($A$1, 832 - 1, 59 - 1) = "0", OFFSET($A$1, 832 - 1, 60 - 1) = "1" ), 3, 4 ) ) )</f>
        <v>4</v>
      </c>
      <c r="BK832" s="3">
        <v>6.6350710900473939E-2</v>
      </c>
      <c r="BL832" s="3" t="str">
        <f>"0"</f>
        <v>0</v>
      </c>
      <c r="BM832" t="str">
        <f ca="1">IF((OFFSET($A$1, 832 - 1, 63 - 1)) &gt;= (OFFSET($A$1, 135 - 1, 7 - 1)), "1","0")</f>
        <v>0</v>
      </c>
      <c r="BN832">
        <f ca="1" xml:space="preserve"> IF( AND( OFFSET($A$1, 832 - 1, 64 - 1) = "1", OFFSET($A$1, 832 - 1, 65 - 1) = "1" ), 1, IF( AND( OFFSET($A$1, 832 - 1, 64 - 1) = "1", OFFSET($A$1, 832 - 1, 65 - 1) = "0" ), 2, IF( AND( OFFSET($A$1, 832 - 1, 64 - 1) = "0", OFFSET($A$1, 832 - 1, 65 - 1) = "1" ), 3, 4 ) ) )</f>
        <v>4</v>
      </c>
    </row>
    <row r="833" spans="58:66" x14ac:dyDescent="0.2">
      <c r="BF833" s="3">
        <v>3.7037037037037042E-2</v>
      </c>
      <c r="BG833" s="3" t="str">
        <f>"0"</f>
        <v>0</v>
      </c>
      <c r="BH833" t="str">
        <f ca="1">IF((OFFSET($A$1, 833 - 1, 58 - 1)) &gt;= (OFFSET($A$1, 96 - 1, 7 - 1)), "1","0")</f>
        <v>0</v>
      </c>
      <c r="BI833">
        <f ca="1" xml:space="preserve"> IF( AND( OFFSET($A$1, 833 - 1, 59 - 1) = "1", OFFSET($A$1, 833 - 1, 60 - 1) = "1" ), 1, IF( AND( OFFSET($A$1, 833 - 1, 59 - 1) = "1", OFFSET($A$1, 833 - 1, 60 - 1) = "0" ), 2, IF( AND( OFFSET($A$1, 833 - 1, 59 - 1) = "0", OFFSET($A$1, 833 - 1, 60 - 1) = "1" ), 3, 4 ) ) )</f>
        <v>4</v>
      </c>
      <c r="BK833" s="3">
        <v>6.6350710900473939E-2</v>
      </c>
      <c r="BL833" s="3" t="str">
        <f>"0"</f>
        <v>0</v>
      </c>
      <c r="BM833" t="str">
        <f ca="1">IF((OFFSET($A$1, 833 - 1, 63 - 1)) &gt;= (OFFSET($A$1, 135 - 1, 7 - 1)), "1","0")</f>
        <v>0</v>
      </c>
      <c r="BN833">
        <f ca="1" xml:space="preserve"> IF( AND( OFFSET($A$1, 833 - 1, 64 - 1) = "1", OFFSET($A$1, 833 - 1, 65 - 1) = "1" ), 1, IF( AND( OFFSET($A$1, 833 - 1, 64 - 1) = "1", OFFSET($A$1, 833 - 1, 65 - 1) = "0" ), 2, IF( AND( OFFSET($A$1, 833 - 1, 64 - 1) = "0", OFFSET($A$1, 833 - 1, 65 - 1) = "1" ), 3, 4 ) ) )</f>
        <v>4</v>
      </c>
    </row>
    <row r="834" spans="58:66" x14ac:dyDescent="0.2">
      <c r="BF834" s="3">
        <v>0</v>
      </c>
      <c r="BG834" s="3" t="str">
        <f>"0"</f>
        <v>0</v>
      </c>
      <c r="BH834" t="str">
        <f ca="1">IF((OFFSET($A$1, 834 - 1, 58 - 1)) &gt;= (OFFSET($A$1, 96 - 1, 7 - 1)), "1","0")</f>
        <v>0</v>
      </c>
      <c r="BI834">
        <f ca="1" xml:space="preserve"> IF( AND( OFFSET($A$1, 834 - 1, 59 - 1) = "1", OFFSET($A$1, 834 - 1, 60 - 1) = "1" ), 1, IF( AND( OFFSET($A$1, 834 - 1, 59 - 1) = "1", OFFSET($A$1, 834 - 1, 60 - 1) = "0" ), 2, IF( AND( OFFSET($A$1, 834 - 1, 59 - 1) = "0", OFFSET($A$1, 834 - 1, 60 - 1) = "1" ), 3, 4 ) ) )</f>
        <v>4</v>
      </c>
      <c r="BK834" s="3">
        <v>6.6350710900473939E-2</v>
      </c>
      <c r="BL834" s="3" t="str">
        <f>"0"</f>
        <v>0</v>
      </c>
      <c r="BM834" t="str">
        <f ca="1">IF((OFFSET($A$1, 834 - 1, 63 - 1)) &gt;= (OFFSET($A$1, 135 - 1, 7 - 1)), "1","0")</f>
        <v>0</v>
      </c>
      <c r="BN834">
        <f ca="1" xml:space="preserve"> IF( AND( OFFSET($A$1, 834 - 1, 64 - 1) = "1", OFFSET($A$1, 834 - 1, 65 - 1) = "1" ), 1, IF( AND( OFFSET($A$1, 834 - 1, 64 - 1) = "1", OFFSET($A$1, 834 - 1, 65 - 1) = "0" ), 2, IF( AND( OFFSET($A$1, 834 - 1, 64 - 1) = "0", OFFSET($A$1, 834 - 1, 65 - 1) = "1" ), 3, 4 ) ) )</f>
        <v>4</v>
      </c>
    </row>
    <row r="835" spans="58:66" x14ac:dyDescent="0.2">
      <c r="BF835" s="3">
        <v>0.90579710144927539</v>
      </c>
      <c r="BG835" s="3" t="str">
        <f>"1"</f>
        <v>1</v>
      </c>
      <c r="BH835" t="str">
        <f ca="1">IF((OFFSET($A$1, 835 - 1, 58 - 1)) &gt;= (OFFSET($A$1, 96 - 1, 7 - 1)), "1","0")</f>
        <v>1</v>
      </c>
      <c r="BI835">
        <f ca="1" xml:space="preserve"> IF( AND( OFFSET($A$1, 835 - 1, 59 - 1) = "1", OFFSET($A$1, 835 - 1, 60 - 1) = "1" ), 1, IF( AND( OFFSET($A$1, 835 - 1, 59 - 1) = "1", OFFSET($A$1, 835 - 1, 60 - 1) = "0" ), 2, IF( AND( OFFSET($A$1, 835 - 1, 59 - 1) = "0", OFFSET($A$1, 835 - 1, 60 - 1) = "1" ), 3, 4 ) ) )</f>
        <v>1</v>
      </c>
      <c r="BK835" s="3">
        <v>0.36</v>
      </c>
      <c r="BL835" s="3" t="str">
        <f>"1"</f>
        <v>1</v>
      </c>
      <c r="BM835" t="str">
        <f ca="1">IF((OFFSET($A$1, 835 - 1, 63 - 1)) &gt;= (OFFSET($A$1, 135 - 1, 7 - 1)), "1","0")</f>
        <v>0</v>
      </c>
      <c r="BN835">
        <f ca="1" xml:space="preserve"> IF( AND( OFFSET($A$1, 835 - 1, 64 - 1) = "1", OFFSET($A$1, 835 - 1, 65 - 1) = "1" ), 1, IF( AND( OFFSET($A$1, 835 - 1, 64 - 1) = "1", OFFSET($A$1, 835 - 1, 65 - 1) = "0" ), 2, IF( AND( OFFSET($A$1, 835 - 1, 64 - 1) = "0", OFFSET($A$1, 835 - 1, 65 - 1) = "1" ), 3, 4 ) ) )</f>
        <v>2</v>
      </c>
    </row>
    <row r="836" spans="58:66" x14ac:dyDescent="0.2">
      <c r="BF836" s="3">
        <v>0.08</v>
      </c>
      <c r="BG836" s="3" t="str">
        <f>"0"</f>
        <v>0</v>
      </c>
      <c r="BH836" t="str">
        <f ca="1">IF((OFFSET($A$1, 836 - 1, 58 - 1)) &gt;= (OFFSET($A$1, 96 - 1, 7 - 1)), "1","0")</f>
        <v>0</v>
      </c>
      <c r="BI836">
        <f ca="1" xml:space="preserve"> IF( AND( OFFSET($A$1, 836 - 1, 59 - 1) = "1", OFFSET($A$1, 836 - 1, 60 - 1) = "1" ), 1, IF( AND( OFFSET($A$1, 836 - 1, 59 - 1) = "1", OFFSET($A$1, 836 - 1, 60 - 1) = "0" ), 2, IF( AND( OFFSET($A$1, 836 - 1, 59 - 1) = "0", OFFSET($A$1, 836 - 1, 60 - 1) = "1" ), 3, 4 ) ) )</f>
        <v>4</v>
      </c>
      <c r="BK836" s="3">
        <v>6.6350710900473939E-2</v>
      </c>
      <c r="BL836" s="3" t="str">
        <f t="shared" ref="BL836:BL844" si="94">"0"</f>
        <v>0</v>
      </c>
      <c r="BM836" t="str">
        <f ca="1">IF((OFFSET($A$1, 836 - 1, 63 - 1)) &gt;= (OFFSET($A$1, 135 - 1, 7 - 1)), "1","0")</f>
        <v>0</v>
      </c>
      <c r="BN836">
        <f ca="1" xml:space="preserve"> IF( AND( OFFSET($A$1, 836 - 1, 64 - 1) = "1", OFFSET($A$1, 836 - 1, 65 - 1) = "1" ), 1, IF( AND( OFFSET($A$1, 836 - 1, 64 - 1) = "1", OFFSET($A$1, 836 - 1, 65 - 1) = "0" ), 2, IF( AND( OFFSET($A$1, 836 - 1, 64 - 1) = "0", OFFSET($A$1, 836 - 1, 65 - 1) = "1" ), 3, 4 ) ) )</f>
        <v>4</v>
      </c>
    </row>
    <row r="837" spans="58:66" x14ac:dyDescent="0.2">
      <c r="BF837" s="3">
        <v>0</v>
      </c>
      <c r="BG837" s="3" t="str">
        <f>"0"</f>
        <v>0</v>
      </c>
      <c r="BH837" t="str">
        <f ca="1">IF((OFFSET($A$1, 837 - 1, 58 - 1)) &gt;= (OFFSET($A$1, 96 - 1, 7 - 1)), "1","0")</f>
        <v>0</v>
      </c>
      <c r="BI837">
        <f ca="1" xml:space="preserve"> IF( AND( OFFSET($A$1, 837 - 1, 59 - 1) = "1", OFFSET($A$1, 837 - 1, 60 - 1) = "1" ), 1, IF( AND( OFFSET($A$1, 837 - 1, 59 - 1) = "1", OFFSET($A$1, 837 - 1, 60 - 1) = "0" ), 2, IF( AND( OFFSET($A$1, 837 - 1, 59 - 1) = "0", OFFSET($A$1, 837 - 1, 60 - 1) = "1" ), 3, 4 ) ) )</f>
        <v>4</v>
      </c>
      <c r="BK837" s="3">
        <v>6.6350710900473939E-2</v>
      </c>
      <c r="BL837" s="3" t="str">
        <f t="shared" si="94"/>
        <v>0</v>
      </c>
      <c r="BM837" t="str">
        <f ca="1">IF((OFFSET($A$1, 837 - 1, 63 - 1)) &gt;= (OFFSET($A$1, 135 - 1, 7 - 1)), "1","0")</f>
        <v>0</v>
      </c>
      <c r="BN837">
        <f ca="1" xml:space="preserve"> IF( AND( OFFSET($A$1, 837 - 1, 64 - 1) = "1", OFFSET($A$1, 837 - 1, 65 - 1) = "1" ), 1, IF( AND( OFFSET($A$1, 837 - 1, 64 - 1) = "1", OFFSET($A$1, 837 - 1, 65 - 1) = "0" ), 2, IF( AND( OFFSET($A$1, 837 - 1, 64 - 1) = "0", OFFSET($A$1, 837 - 1, 65 - 1) = "1" ), 3, 4 ) ) )</f>
        <v>4</v>
      </c>
    </row>
    <row r="838" spans="58:66" x14ac:dyDescent="0.2">
      <c r="BF838" s="3">
        <v>0.36</v>
      </c>
      <c r="BG838" s="3" t="str">
        <f>"1"</f>
        <v>1</v>
      </c>
      <c r="BH838" t="str">
        <f ca="1">IF((OFFSET($A$1, 838 - 1, 58 - 1)) &gt;= (OFFSET($A$1, 96 - 1, 7 - 1)), "1","0")</f>
        <v>0</v>
      </c>
      <c r="BI838">
        <f ca="1" xml:space="preserve"> IF( AND( OFFSET($A$1, 838 - 1, 59 - 1) = "1", OFFSET($A$1, 838 - 1, 60 - 1) = "1" ), 1, IF( AND( OFFSET($A$1, 838 - 1, 59 - 1) = "1", OFFSET($A$1, 838 - 1, 60 - 1) = "0" ), 2, IF( AND( OFFSET($A$1, 838 - 1, 59 - 1) = "0", OFFSET($A$1, 838 - 1, 60 - 1) = "1" ), 3, 4 ) ) )</f>
        <v>2</v>
      </c>
      <c r="BK838" s="3">
        <v>6.6350710900473939E-2</v>
      </c>
      <c r="BL838" s="3" t="str">
        <f t="shared" si="94"/>
        <v>0</v>
      </c>
      <c r="BM838" t="str">
        <f ca="1">IF((OFFSET($A$1, 838 - 1, 63 - 1)) &gt;= (OFFSET($A$1, 135 - 1, 7 - 1)), "1","0")</f>
        <v>0</v>
      </c>
      <c r="BN838">
        <f ca="1" xml:space="preserve"> IF( AND( OFFSET($A$1, 838 - 1, 64 - 1) = "1", OFFSET($A$1, 838 - 1, 65 - 1) = "1" ), 1, IF( AND( OFFSET($A$1, 838 - 1, 64 - 1) = "1", OFFSET($A$1, 838 - 1, 65 - 1) = "0" ), 2, IF( AND( OFFSET($A$1, 838 - 1, 64 - 1) = "0", OFFSET($A$1, 838 - 1, 65 - 1) = "1" ), 3, 4 ) ) )</f>
        <v>4</v>
      </c>
    </row>
    <row r="839" spans="58:66" x14ac:dyDescent="0.2">
      <c r="BF839" s="3">
        <v>0</v>
      </c>
      <c r="BG839" s="3" t="str">
        <f>"0"</f>
        <v>0</v>
      </c>
      <c r="BH839" t="str">
        <f ca="1">IF((OFFSET($A$1, 839 - 1, 58 - 1)) &gt;= (OFFSET($A$1, 96 - 1, 7 - 1)), "1","0")</f>
        <v>0</v>
      </c>
      <c r="BI839">
        <f ca="1" xml:space="preserve"> IF( AND( OFFSET($A$1, 839 - 1, 59 - 1) = "1", OFFSET($A$1, 839 - 1, 60 - 1) = "1" ), 1, IF( AND( OFFSET($A$1, 839 - 1, 59 - 1) = "1", OFFSET($A$1, 839 - 1, 60 - 1) = "0" ), 2, IF( AND( OFFSET($A$1, 839 - 1, 59 - 1) = "0", OFFSET($A$1, 839 - 1, 60 - 1) = "1" ), 3, 4 ) ) )</f>
        <v>4</v>
      </c>
      <c r="BK839" s="3">
        <v>0.36</v>
      </c>
      <c r="BL839" s="3" t="str">
        <f t="shared" si="94"/>
        <v>0</v>
      </c>
      <c r="BM839" t="str">
        <f ca="1">IF((OFFSET($A$1, 839 - 1, 63 - 1)) &gt;= (OFFSET($A$1, 135 - 1, 7 - 1)), "1","0")</f>
        <v>0</v>
      </c>
      <c r="BN839">
        <f ca="1" xml:space="preserve"> IF( AND( OFFSET($A$1, 839 - 1, 64 - 1) = "1", OFFSET($A$1, 839 - 1, 65 - 1) = "1" ), 1, IF( AND( OFFSET($A$1, 839 - 1, 64 - 1) = "1", OFFSET($A$1, 839 - 1, 65 - 1) = "0" ), 2, IF( AND( OFFSET($A$1, 839 - 1, 64 - 1) = "0", OFFSET($A$1, 839 - 1, 65 - 1) = "1" ), 3, 4 ) ) )</f>
        <v>4</v>
      </c>
    </row>
    <row r="840" spans="58:66" x14ac:dyDescent="0.2">
      <c r="BF840" s="3">
        <v>0</v>
      </c>
      <c r="BG840" s="3" t="str">
        <f>"0"</f>
        <v>0</v>
      </c>
      <c r="BH840" t="str">
        <f ca="1">IF((OFFSET($A$1, 840 - 1, 58 - 1)) &gt;= (OFFSET($A$1, 96 - 1, 7 - 1)), "1","0")</f>
        <v>0</v>
      </c>
      <c r="BI840">
        <f ca="1" xml:space="preserve"> IF( AND( OFFSET($A$1, 840 - 1, 59 - 1) = "1", OFFSET($A$1, 840 - 1, 60 - 1) = "1" ), 1, IF( AND( OFFSET($A$1, 840 - 1, 59 - 1) = "1", OFFSET($A$1, 840 - 1, 60 - 1) = "0" ), 2, IF( AND( OFFSET($A$1, 840 - 1, 59 - 1) = "0", OFFSET($A$1, 840 - 1, 60 - 1) = "1" ), 3, 4 ) ) )</f>
        <v>4</v>
      </c>
      <c r="BK840" s="3">
        <v>6.6350710900473939E-2</v>
      </c>
      <c r="BL840" s="3" t="str">
        <f t="shared" si="94"/>
        <v>0</v>
      </c>
      <c r="BM840" t="str">
        <f ca="1">IF((OFFSET($A$1, 840 - 1, 63 - 1)) &gt;= (OFFSET($A$1, 135 - 1, 7 - 1)), "1","0")</f>
        <v>0</v>
      </c>
      <c r="BN840">
        <f ca="1" xml:space="preserve"> IF( AND( OFFSET($A$1, 840 - 1, 64 - 1) = "1", OFFSET($A$1, 840 - 1, 65 - 1) = "1" ), 1, IF( AND( OFFSET($A$1, 840 - 1, 64 - 1) = "1", OFFSET($A$1, 840 - 1, 65 - 1) = "0" ), 2, IF( AND( OFFSET($A$1, 840 - 1, 64 - 1) = "0", OFFSET($A$1, 840 - 1, 65 - 1) = "1" ), 3, 4 ) ) )</f>
        <v>4</v>
      </c>
    </row>
    <row r="841" spans="58:66" x14ac:dyDescent="0.2">
      <c r="BF841" s="3">
        <v>0</v>
      </c>
      <c r="BG841" s="3" t="str">
        <f>"0"</f>
        <v>0</v>
      </c>
      <c r="BH841" t="str">
        <f ca="1">IF((OFFSET($A$1, 841 - 1, 58 - 1)) &gt;= (OFFSET($A$1, 96 - 1, 7 - 1)), "1","0")</f>
        <v>0</v>
      </c>
      <c r="BI841">
        <f ca="1" xml:space="preserve"> IF( AND( OFFSET($A$1, 841 - 1, 59 - 1) = "1", OFFSET($A$1, 841 - 1, 60 - 1) = "1" ), 1, IF( AND( OFFSET($A$1, 841 - 1, 59 - 1) = "1", OFFSET($A$1, 841 - 1, 60 - 1) = "0" ), 2, IF( AND( OFFSET($A$1, 841 - 1, 59 - 1) = "0", OFFSET($A$1, 841 - 1, 60 - 1) = "1" ), 3, 4 ) ) )</f>
        <v>4</v>
      </c>
      <c r="BK841" s="3">
        <v>6.6350710900473939E-2</v>
      </c>
      <c r="BL841" s="3" t="str">
        <f t="shared" si="94"/>
        <v>0</v>
      </c>
      <c r="BM841" t="str">
        <f ca="1">IF((OFFSET($A$1, 841 - 1, 63 - 1)) &gt;= (OFFSET($A$1, 135 - 1, 7 - 1)), "1","0")</f>
        <v>0</v>
      </c>
      <c r="BN841">
        <f ca="1" xml:space="preserve"> IF( AND( OFFSET($A$1, 841 - 1, 64 - 1) = "1", OFFSET($A$1, 841 - 1, 65 - 1) = "1" ), 1, IF( AND( OFFSET($A$1, 841 - 1, 64 - 1) = "1", OFFSET($A$1, 841 - 1, 65 - 1) = "0" ), 2, IF( AND( OFFSET($A$1, 841 - 1, 64 - 1) = "0", OFFSET($A$1, 841 - 1, 65 - 1) = "1" ), 3, 4 ) ) )</f>
        <v>4</v>
      </c>
    </row>
    <row r="842" spans="58:66" x14ac:dyDescent="0.2">
      <c r="BF842" s="3">
        <v>0</v>
      </c>
      <c r="BG842" s="3" t="str">
        <f>"0"</f>
        <v>0</v>
      </c>
      <c r="BH842" t="str">
        <f ca="1">IF((OFFSET($A$1, 842 - 1, 58 - 1)) &gt;= (OFFSET($A$1, 96 - 1, 7 - 1)), "1","0")</f>
        <v>0</v>
      </c>
      <c r="BI842">
        <f ca="1" xml:space="preserve"> IF( AND( OFFSET($A$1, 842 - 1, 59 - 1) = "1", OFFSET($A$1, 842 - 1, 60 - 1) = "1" ), 1, IF( AND( OFFSET($A$1, 842 - 1, 59 - 1) = "1", OFFSET($A$1, 842 - 1, 60 - 1) = "0" ), 2, IF( AND( OFFSET($A$1, 842 - 1, 59 - 1) = "0", OFFSET($A$1, 842 - 1, 60 - 1) = "1" ), 3, 4 ) ) )</f>
        <v>4</v>
      </c>
      <c r="BK842" s="3">
        <v>6.6350710900473939E-2</v>
      </c>
      <c r="BL842" s="3" t="str">
        <f t="shared" si="94"/>
        <v>0</v>
      </c>
      <c r="BM842" t="str">
        <f ca="1">IF((OFFSET($A$1, 842 - 1, 63 - 1)) &gt;= (OFFSET($A$1, 135 - 1, 7 - 1)), "1","0")</f>
        <v>0</v>
      </c>
      <c r="BN842">
        <f ca="1" xml:space="preserve"> IF( AND( OFFSET($A$1, 842 - 1, 64 - 1) = "1", OFFSET($A$1, 842 - 1, 65 - 1) = "1" ), 1, IF( AND( OFFSET($A$1, 842 - 1, 64 - 1) = "1", OFFSET($A$1, 842 - 1, 65 - 1) = "0" ), 2, IF( AND( OFFSET($A$1, 842 - 1, 64 - 1) = "0", OFFSET($A$1, 842 - 1, 65 - 1) = "1" ), 3, 4 ) ) )</f>
        <v>4</v>
      </c>
    </row>
    <row r="843" spans="58:66" x14ac:dyDescent="0.2">
      <c r="BF843" s="3">
        <v>0.47692307692307689</v>
      </c>
      <c r="BG843" s="3" t="str">
        <f>"1"</f>
        <v>1</v>
      </c>
      <c r="BH843" t="str">
        <f ca="1">IF((OFFSET($A$1, 843 - 1, 58 - 1)) &gt;= (OFFSET($A$1, 96 - 1, 7 - 1)), "1","0")</f>
        <v>0</v>
      </c>
      <c r="BI843">
        <f ca="1" xml:space="preserve"> IF( AND( OFFSET($A$1, 843 - 1, 59 - 1) = "1", OFFSET($A$1, 843 - 1, 60 - 1) = "1" ), 1, IF( AND( OFFSET($A$1, 843 - 1, 59 - 1) = "1", OFFSET($A$1, 843 - 1, 60 - 1) = "0" ), 2, IF( AND( OFFSET($A$1, 843 - 1, 59 - 1) = "0", OFFSET($A$1, 843 - 1, 60 - 1) = "1" ), 3, 4 ) ) )</f>
        <v>2</v>
      </c>
      <c r="BK843" s="3">
        <v>6.6350710900473939E-2</v>
      </c>
      <c r="BL843" s="3" t="str">
        <f t="shared" si="94"/>
        <v>0</v>
      </c>
      <c r="BM843" t="str">
        <f ca="1">IF((OFFSET($A$1, 843 - 1, 63 - 1)) &gt;= (OFFSET($A$1, 135 - 1, 7 - 1)), "1","0")</f>
        <v>0</v>
      </c>
      <c r="BN843">
        <f ca="1" xml:space="preserve"> IF( AND( OFFSET($A$1, 843 - 1, 64 - 1) = "1", OFFSET($A$1, 843 - 1, 65 - 1) = "1" ), 1, IF( AND( OFFSET($A$1, 843 - 1, 64 - 1) = "1", OFFSET($A$1, 843 - 1, 65 - 1) = "0" ), 2, IF( AND( OFFSET($A$1, 843 - 1, 64 - 1) = "0", OFFSET($A$1, 843 - 1, 65 - 1) = "1" ), 3, 4 ) ) )</f>
        <v>4</v>
      </c>
    </row>
    <row r="844" spans="58:66" x14ac:dyDescent="0.2">
      <c r="BF844" s="3">
        <v>0</v>
      </c>
      <c r="BG844" s="3" t="str">
        <f>"0"</f>
        <v>0</v>
      </c>
      <c r="BH844" t="str">
        <f ca="1">IF((OFFSET($A$1, 844 - 1, 58 - 1)) &gt;= (OFFSET($A$1, 96 - 1, 7 - 1)), "1","0")</f>
        <v>0</v>
      </c>
      <c r="BI844">
        <f ca="1" xml:space="preserve"> IF( AND( OFFSET($A$1, 844 - 1, 59 - 1) = "1", OFFSET($A$1, 844 - 1, 60 - 1) = "1" ), 1, IF( AND( OFFSET($A$1, 844 - 1, 59 - 1) = "1", OFFSET($A$1, 844 - 1, 60 - 1) = "0" ), 2, IF( AND( OFFSET($A$1, 844 - 1, 59 - 1) = "0", OFFSET($A$1, 844 - 1, 60 - 1) = "1" ), 3, 4 ) ) )</f>
        <v>4</v>
      </c>
      <c r="BK844" s="3">
        <v>6.6350710900473939E-2</v>
      </c>
      <c r="BL844" s="3" t="str">
        <f t="shared" si="94"/>
        <v>0</v>
      </c>
      <c r="BM844" t="str">
        <f ca="1">IF((OFFSET($A$1, 844 - 1, 63 - 1)) &gt;= (OFFSET($A$1, 135 - 1, 7 - 1)), "1","0")</f>
        <v>0</v>
      </c>
      <c r="BN844">
        <f ca="1" xml:space="preserve"> IF( AND( OFFSET($A$1, 844 - 1, 64 - 1) = "1", OFFSET($A$1, 844 - 1, 65 - 1) = "1" ), 1, IF( AND( OFFSET($A$1, 844 - 1, 64 - 1) = "1", OFFSET($A$1, 844 - 1, 65 - 1) = "0" ), 2, IF( AND( OFFSET($A$1, 844 - 1, 64 - 1) = "0", OFFSET($A$1, 844 - 1, 65 - 1) = "1" ), 3, 4 ) ) )</f>
        <v>4</v>
      </c>
    </row>
    <row r="845" spans="58:66" x14ac:dyDescent="0.2">
      <c r="BF845" s="3">
        <v>0</v>
      </c>
      <c r="BG845" s="3" t="str">
        <f>"0"</f>
        <v>0</v>
      </c>
      <c r="BH845" t="str">
        <f ca="1">IF((OFFSET($A$1, 845 - 1, 58 - 1)) &gt;= (OFFSET($A$1, 96 - 1, 7 - 1)), "1","0")</f>
        <v>0</v>
      </c>
      <c r="BI845">
        <f ca="1" xml:space="preserve"> IF( AND( OFFSET($A$1, 845 - 1, 59 - 1) = "1", OFFSET($A$1, 845 - 1, 60 - 1) = "1" ), 1, IF( AND( OFFSET($A$1, 845 - 1, 59 - 1) = "1", OFFSET($A$1, 845 - 1, 60 - 1) = "0" ), 2, IF( AND( OFFSET($A$1, 845 - 1, 59 - 1) = "0", OFFSET($A$1, 845 - 1, 60 - 1) = "1" ), 3, 4 ) ) )</f>
        <v>4</v>
      </c>
      <c r="BK845" s="3">
        <v>6.6350710900473939E-2</v>
      </c>
      <c r="BL845" s="3" t="str">
        <f>"1"</f>
        <v>1</v>
      </c>
      <c r="BM845" t="str">
        <f ca="1">IF((OFFSET($A$1, 845 - 1, 63 - 1)) &gt;= (OFFSET($A$1, 135 - 1, 7 - 1)), "1","0")</f>
        <v>0</v>
      </c>
      <c r="BN845">
        <f ca="1" xml:space="preserve"> IF( AND( OFFSET($A$1, 845 - 1, 64 - 1) = "1", OFFSET($A$1, 845 - 1, 65 - 1) = "1" ), 1, IF( AND( OFFSET($A$1, 845 - 1, 64 - 1) = "1", OFFSET($A$1, 845 - 1, 65 - 1) = "0" ), 2, IF( AND( OFFSET($A$1, 845 - 1, 64 - 1) = "0", OFFSET($A$1, 845 - 1, 65 - 1) = "1" ), 3, 4 ) ) )</f>
        <v>2</v>
      </c>
    </row>
    <row r="846" spans="58:66" x14ac:dyDescent="0.2">
      <c r="BF846" s="3">
        <v>0</v>
      </c>
      <c r="BG846" s="3" t="str">
        <f>"0"</f>
        <v>0</v>
      </c>
      <c r="BH846" t="str">
        <f ca="1">IF((OFFSET($A$1, 846 - 1, 58 - 1)) &gt;= (OFFSET($A$1, 96 - 1, 7 - 1)), "1","0")</f>
        <v>0</v>
      </c>
      <c r="BI846">
        <f ca="1" xml:space="preserve"> IF( AND( OFFSET($A$1, 846 - 1, 59 - 1) = "1", OFFSET($A$1, 846 - 1, 60 - 1) = "1" ), 1, IF( AND( OFFSET($A$1, 846 - 1, 59 - 1) = "1", OFFSET($A$1, 846 - 1, 60 - 1) = "0" ), 2, IF( AND( OFFSET($A$1, 846 - 1, 59 - 1) = "0", OFFSET($A$1, 846 - 1, 60 - 1) = "1" ), 3, 4 ) ) )</f>
        <v>4</v>
      </c>
      <c r="BK846" s="3">
        <v>6.6350710900473939E-2</v>
      </c>
      <c r="BL846" s="3" t="str">
        <f t="shared" ref="BL846:BL853" si="95">"0"</f>
        <v>0</v>
      </c>
      <c r="BM846" t="str">
        <f ca="1">IF((OFFSET($A$1, 846 - 1, 63 - 1)) &gt;= (OFFSET($A$1, 135 - 1, 7 - 1)), "1","0")</f>
        <v>0</v>
      </c>
      <c r="BN846">
        <f ca="1" xml:space="preserve"> IF( AND( OFFSET($A$1, 846 - 1, 64 - 1) = "1", OFFSET($A$1, 846 - 1, 65 - 1) = "1" ), 1, IF( AND( OFFSET($A$1, 846 - 1, 64 - 1) = "1", OFFSET($A$1, 846 - 1, 65 - 1) = "0" ), 2, IF( AND( OFFSET($A$1, 846 - 1, 64 - 1) = "0", OFFSET($A$1, 846 - 1, 65 - 1) = "1" ), 3, 4 ) ) )</f>
        <v>4</v>
      </c>
    </row>
    <row r="847" spans="58:66" x14ac:dyDescent="0.2">
      <c r="BF847" s="3">
        <v>0.90579710144927539</v>
      </c>
      <c r="BG847" s="3" t="str">
        <f>"1"</f>
        <v>1</v>
      </c>
      <c r="BH847" t="str">
        <f ca="1">IF((OFFSET($A$1, 847 - 1, 58 - 1)) &gt;= (OFFSET($A$1, 96 - 1, 7 - 1)), "1","0")</f>
        <v>1</v>
      </c>
      <c r="BI847">
        <f ca="1" xml:space="preserve"> IF( AND( OFFSET($A$1, 847 - 1, 59 - 1) = "1", OFFSET($A$1, 847 - 1, 60 - 1) = "1" ), 1, IF( AND( OFFSET($A$1, 847 - 1, 59 - 1) = "1", OFFSET($A$1, 847 - 1, 60 - 1) = "0" ), 2, IF( AND( OFFSET($A$1, 847 - 1, 59 - 1) = "0", OFFSET($A$1, 847 - 1, 60 - 1) = "1" ), 3, 4 ) ) )</f>
        <v>1</v>
      </c>
      <c r="BK847" s="3">
        <v>6.6350710900473939E-2</v>
      </c>
      <c r="BL847" s="3" t="str">
        <f t="shared" si="95"/>
        <v>0</v>
      </c>
      <c r="BM847" t="str">
        <f ca="1">IF((OFFSET($A$1, 847 - 1, 63 - 1)) &gt;= (OFFSET($A$1, 135 - 1, 7 - 1)), "1","0")</f>
        <v>0</v>
      </c>
      <c r="BN847">
        <f ca="1" xml:space="preserve"> IF( AND( OFFSET($A$1, 847 - 1, 64 - 1) = "1", OFFSET($A$1, 847 - 1, 65 - 1) = "1" ), 1, IF( AND( OFFSET($A$1, 847 - 1, 64 - 1) = "1", OFFSET($A$1, 847 - 1, 65 - 1) = "0" ), 2, IF( AND( OFFSET($A$1, 847 - 1, 64 - 1) = "0", OFFSET($A$1, 847 - 1, 65 - 1) = "1" ), 3, 4 ) ) )</f>
        <v>4</v>
      </c>
    </row>
    <row r="848" spans="58:66" x14ac:dyDescent="0.2">
      <c r="BF848" s="3">
        <v>0</v>
      </c>
      <c r="BG848" s="3" t="str">
        <f>"0"</f>
        <v>0</v>
      </c>
      <c r="BH848" t="str">
        <f ca="1">IF((OFFSET($A$1, 848 - 1, 58 - 1)) &gt;= (OFFSET($A$1, 96 - 1, 7 - 1)), "1","0")</f>
        <v>0</v>
      </c>
      <c r="BI848">
        <f ca="1" xml:space="preserve"> IF( AND( OFFSET($A$1, 848 - 1, 59 - 1) = "1", OFFSET($A$1, 848 - 1, 60 - 1) = "1" ), 1, IF( AND( OFFSET($A$1, 848 - 1, 59 - 1) = "1", OFFSET($A$1, 848 - 1, 60 - 1) = "0" ), 2, IF( AND( OFFSET($A$1, 848 - 1, 59 - 1) = "0", OFFSET($A$1, 848 - 1, 60 - 1) = "1" ), 3, 4 ) ) )</f>
        <v>4</v>
      </c>
      <c r="BK848" s="3">
        <v>6.6350710900473939E-2</v>
      </c>
      <c r="BL848" s="3" t="str">
        <f t="shared" si="95"/>
        <v>0</v>
      </c>
      <c r="BM848" t="str">
        <f ca="1">IF((OFFSET($A$1, 848 - 1, 63 - 1)) &gt;= (OFFSET($A$1, 135 - 1, 7 - 1)), "1","0")</f>
        <v>0</v>
      </c>
      <c r="BN848">
        <f ca="1" xml:space="preserve"> IF( AND( OFFSET($A$1, 848 - 1, 64 - 1) = "1", OFFSET($A$1, 848 - 1, 65 - 1) = "1" ), 1, IF( AND( OFFSET($A$1, 848 - 1, 64 - 1) = "1", OFFSET($A$1, 848 - 1, 65 - 1) = "0" ), 2, IF( AND( OFFSET($A$1, 848 - 1, 64 - 1) = "0", OFFSET($A$1, 848 - 1, 65 - 1) = "1" ), 3, 4 ) ) )</f>
        <v>4</v>
      </c>
    </row>
    <row r="849" spans="58:66" x14ac:dyDescent="0.2">
      <c r="BF849" s="3">
        <v>0</v>
      </c>
      <c r="BG849" s="3" t="str">
        <f>"0"</f>
        <v>0</v>
      </c>
      <c r="BH849" t="str">
        <f ca="1">IF((OFFSET($A$1, 849 - 1, 58 - 1)) &gt;= (OFFSET($A$1, 96 - 1, 7 - 1)), "1","0")</f>
        <v>0</v>
      </c>
      <c r="BI849">
        <f ca="1" xml:space="preserve"> IF( AND( OFFSET($A$1, 849 - 1, 59 - 1) = "1", OFFSET($A$1, 849 - 1, 60 - 1) = "1" ), 1, IF( AND( OFFSET($A$1, 849 - 1, 59 - 1) = "1", OFFSET($A$1, 849 - 1, 60 - 1) = "0" ), 2, IF( AND( OFFSET($A$1, 849 - 1, 59 - 1) = "0", OFFSET($A$1, 849 - 1, 60 - 1) = "1" ), 3, 4 ) ) )</f>
        <v>4</v>
      </c>
      <c r="BK849" s="3">
        <v>6.6350710900473939E-2</v>
      </c>
      <c r="BL849" s="3" t="str">
        <f t="shared" si="95"/>
        <v>0</v>
      </c>
      <c r="BM849" t="str">
        <f ca="1">IF((OFFSET($A$1, 849 - 1, 63 - 1)) &gt;= (OFFSET($A$1, 135 - 1, 7 - 1)), "1","0")</f>
        <v>0</v>
      </c>
      <c r="BN849">
        <f ca="1" xml:space="preserve"> IF( AND( OFFSET($A$1, 849 - 1, 64 - 1) = "1", OFFSET($A$1, 849 - 1, 65 - 1) = "1" ), 1, IF( AND( OFFSET($A$1, 849 - 1, 64 - 1) = "1", OFFSET($A$1, 849 - 1, 65 - 1) = "0" ), 2, IF( AND( OFFSET($A$1, 849 - 1, 64 - 1) = "0", OFFSET($A$1, 849 - 1, 65 - 1) = "1" ), 3, 4 ) ) )</f>
        <v>4</v>
      </c>
    </row>
    <row r="850" spans="58:66" x14ac:dyDescent="0.2">
      <c r="BF850" s="3">
        <v>0.08</v>
      </c>
      <c r="BG850" s="3" t="str">
        <f>"0"</f>
        <v>0</v>
      </c>
      <c r="BH850" t="str">
        <f ca="1">IF((OFFSET($A$1, 850 - 1, 58 - 1)) &gt;= (OFFSET($A$1, 96 - 1, 7 - 1)), "1","0")</f>
        <v>0</v>
      </c>
      <c r="BI850">
        <f ca="1" xml:space="preserve"> IF( AND( OFFSET($A$1, 850 - 1, 59 - 1) = "1", OFFSET($A$1, 850 - 1, 60 - 1) = "1" ), 1, IF( AND( OFFSET($A$1, 850 - 1, 59 - 1) = "1", OFFSET($A$1, 850 - 1, 60 - 1) = "0" ), 2, IF( AND( OFFSET($A$1, 850 - 1, 59 - 1) = "0", OFFSET($A$1, 850 - 1, 60 - 1) = "1" ), 3, 4 ) ) )</f>
        <v>4</v>
      </c>
      <c r="BK850" s="3">
        <v>6.6350710900473939E-2</v>
      </c>
      <c r="BL850" s="3" t="str">
        <f t="shared" si="95"/>
        <v>0</v>
      </c>
      <c r="BM850" t="str">
        <f ca="1">IF((OFFSET($A$1, 850 - 1, 63 - 1)) &gt;= (OFFSET($A$1, 135 - 1, 7 - 1)), "1","0")</f>
        <v>0</v>
      </c>
      <c r="BN850">
        <f ca="1" xml:space="preserve"> IF( AND( OFFSET($A$1, 850 - 1, 64 - 1) = "1", OFFSET($A$1, 850 - 1, 65 - 1) = "1" ), 1, IF( AND( OFFSET($A$1, 850 - 1, 64 - 1) = "1", OFFSET($A$1, 850 - 1, 65 - 1) = "0" ), 2, IF( AND( OFFSET($A$1, 850 - 1, 64 - 1) = "0", OFFSET($A$1, 850 - 1, 65 - 1) = "1" ), 3, 4 ) ) )</f>
        <v>4</v>
      </c>
    </row>
    <row r="851" spans="58:66" x14ac:dyDescent="0.2">
      <c r="BF851" s="3">
        <v>0</v>
      </c>
      <c r="BG851" s="3" t="str">
        <f>"0"</f>
        <v>0</v>
      </c>
      <c r="BH851" t="str">
        <f ca="1">IF((OFFSET($A$1, 851 - 1, 58 - 1)) &gt;= (OFFSET($A$1, 96 - 1, 7 - 1)), "1","0")</f>
        <v>0</v>
      </c>
      <c r="BI851">
        <f ca="1" xml:space="preserve"> IF( AND( OFFSET($A$1, 851 - 1, 59 - 1) = "1", OFFSET($A$1, 851 - 1, 60 - 1) = "1" ), 1, IF( AND( OFFSET($A$1, 851 - 1, 59 - 1) = "1", OFFSET($A$1, 851 - 1, 60 - 1) = "0" ), 2, IF( AND( OFFSET($A$1, 851 - 1, 59 - 1) = "0", OFFSET($A$1, 851 - 1, 60 - 1) = "1" ), 3, 4 ) ) )</f>
        <v>4</v>
      </c>
      <c r="BK851" s="3">
        <v>2.5316455696202531E-2</v>
      </c>
      <c r="BL851" s="3" t="str">
        <f t="shared" si="95"/>
        <v>0</v>
      </c>
      <c r="BM851" t="str">
        <f ca="1">IF((OFFSET($A$1, 851 - 1, 63 - 1)) &gt;= (OFFSET($A$1, 135 - 1, 7 - 1)), "1","0")</f>
        <v>0</v>
      </c>
      <c r="BN851">
        <f ca="1" xml:space="preserve"> IF( AND( OFFSET($A$1, 851 - 1, 64 - 1) = "1", OFFSET($A$1, 851 - 1, 65 - 1) = "1" ), 1, IF( AND( OFFSET($A$1, 851 - 1, 64 - 1) = "1", OFFSET($A$1, 851 - 1, 65 - 1) = "0" ), 2, IF( AND( OFFSET($A$1, 851 - 1, 64 - 1) = "0", OFFSET($A$1, 851 - 1, 65 - 1) = "1" ), 3, 4 ) ) )</f>
        <v>4</v>
      </c>
    </row>
    <row r="852" spans="58:66" x14ac:dyDescent="0.2">
      <c r="BF852" s="3">
        <v>0</v>
      </c>
      <c r="BG852" s="3" t="str">
        <f>"0"</f>
        <v>0</v>
      </c>
      <c r="BH852" t="str">
        <f ca="1">IF((OFFSET($A$1, 852 - 1, 58 - 1)) &gt;= (OFFSET($A$1, 96 - 1, 7 - 1)), "1","0")</f>
        <v>0</v>
      </c>
      <c r="BI852">
        <f ca="1" xml:space="preserve"> IF( AND( OFFSET($A$1, 852 - 1, 59 - 1) = "1", OFFSET($A$1, 852 - 1, 60 - 1) = "1" ), 1, IF( AND( OFFSET($A$1, 852 - 1, 59 - 1) = "1", OFFSET($A$1, 852 - 1, 60 - 1) = "0" ), 2, IF( AND( OFFSET($A$1, 852 - 1, 59 - 1) = "0", OFFSET($A$1, 852 - 1, 60 - 1) = "1" ), 3, 4 ) ) )</f>
        <v>4</v>
      </c>
      <c r="BK852" s="3">
        <v>6.6350710900473939E-2</v>
      </c>
      <c r="BL852" s="3" t="str">
        <f t="shared" si="95"/>
        <v>0</v>
      </c>
      <c r="BM852" t="str">
        <f ca="1">IF((OFFSET($A$1, 852 - 1, 63 - 1)) &gt;= (OFFSET($A$1, 135 - 1, 7 - 1)), "1","0")</f>
        <v>0</v>
      </c>
      <c r="BN852">
        <f ca="1" xml:space="preserve"> IF( AND( OFFSET($A$1, 852 - 1, 64 - 1) = "1", OFFSET($A$1, 852 - 1, 65 - 1) = "1" ), 1, IF( AND( OFFSET($A$1, 852 - 1, 64 - 1) = "1", OFFSET($A$1, 852 - 1, 65 - 1) = "0" ), 2, IF( AND( OFFSET($A$1, 852 - 1, 64 - 1) = "0", OFFSET($A$1, 852 - 1, 65 - 1) = "1" ), 3, 4 ) ) )</f>
        <v>4</v>
      </c>
    </row>
    <row r="853" spans="58:66" x14ac:dyDescent="0.2">
      <c r="BF853" s="3">
        <v>0.47692307692307689</v>
      </c>
      <c r="BG853" s="3" t="str">
        <f>"1"</f>
        <v>1</v>
      </c>
      <c r="BH853" t="str">
        <f ca="1">IF((OFFSET($A$1, 853 - 1, 58 - 1)) &gt;= (OFFSET($A$1, 96 - 1, 7 - 1)), "1","0")</f>
        <v>0</v>
      </c>
      <c r="BI853">
        <f ca="1" xml:space="preserve"> IF( AND( OFFSET($A$1, 853 - 1, 59 - 1) = "1", OFFSET($A$1, 853 - 1, 60 - 1) = "1" ), 1, IF( AND( OFFSET($A$1, 853 - 1, 59 - 1) = "1", OFFSET($A$1, 853 - 1, 60 - 1) = "0" ), 2, IF( AND( OFFSET($A$1, 853 - 1, 59 - 1) = "0", OFFSET($A$1, 853 - 1, 60 - 1) = "1" ), 3, 4 ) ) )</f>
        <v>2</v>
      </c>
      <c r="BK853" s="3">
        <v>6.6350710900473939E-2</v>
      </c>
      <c r="BL853" s="3" t="str">
        <f t="shared" si="95"/>
        <v>0</v>
      </c>
      <c r="BM853" t="str">
        <f ca="1">IF((OFFSET($A$1, 853 - 1, 63 - 1)) &gt;= (OFFSET($A$1, 135 - 1, 7 - 1)), "1","0")</f>
        <v>0</v>
      </c>
      <c r="BN853">
        <f ca="1" xml:space="preserve"> IF( AND( OFFSET($A$1, 853 - 1, 64 - 1) = "1", OFFSET($A$1, 853 - 1, 65 - 1) = "1" ), 1, IF( AND( OFFSET($A$1, 853 - 1, 64 - 1) = "1", OFFSET($A$1, 853 - 1, 65 - 1) = "0" ), 2, IF( AND( OFFSET($A$1, 853 - 1, 64 - 1) = "0", OFFSET($A$1, 853 - 1, 65 - 1) = "1" ), 3, 4 ) ) )</f>
        <v>4</v>
      </c>
    </row>
    <row r="854" spans="58:66" x14ac:dyDescent="0.2">
      <c r="BF854" s="3">
        <v>0</v>
      </c>
      <c r="BG854" s="3" t="str">
        <f t="shared" ref="BG854:BG860" si="96">"0"</f>
        <v>0</v>
      </c>
      <c r="BH854" t="str">
        <f ca="1">IF((OFFSET($A$1, 854 - 1, 58 - 1)) &gt;= (OFFSET($A$1, 96 - 1, 7 - 1)), "1","0")</f>
        <v>0</v>
      </c>
      <c r="BI854">
        <f ca="1" xml:space="preserve"> IF( AND( OFFSET($A$1, 854 - 1, 59 - 1) = "1", OFFSET($A$1, 854 - 1, 60 - 1) = "1" ), 1, IF( AND( OFFSET($A$1, 854 - 1, 59 - 1) = "1", OFFSET($A$1, 854 - 1, 60 - 1) = "0" ), 2, IF( AND( OFFSET($A$1, 854 - 1, 59 - 1) = "0", OFFSET($A$1, 854 - 1, 60 - 1) = "1" ), 3, 4 ) ) )</f>
        <v>4</v>
      </c>
      <c r="BK854" s="3">
        <v>0.38775510204081637</v>
      </c>
      <c r="BL854" s="3" t="str">
        <f>"1"</f>
        <v>1</v>
      </c>
      <c r="BM854" t="str">
        <f ca="1">IF((OFFSET($A$1, 854 - 1, 63 - 1)) &gt;= (OFFSET($A$1, 135 - 1, 7 - 1)), "1","0")</f>
        <v>0</v>
      </c>
      <c r="BN854">
        <f ca="1" xml:space="preserve"> IF( AND( OFFSET($A$1, 854 - 1, 64 - 1) = "1", OFFSET($A$1, 854 - 1, 65 - 1) = "1" ), 1, IF( AND( OFFSET($A$1, 854 - 1, 64 - 1) = "1", OFFSET($A$1, 854 - 1, 65 - 1) = "0" ), 2, IF( AND( OFFSET($A$1, 854 - 1, 64 - 1) = "0", OFFSET($A$1, 854 - 1, 65 - 1) = "1" ), 3, 4 ) ) )</f>
        <v>2</v>
      </c>
    </row>
    <row r="855" spans="58:66" x14ac:dyDescent="0.2">
      <c r="BF855" s="3">
        <v>0</v>
      </c>
      <c r="BG855" s="3" t="str">
        <f t="shared" si="96"/>
        <v>0</v>
      </c>
      <c r="BH855" t="str">
        <f ca="1">IF((OFFSET($A$1, 855 - 1, 58 - 1)) &gt;= (OFFSET($A$1, 96 - 1, 7 - 1)), "1","0")</f>
        <v>0</v>
      </c>
      <c r="BI855">
        <f ca="1" xml:space="preserve"> IF( AND( OFFSET($A$1, 855 - 1, 59 - 1) = "1", OFFSET($A$1, 855 - 1, 60 - 1) = "1" ), 1, IF( AND( OFFSET($A$1, 855 - 1, 59 - 1) = "1", OFFSET($A$1, 855 - 1, 60 - 1) = "0" ), 2, IF( AND( OFFSET($A$1, 855 - 1, 59 - 1) = "0", OFFSET($A$1, 855 - 1, 60 - 1) = "1" ), 3, 4 ) ) )</f>
        <v>4</v>
      </c>
      <c r="BK855" s="3">
        <v>6.6350710900473939E-2</v>
      </c>
      <c r="BL855" s="3" t="str">
        <f t="shared" ref="BL855:BL860" si="97">"0"</f>
        <v>0</v>
      </c>
      <c r="BM855" t="str">
        <f ca="1">IF((OFFSET($A$1, 855 - 1, 63 - 1)) &gt;= (OFFSET($A$1, 135 - 1, 7 - 1)), "1","0")</f>
        <v>0</v>
      </c>
      <c r="BN855">
        <f ca="1" xml:space="preserve"> IF( AND( OFFSET($A$1, 855 - 1, 64 - 1) = "1", OFFSET($A$1, 855 - 1, 65 - 1) = "1" ), 1, IF( AND( OFFSET($A$1, 855 - 1, 64 - 1) = "1", OFFSET($A$1, 855 - 1, 65 - 1) = "0" ), 2, IF( AND( OFFSET($A$1, 855 - 1, 64 - 1) = "0", OFFSET($A$1, 855 - 1, 65 - 1) = "1" ), 3, 4 ) ) )</f>
        <v>4</v>
      </c>
    </row>
    <row r="856" spans="58:66" x14ac:dyDescent="0.2">
      <c r="BF856" s="3">
        <v>3.7037037037037042E-2</v>
      </c>
      <c r="BG856" s="3" t="str">
        <f t="shared" si="96"/>
        <v>0</v>
      </c>
      <c r="BH856" t="str">
        <f ca="1">IF((OFFSET($A$1, 856 - 1, 58 - 1)) &gt;= (OFFSET($A$1, 96 - 1, 7 - 1)), "1","0")</f>
        <v>0</v>
      </c>
      <c r="BI856">
        <f ca="1" xml:space="preserve"> IF( AND( OFFSET($A$1, 856 - 1, 59 - 1) = "1", OFFSET($A$1, 856 - 1, 60 - 1) = "1" ), 1, IF( AND( OFFSET($A$1, 856 - 1, 59 - 1) = "1", OFFSET($A$1, 856 - 1, 60 - 1) = "0" ), 2, IF( AND( OFFSET($A$1, 856 - 1, 59 - 1) = "0", OFFSET($A$1, 856 - 1, 60 - 1) = "1" ), 3, 4 ) ) )</f>
        <v>4</v>
      </c>
      <c r="BK856" s="3">
        <v>6.6350710900473939E-2</v>
      </c>
      <c r="BL856" s="3" t="str">
        <f t="shared" si="97"/>
        <v>0</v>
      </c>
      <c r="BM856" t="str">
        <f ca="1">IF((OFFSET($A$1, 856 - 1, 63 - 1)) &gt;= (OFFSET($A$1, 135 - 1, 7 - 1)), "1","0")</f>
        <v>0</v>
      </c>
      <c r="BN856">
        <f ca="1" xml:space="preserve"> IF( AND( OFFSET($A$1, 856 - 1, 64 - 1) = "1", OFFSET($A$1, 856 - 1, 65 - 1) = "1" ), 1, IF( AND( OFFSET($A$1, 856 - 1, 64 - 1) = "1", OFFSET($A$1, 856 - 1, 65 - 1) = "0" ), 2, IF( AND( OFFSET($A$1, 856 - 1, 64 - 1) = "0", OFFSET($A$1, 856 - 1, 65 - 1) = "1" ), 3, 4 ) ) )</f>
        <v>4</v>
      </c>
    </row>
    <row r="857" spans="58:66" x14ac:dyDescent="0.2">
      <c r="BF857" s="3">
        <v>0.34722222222222221</v>
      </c>
      <c r="BG857" s="3" t="str">
        <f t="shared" si="96"/>
        <v>0</v>
      </c>
      <c r="BH857" t="str">
        <f ca="1">IF((OFFSET($A$1, 857 - 1, 58 - 1)) &gt;= (OFFSET($A$1, 96 - 1, 7 - 1)), "1","0")</f>
        <v>0</v>
      </c>
      <c r="BI857">
        <f ca="1" xml:space="preserve"> IF( AND( OFFSET($A$1, 857 - 1, 59 - 1) = "1", OFFSET($A$1, 857 - 1, 60 - 1) = "1" ), 1, IF( AND( OFFSET($A$1, 857 - 1, 59 - 1) = "1", OFFSET($A$1, 857 - 1, 60 - 1) = "0" ), 2, IF( AND( OFFSET($A$1, 857 - 1, 59 - 1) = "0", OFFSET($A$1, 857 - 1, 60 - 1) = "1" ), 3, 4 ) ) )</f>
        <v>4</v>
      </c>
      <c r="BK857" s="3">
        <v>6.6350710900473939E-2</v>
      </c>
      <c r="BL857" s="3" t="str">
        <f t="shared" si="97"/>
        <v>0</v>
      </c>
      <c r="BM857" t="str">
        <f ca="1">IF((OFFSET($A$1, 857 - 1, 63 - 1)) &gt;= (OFFSET($A$1, 135 - 1, 7 - 1)), "1","0")</f>
        <v>0</v>
      </c>
      <c r="BN857">
        <f ca="1" xml:space="preserve"> IF( AND( OFFSET($A$1, 857 - 1, 64 - 1) = "1", OFFSET($A$1, 857 - 1, 65 - 1) = "1" ), 1, IF( AND( OFFSET($A$1, 857 - 1, 64 - 1) = "1", OFFSET($A$1, 857 - 1, 65 - 1) = "0" ), 2, IF( AND( OFFSET($A$1, 857 - 1, 64 - 1) = "0", OFFSET($A$1, 857 - 1, 65 - 1) = "1" ), 3, 4 ) ) )</f>
        <v>4</v>
      </c>
    </row>
    <row r="858" spans="58:66" x14ac:dyDescent="0.2">
      <c r="BF858" s="3">
        <v>0</v>
      </c>
      <c r="BG858" s="3" t="str">
        <f t="shared" si="96"/>
        <v>0</v>
      </c>
      <c r="BH858" t="str">
        <f ca="1">IF((OFFSET($A$1, 858 - 1, 58 - 1)) &gt;= (OFFSET($A$1, 96 - 1, 7 - 1)), "1","0")</f>
        <v>0</v>
      </c>
      <c r="BI858">
        <f ca="1" xml:space="preserve"> IF( AND( OFFSET($A$1, 858 - 1, 59 - 1) = "1", OFFSET($A$1, 858 - 1, 60 - 1) = "1" ), 1, IF( AND( OFFSET($A$1, 858 - 1, 59 - 1) = "1", OFFSET($A$1, 858 - 1, 60 - 1) = "0" ), 2, IF( AND( OFFSET($A$1, 858 - 1, 59 - 1) = "0", OFFSET($A$1, 858 - 1, 60 - 1) = "1" ), 3, 4 ) ) )</f>
        <v>4</v>
      </c>
      <c r="BK858" s="3">
        <v>6.6350710900473939E-2</v>
      </c>
      <c r="BL858" s="3" t="str">
        <f t="shared" si="97"/>
        <v>0</v>
      </c>
      <c r="BM858" t="str">
        <f ca="1">IF((OFFSET($A$1, 858 - 1, 63 - 1)) &gt;= (OFFSET($A$1, 135 - 1, 7 - 1)), "1","0")</f>
        <v>0</v>
      </c>
      <c r="BN858">
        <f ca="1" xml:space="preserve"> IF( AND( OFFSET($A$1, 858 - 1, 64 - 1) = "1", OFFSET($A$1, 858 - 1, 65 - 1) = "1" ), 1, IF( AND( OFFSET($A$1, 858 - 1, 64 - 1) = "1", OFFSET($A$1, 858 - 1, 65 - 1) = "0" ), 2, IF( AND( OFFSET($A$1, 858 - 1, 64 - 1) = "0", OFFSET($A$1, 858 - 1, 65 - 1) = "1" ), 3, 4 ) ) )</f>
        <v>4</v>
      </c>
    </row>
    <row r="859" spans="58:66" x14ac:dyDescent="0.2">
      <c r="BF859" s="3">
        <v>0</v>
      </c>
      <c r="BG859" s="3" t="str">
        <f t="shared" si="96"/>
        <v>0</v>
      </c>
      <c r="BH859" t="str">
        <f ca="1">IF((OFFSET($A$1, 859 - 1, 58 - 1)) &gt;= (OFFSET($A$1, 96 - 1, 7 - 1)), "1","0")</f>
        <v>0</v>
      </c>
      <c r="BI859">
        <f ca="1" xml:space="preserve"> IF( AND( OFFSET($A$1, 859 - 1, 59 - 1) = "1", OFFSET($A$1, 859 - 1, 60 - 1) = "1" ), 1, IF( AND( OFFSET($A$1, 859 - 1, 59 - 1) = "1", OFFSET($A$1, 859 - 1, 60 - 1) = "0" ), 2, IF( AND( OFFSET($A$1, 859 - 1, 59 - 1) = "0", OFFSET($A$1, 859 - 1, 60 - 1) = "1" ), 3, 4 ) ) )</f>
        <v>4</v>
      </c>
      <c r="BK859" s="3">
        <v>2.5316455696202531E-2</v>
      </c>
      <c r="BL859" s="3" t="str">
        <f t="shared" si="97"/>
        <v>0</v>
      </c>
      <c r="BM859" t="str">
        <f ca="1">IF((OFFSET($A$1, 859 - 1, 63 - 1)) &gt;= (OFFSET($A$1, 135 - 1, 7 - 1)), "1","0")</f>
        <v>0</v>
      </c>
      <c r="BN859">
        <f ca="1" xml:space="preserve"> IF( AND( OFFSET($A$1, 859 - 1, 64 - 1) = "1", OFFSET($A$1, 859 - 1, 65 - 1) = "1" ), 1, IF( AND( OFFSET($A$1, 859 - 1, 64 - 1) = "1", OFFSET($A$1, 859 - 1, 65 - 1) = "0" ), 2, IF( AND( OFFSET($A$1, 859 - 1, 64 - 1) = "0", OFFSET($A$1, 859 - 1, 65 - 1) = "1" ), 3, 4 ) ) )</f>
        <v>4</v>
      </c>
    </row>
    <row r="860" spans="58:66" x14ac:dyDescent="0.2">
      <c r="BF860" s="3">
        <v>0</v>
      </c>
      <c r="BG860" s="3" t="str">
        <f t="shared" si="96"/>
        <v>0</v>
      </c>
      <c r="BH860" t="str">
        <f ca="1">IF((OFFSET($A$1, 860 - 1, 58 - 1)) &gt;= (OFFSET($A$1, 96 - 1, 7 - 1)), "1","0")</f>
        <v>0</v>
      </c>
      <c r="BI860">
        <f ca="1" xml:space="preserve"> IF( AND( OFFSET($A$1, 860 - 1, 59 - 1) = "1", OFFSET($A$1, 860 - 1, 60 - 1) = "1" ), 1, IF( AND( OFFSET($A$1, 860 - 1, 59 - 1) = "1", OFFSET($A$1, 860 - 1, 60 - 1) = "0" ), 2, IF( AND( OFFSET($A$1, 860 - 1, 59 - 1) = "0", OFFSET($A$1, 860 - 1, 60 - 1) = "1" ), 3, 4 ) ) )</f>
        <v>4</v>
      </c>
      <c r="BK860" s="3">
        <v>6.6350710900473939E-2</v>
      </c>
      <c r="BL860" s="3" t="str">
        <f t="shared" si="97"/>
        <v>0</v>
      </c>
      <c r="BM860" t="str">
        <f ca="1">IF((OFFSET($A$1, 860 - 1, 63 - 1)) &gt;= (OFFSET($A$1, 135 - 1, 7 - 1)), "1","0")</f>
        <v>0</v>
      </c>
      <c r="BN860">
        <f ca="1" xml:space="preserve"> IF( AND( OFFSET($A$1, 860 - 1, 64 - 1) = "1", OFFSET($A$1, 860 - 1, 65 - 1) = "1" ), 1, IF( AND( OFFSET($A$1, 860 - 1, 64 - 1) = "1", OFFSET($A$1, 860 - 1, 65 - 1) = "0" ), 2, IF( AND( OFFSET($A$1, 860 - 1, 64 - 1) = "0", OFFSET($A$1, 860 - 1, 65 - 1) = "1" ), 3, 4 ) ) )</f>
        <v>4</v>
      </c>
    </row>
    <row r="861" spans="58:66" x14ac:dyDescent="0.2">
      <c r="BF861" s="3">
        <v>0.34722222222222221</v>
      </c>
      <c r="BG861" s="3" t="str">
        <f>"1"</f>
        <v>1</v>
      </c>
      <c r="BH861" t="str">
        <f ca="1">IF((OFFSET($A$1, 861 - 1, 58 - 1)) &gt;= (OFFSET($A$1, 96 - 1, 7 - 1)), "1","0")</f>
        <v>0</v>
      </c>
      <c r="BI861">
        <f ca="1" xml:space="preserve"> IF( AND( OFFSET($A$1, 861 - 1, 59 - 1) = "1", OFFSET($A$1, 861 - 1, 60 - 1) = "1" ), 1, IF( AND( OFFSET($A$1, 861 - 1, 59 - 1) = "1", OFFSET($A$1, 861 - 1, 60 - 1) = "0" ), 2, IF( AND( OFFSET($A$1, 861 - 1, 59 - 1) = "0", OFFSET($A$1, 861 - 1, 60 - 1) = "1" ), 3, 4 ) ) )</f>
        <v>2</v>
      </c>
      <c r="BK861" s="3">
        <v>0.90579710144927539</v>
      </c>
      <c r="BL861" s="3" t="str">
        <f>"1"</f>
        <v>1</v>
      </c>
      <c r="BM861" t="str">
        <f ca="1">IF((OFFSET($A$1, 861 - 1, 63 - 1)) &gt;= (OFFSET($A$1, 135 - 1, 7 - 1)), "1","0")</f>
        <v>1</v>
      </c>
      <c r="BN861">
        <f ca="1" xml:space="preserve"> IF( AND( OFFSET($A$1, 861 - 1, 64 - 1) = "1", OFFSET($A$1, 861 - 1, 65 - 1) = "1" ), 1, IF( AND( OFFSET($A$1, 861 - 1, 64 - 1) = "1", OFFSET($A$1, 861 - 1, 65 - 1) = "0" ), 2, IF( AND( OFFSET($A$1, 861 - 1, 64 - 1) = "0", OFFSET($A$1, 861 - 1, 65 - 1) = "1" ), 3, 4 ) ) )</f>
        <v>1</v>
      </c>
    </row>
    <row r="862" spans="58:66" x14ac:dyDescent="0.2">
      <c r="BF862" s="3">
        <v>0</v>
      </c>
      <c r="BG862" s="3" t="str">
        <f t="shared" ref="BG862:BG867" si="98">"0"</f>
        <v>0</v>
      </c>
      <c r="BH862" t="str">
        <f ca="1">IF((OFFSET($A$1, 862 - 1, 58 - 1)) &gt;= (OFFSET($A$1, 96 - 1, 7 - 1)), "1","0")</f>
        <v>0</v>
      </c>
      <c r="BI862">
        <f ca="1" xml:space="preserve"> IF( AND( OFFSET($A$1, 862 - 1, 59 - 1) = "1", OFFSET($A$1, 862 - 1, 60 - 1) = "1" ), 1, IF( AND( OFFSET($A$1, 862 - 1, 59 - 1) = "1", OFFSET($A$1, 862 - 1, 60 - 1) = "0" ), 2, IF( AND( OFFSET($A$1, 862 - 1, 59 - 1) = "0", OFFSET($A$1, 862 - 1, 60 - 1) = "1" ), 3, 4 ) ) )</f>
        <v>4</v>
      </c>
      <c r="BK862" s="3">
        <v>6.6350710900473939E-2</v>
      </c>
      <c r="BL862" s="3" t="str">
        <f t="shared" ref="BL862:BL868" si="99">"0"</f>
        <v>0</v>
      </c>
      <c r="BM862" t="str">
        <f ca="1">IF((OFFSET($A$1, 862 - 1, 63 - 1)) &gt;= (OFFSET($A$1, 135 - 1, 7 - 1)), "1","0")</f>
        <v>0</v>
      </c>
      <c r="BN862">
        <f ca="1" xml:space="preserve"> IF( AND( OFFSET($A$1, 862 - 1, 64 - 1) = "1", OFFSET($A$1, 862 - 1, 65 - 1) = "1" ), 1, IF( AND( OFFSET($A$1, 862 - 1, 64 - 1) = "1", OFFSET($A$1, 862 - 1, 65 - 1) = "0" ), 2, IF( AND( OFFSET($A$1, 862 - 1, 64 - 1) = "0", OFFSET($A$1, 862 - 1, 65 - 1) = "1" ), 3, 4 ) ) )</f>
        <v>4</v>
      </c>
    </row>
    <row r="863" spans="58:66" x14ac:dyDescent="0.2">
      <c r="BF863" s="3">
        <v>0</v>
      </c>
      <c r="BG863" s="3" t="str">
        <f t="shared" si="98"/>
        <v>0</v>
      </c>
      <c r="BH863" t="str">
        <f ca="1">IF((OFFSET($A$1, 863 - 1, 58 - 1)) &gt;= (OFFSET($A$1, 96 - 1, 7 - 1)), "1","0")</f>
        <v>0</v>
      </c>
      <c r="BI863">
        <f ca="1" xml:space="preserve"> IF( AND( OFFSET($A$1, 863 - 1, 59 - 1) = "1", OFFSET($A$1, 863 - 1, 60 - 1) = "1" ), 1, IF( AND( OFFSET($A$1, 863 - 1, 59 - 1) = "1", OFFSET($A$1, 863 - 1, 60 - 1) = "0" ), 2, IF( AND( OFFSET($A$1, 863 - 1, 59 - 1) = "0", OFFSET($A$1, 863 - 1, 60 - 1) = "1" ), 3, 4 ) ) )</f>
        <v>4</v>
      </c>
      <c r="BK863" s="3">
        <v>6.6350710900473939E-2</v>
      </c>
      <c r="BL863" s="3" t="str">
        <f t="shared" si="99"/>
        <v>0</v>
      </c>
      <c r="BM863" t="str">
        <f ca="1">IF((OFFSET($A$1, 863 - 1, 63 - 1)) &gt;= (OFFSET($A$1, 135 - 1, 7 - 1)), "1","0")</f>
        <v>0</v>
      </c>
      <c r="BN863">
        <f ca="1" xml:space="preserve"> IF( AND( OFFSET($A$1, 863 - 1, 64 - 1) = "1", OFFSET($A$1, 863 - 1, 65 - 1) = "1" ), 1, IF( AND( OFFSET($A$1, 863 - 1, 64 - 1) = "1", OFFSET($A$1, 863 - 1, 65 - 1) = "0" ), 2, IF( AND( OFFSET($A$1, 863 - 1, 64 - 1) = "0", OFFSET($A$1, 863 - 1, 65 - 1) = "1" ), 3, 4 ) ) )</f>
        <v>4</v>
      </c>
    </row>
    <row r="864" spans="58:66" x14ac:dyDescent="0.2">
      <c r="BF864" s="3">
        <v>0</v>
      </c>
      <c r="BG864" s="3" t="str">
        <f t="shared" si="98"/>
        <v>0</v>
      </c>
      <c r="BH864" t="str">
        <f ca="1">IF((OFFSET($A$1, 864 - 1, 58 - 1)) &gt;= (OFFSET($A$1, 96 - 1, 7 - 1)), "1","0")</f>
        <v>0</v>
      </c>
      <c r="BI864">
        <f ca="1" xml:space="preserve"> IF( AND( OFFSET($A$1, 864 - 1, 59 - 1) = "1", OFFSET($A$1, 864 - 1, 60 - 1) = "1" ), 1, IF( AND( OFFSET($A$1, 864 - 1, 59 - 1) = "1", OFFSET($A$1, 864 - 1, 60 - 1) = "0" ), 2, IF( AND( OFFSET($A$1, 864 - 1, 59 - 1) = "0", OFFSET($A$1, 864 - 1, 60 - 1) = "1" ), 3, 4 ) ) )</f>
        <v>4</v>
      </c>
      <c r="BK864" s="3">
        <v>6.6350710900473939E-2</v>
      </c>
      <c r="BL864" s="3" t="str">
        <f t="shared" si="99"/>
        <v>0</v>
      </c>
      <c r="BM864" t="str">
        <f ca="1">IF((OFFSET($A$1, 864 - 1, 63 - 1)) &gt;= (OFFSET($A$1, 135 - 1, 7 - 1)), "1","0")</f>
        <v>0</v>
      </c>
      <c r="BN864">
        <f ca="1" xml:space="preserve"> IF( AND( OFFSET($A$1, 864 - 1, 64 - 1) = "1", OFFSET($A$1, 864 - 1, 65 - 1) = "1" ), 1, IF( AND( OFFSET($A$1, 864 - 1, 64 - 1) = "1", OFFSET($A$1, 864 - 1, 65 - 1) = "0" ), 2, IF( AND( OFFSET($A$1, 864 - 1, 64 - 1) = "0", OFFSET($A$1, 864 - 1, 65 - 1) = "1" ), 3, 4 ) ) )</f>
        <v>4</v>
      </c>
    </row>
    <row r="865" spans="58:66" x14ac:dyDescent="0.2">
      <c r="BF865" s="3">
        <v>0</v>
      </c>
      <c r="BG865" s="3" t="str">
        <f t="shared" si="98"/>
        <v>0</v>
      </c>
      <c r="BH865" t="str">
        <f ca="1">IF((OFFSET($A$1, 865 - 1, 58 - 1)) &gt;= (OFFSET($A$1, 96 - 1, 7 - 1)), "1","0")</f>
        <v>0</v>
      </c>
      <c r="BI865">
        <f ca="1" xml:space="preserve"> IF( AND( OFFSET($A$1, 865 - 1, 59 - 1) = "1", OFFSET($A$1, 865 - 1, 60 - 1) = "1" ), 1, IF( AND( OFFSET($A$1, 865 - 1, 59 - 1) = "1", OFFSET($A$1, 865 - 1, 60 - 1) = "0" ), 2, IF( AND( OFFSET($A$1, 865 - 1, 59 - 1) = "0", OFFSET($A$1, 865 - 1, 60 - 1) = "1" ), 3, 4 ) ) )</f>
        <v>4</v>
      </c>
      <c r="BK865" s="3">
        <v>6.6350710900473939E-2</v>
      </c>
      <c r="BL865" s="3" t="str">
        <f t="shared" si="99"/>
        <v>0</v>
      </c>
      <c r="BM865" t="str">
        <f ca="1">IF((OFFSET($A$1, 865 - 1, 63 - 1)) &gt;= (OFFSET($A$1, 135 - 1, 7 - 1)), "1","0")</f>
        <v>0</v>
      </c>
      <c r="BN865">
        <f ca="1" xml:space="preserve"> IF( AND( OFFSET($A$1, 865 - 1, 64 - 1) = "1", OFFSET($A$1, 865 - 1, 65 - 1) = "1" ), 1, IF( AND( OFFSET($A$1, 865 - 1, 64 - 1) = "1", OFFSET($A$1, 865 - 1, 65 - 1) = "0" ), 2, IF( AND( OFFSET($A$1, 865 - 1, 64 - 1) = "0", OFFSET($A$1, 865 - 1, 65 - 1) = "1" ), 3, 4 ) ) )</f>
        <v>4</v>
      </c>
    </row>
    <row r="866" spans="58:66" x14ac:dyDescent="0.2">
      <c r="BF866" s="3">
        <v>0</v>
      </c>
      <c r="BG866" s="3" t="str">
        <f t="shared" si="98"/>
        <v>0</v>
      </c>
      <c r="BH866" t="str">
        <f ca="1">IF((OFFSET($A$1, 866 - 1, 58 - 1)) &gt;= (OFFSET($A$1, 96 - 1, 7 - 1)), "1","0")</f>
        <v>0</v>
      </c>
      <c r="BI866">
        <f ca="1" xml:space="preserve"> IF( AND( OFFSET($A$1, 866 - 1, 59 - 1) = "1", OFFSET($A$1, 866 - 1, 60 - 1) = "1" ), 1, IF( AND( OFFSET($A$1, 866 - 1, 59 - 1) = "1", OFFSET($A$1, 866 - 1, 60 - 1) = "0" ), 2, IF( AND( OFFSET($A$1, 866 - 1, 59 - 1) = "0", OFFSET($A$1, 866 - 1, 60 - 1) = "1" ), 3, 4 ) ) )</f>
        <v>4</v>
      </c>
      <c r="BK866" s="3">
        <v>6.6350710900473939E-2</v>
      </c>
      <c r="BL866" s="3" t="str">
        <f t="shared" si="99"/>
        <v>0</v>
      </c>
      <c r="BM866" t="str">
        <f ca="1">IF((OFFSET($A$1, 866 - 1, 63 - 1)) &gt;= (OFFSET($A$1, 135 - 1, 7 - 1)), "1","0")</f>
        <v>0</v>
      </c>
      <c r="BN866">
        <f ca="1" xml:space="preserve"> IF( AND( OFFSET($A$1, 866 - 1, 64 - 1) = "1", OFFSET($A$1, 866 - 1, 65 - 1) = "1" ), 1, IF( AND( OFFSET($A$1, 866 - 1, 64 - 1) = "1", OFFSET($A$1, 866 - 1, 65 - 1) = "0" ), 2, IF( AND( OFFSET($A$1, 866 - 1, 64 - 1) = "0", OFFSET($A$1, 866 - 1, 65 - 1) = "1" ), 3, 4 ) ) )</f>
        <v>4</v>
      </c>
    </row>
    <row r="867" spans="58:66" x14ac:dyDescent="0.2">
      <c r="BF867" s="3">
        <v>0</v>
      </c>
      <c r="BG867" s="3" t="str">
        <f t="shared" si="98"/>
        <v>0</v>
      </c>
      <c r="BH867" t="str">
        <f ca="1">IF((OFFSET($A$1, 867 - 1, 58 - 1)) &gt;= (OFFSET($A$1, 96 - 1, 7 - 1)), "1","0")</f>
        <v>0</v>
      </c>
      <c r="BI867">
        <f ca="1" xml:space="preserve"> IF( AND( OFFSET($A$1, 867 - 1, 59 - 1) = "1", OFFSET($A$1, 867 - 1, 60 - 1) = "1" ), 1, IF( AND( OFFSET($A$1, 867 - 1, 59 - 1) = "1", OFFSET($A$1, 867 - 1, 60 - 1) = "0" ), 2, IF( AND( OFFSET($A$1, 867 - 1, 59 - 1) = "0", OFFSET($A$1, 867 - 1, 60 - 1) = "1" ), 3, 4 ) ) )</f>
        <v>4</v>
      </c>
      <c r="BK867" s="3">
        <v>6.6350710900473939E-2</v>
      </c>
      <c r="BL867" s="3" t="str">
        <f t="shared" si="99"/>
        <v>0</v>
      </c>
      <c r="BM867" t="str">
        <f ca="1">IF((OFFSET($A$1, 867 - 1, 63 - 1)) &gt;= (OFFSET($A$1, 135 - 1, 7 - 1)), "1","0")</f>
        <v>0</v>
      </c>
      <c r="BN867">
        <f ca="1" xml:space="preserve"> IF( AND( OFFSET($A$1, 867 - 1, 64 - 1) = "1", OFFSET($A$1, 867 - 1, 65 - 1) = "1" ), 1, IF( AND( OFFSET($A$1, 867 - 1, 64 - 1) = "1", OFFSET($A$1, 867 - 1, 65 - 1) = "0" ), 2, IF( AND( OFFSET($A$1, 867 - 1, 64 - 1) = "0", OFFSET($A$1, 867 - 1, 65 - 1) = "1" ), 3, 4 ) ) )</f>
        <v>4</v>
      </c>
    </row>
    <row r="868" spans="58:66" x14ac:dyDescent="0.2">
      <c r="BF868" s="3">
        <v>0.38775510204081637</v>
      </c>
      <c r="BG868" s="3" t="str">
        <f>"1"</f>
        <v>1</v>
      </c>
      <c r="BH868" t="str">
        <f ca="1">IF((OFFSET($A$1, 868 - 1, 58 - 1)) &gt;= (OFFSET($A$1, 96 - 1, 7 - 1)), "1","0")</f>
        <v>0</v>
      </c>
      <c r="BI868">
        <f ca="1" xml:space="preserve"> IF( AND( OFFSET($A$1, 868 - 1, 59 - 1) = "1", OFFSET($A$1, 868 - 1, 60 - 1) = "1" ), 1, IF( AND( OFFSET($A$1, 868 - 1, 59 - 1) = "1", OFFSET($A$1, 868 - 1, 60 - 1) = "0" ), 2, IF( AND( OFFSET($A$1, 868 - 1, 59 - 1) = "0", OFFSET($A$1, 868 - 1, 60 - 1) = "1" ), 3, 4 ) ) )</f>
        <v>2</v>
      </c>
      <c r="BK868" s="3">
        <v>6.6350710900473939E-2</v>
      </c>
      <c r="BL868" s="3" t="str">
        <f t="shared" si="99"/>
        <v>0</v>
      </c>
      <c r="BM868" t="str">
        <f ca="1">IF((OFFSET($A$1, 868 - 1, 63 - 1)) &gt;= (OFFSET($A$1, 135 - 1, 7 - 1)), "1","0")</f>
        <v>0</v>
      </c>
      <c r="BN868">
        <f ca="1" xml:space="preserve"> IF( AND( OFFSET($A$1, 868 - 1, 64 - 1) = "1", OFFSET($A$1, 868 - 1, 65 - 1) = "1" ), 1, IF( AND( OFFSET($A$1, 868 - 1, 64 - 1) = "1", OFFSET($A$1, 868 - 1, 65 - 1) = "0" ), 2, IF( AND( OFFSET($A$1, 868 - 1, 64 - 1) = "0", OFFSET($A$1, 868 - 1, 65 - 1) = "1" ), 3, 4 ) ) )</f>
        <v>4</v>
      </c>
    </row>
    <row r="869" spans="58:66" x14ac:dyDescent="0.2">
      <c r="BF869" s="3">
        <v>0</v>
      </c>
      <c r="BG869" s="3" t="str">
        <f>"0"</f>
        <v>0</v>
      </c>
      <c r="BH869" t="str">
        <f ca="1">IF((OFFSET($A$1, 869 - 1, 58 - 1)) &gt;= (OFFSET($A$1, 96 - 1, 7 - 1)), "1","0")</f>
        <v>0</v>
      </c>
      <c r="BI869">
        <f ca="1" xml:space="preserve"> IF( AND( OFFSET($A$1, 869 - 1, 59 - 1) = "1", OFFSET($A$1, 869 - 1, 60 - 1) = "1" ), 1, IF( AND( OFFSET($A$1, 869 - 1, 59 - 1) = "1", OFFSET($A$1, 869 - 1, 60 - 1) = "0" ), 2, IF( AND( OFFSET($A$1, 869 - 1, 59 - 1) = "0", OFFSET($A$1, 869 - 1, 60 - 1) = "1" ), 3, 4 ) ) )</f>
        <v>4</v>
      </c>
      <c r="BK869" s="3">
        <v>0.36</v>
      </c>
      <c r="BL869" s="3" t="str">
        <f>"1"</f>
        <v>1</v>
      </c>
      <c r="BM869" t="str">
        <f ca="1">IF((OFFSET($A$1, 869 - 1, 63 - 1)) &gt;= (OFFSET($A$1, 135 - 1, 7 - 1)), "1","0")</f>
        <v>0</v>
      </c>
      <c r="BN869">
        <f ca="1" xml:space="preserve"> IF( AND( OFFSET($A$1, 869 - 1, 64 - 1) = "1", OFFSET($A$1, 869 - 1, 65 - 1) = "1" ), 1, IF( AND( OFFSET($A$1, 869 - 1, 64 - 1) = "1", OFFSET($A$1, 869 - 1, 65 - 1) = "0" ), 2, IF( AND( OFFSET($A$1, 869 - 1, 64 - 1) = "0", OFFSET($A$1, 869 - 1, 65 - 1) = "1" ), 3, 4 ) ) )</f>
        <v>2</v>
      </c>
    </row>
    <row r="870" spans="58:66" x14ac:dyDescent="0.2">
      <c r="BF870" s="3">
        <v>0.90579710144927539</v>
      </c>
      <c r="BG870" s="3" t="str">
        <f>"1"</f>
        <v>1</v>
      </c>
      <c r="BH870" t="str">
        <f ca="1">IF((OFFSET($A$1, 870 - 1, 58 - 1)) &gt;= (OFFSET($A$1, 96 - 1, 7 - 1)), "1","0")</f>
        <v>1</v>
      </c>
      <c r="BI870">
        <f ca="1" xml:space="preserve"> IF( AND( OFFSET($A$1, 870 - 1, 59 - 1) = "1", OFFSET($A$1, 870 - 1, 60 - 1) = "1" ), 1, IF( AND( OFFSET($A$1, 870 - 1, 59 - 1) = "1", OFFSET($A$1, 870 - 1, 60 - 1) = "0" ), 2, IF( AND( OFFSET($A$1, 870 - 1, 59 - 1) = "0", OFFSET($A$1, 870 - 1, 60 - 1) = "1" ), 3, 4 ) ) )</f>
        <v>1</v>
      </c>
      <c r="BK870" s="3">
        <v>6.6350710900473939E-2</v>
      </c>
      <c r="BL870" s="3" t="str">
        <f>"0"</f>
        <v>0</v>
      </c>
      <c r="BM870" t="str">
        <f ca="1">IF((OFFSET($A$1, 870 - 1, 63 - 1)) &gt;= (OFFSET($A$1, 135 - 1, 7 - 1)), "1","0")</f>
        <v>0</v>
      </c>
      <c r="BN870">
        <f ca="1" xml:space="preserve"> IF( AND( OFFSET($A$1, 870 - 1, 64 - 1) = "1", OFFSET($A$1, 870 - 1, 65 - 1) = "1" ), 1, IF( AND( OFFSET($A$1, 870 - 1, 64 - 1) = "1", OFFSET($A$1, 870 - 1, 65 - 1) = "0" ), 2, IF( AND( OFFSET($A$1, 870 - 1, 64 - 1) = "0", OFFSET($A$1, 870 - 1, 65 - 1) = "1" ), 3, 4 ) ) )</f>
        <v>4</v>
      </c>
    </row>
    <row r="871" spans="58:66" x14ac:dyDescent="0.2">
      <c r="BF871" s="3">
        <v>0</v>
      </c>
      <c r="BG871" s="3" t="str">
        <f>"0"</f>
        <v>0</v>
      </c>
      <c r="BH871" t="str">
        <f ca="1">IF((OFFSET($A$1, 871 - 1, 58 - 1)) &gt;= (OFFSET($A$1, 96 - 1, 7 - 1)), "1","0")</f>
        <v>0</v>
      </c>
      <c r="BI871">
        <f ca="1" xml:space="preserve"> IF( AND( OFFSET($A$1, 871 - 1, 59 - 1) = "1", OFFSET($A$1, 871 - 1, 60 - 1) = "1" ), 1, IF( AND( OFFSET($A$1, 871 - 1, 59 - 1) = "1", OFFSET($A$1, 871 - 1, 60 - 1) = "0" ), 2, IF( AND( OFFSET($A$1, 871 - 1, 59 - 1) = "0", OFFSET($A$1, 871 - 1, 60 - 1) = "1" ), 3, 4 ) ) )</f>
        <v>4</v>
      </c>
      <c r="BK871" s="3">
        <v>6.6350710900473939E-2</v>
      </c>
      <c r="BL871" s="3" t="str">
        <f>"1"</f>
        <v>1</v>
      </c>
      <c r="BM871" t="str">
        <f ca="1">IF((OFFSET($A$1, 871 - 1, 63 - 1)) &gt;= (OFFSET($A$1, 135 - 1, 7 - 1)), "1","0")</f>
        <v>0</v>
      </c>
      <c r="BN871">
        <f ca="1" xml:space="preserve"> IF( AND( OFFSET($A$1, 871 - 1, 64 - 1) = "1", OFFSET($A$1, 871 - 1, 65 - 1) = "1" ), 1, IF( AND( OFFSET($A$1, 871 - 1, 64 - 1) = "1", OFFSET($A$1, 871 - 1, 65 - 1) = "0" ), 2, IF( AND( OFFSET($A$1, 871 - 1, 64 - 1) = "0", OFFSET($A$1, 871 - 1, 65 - 1) = "1" ), 3, 4 ) ) )</f>
        <v>2</v>
      </c>
    </row>
    <row r="872" spans="58:66" x14ac:dyDescent="0.2">
      <c r="BF872" s="3">
        <v>0.34722222222222221</v>
      </c>
      <c r="BG872" s="3" t="str">
        <f>"1"</f>
        <v>1</v>
      </c>
      <c r="BH872" t="str">
        <f ca="1">IF((OFFSET($A$1, 872 - 1, 58 - 1)) &gt;= (OFFSET($A$1, 96 - 1, 7 - 1)), "1","0")</f>
        <v>0</v>
      </c>
      <c r="BI872">
        <f ca="1" xml:space="preserve"> IF( AND( OFFSET($A$1, 872 - 1, 59 - 1) = "1", OFFSET($A$1, 872 - 1, 60 - 1) = "1" ), 1, IF( AND( OFFSET($A$1, 872 - 1, 59 - 1) = "1", OFFSET($A$1, 872 - 1, 60 - 1) = "0" ), 2, IF( AND( OFFSET($A$1, 872 - 1, 59 - 1) = "0", OFFSET($A$1, 872 - 1, 60 - 1) = "1" ), 3, 4 ) ) )</f>
        <v>2</v>
      </c>
      <c r="BK872" s="3">
        <v>6.6350710900473939E-2</v>
      </c>
      <c r="BL872" s="3" t="str">
        <f>"0"</f>
        <v>0</v>
      </c>
      <c r="BM872" t="str">
        <f ca="1">IF((OFFSET($A$1, 872 - 1, 63 - 1)) &gt;= (OFFSET($A$1, 135 - 1, 7 - 1)), "1","0")</f>
        <v>0</v>
      </c>
      <c r="BN872">
        <f ca="1" xml:space="preserve"> IF( AND( OFFSET($A$1, 872 - 1, 64 - 1) = "1", OFFSET($A$1, 872 - 1, 65 - 1) = "1" ), 1, IF( AND( OFFSET($A$1, 872 - 1, 64 - 1) = "1", OFFSET($A$1, 872 - 1, 65 - 1) = "0" ), 2, IF( AND( OFFSET($A$1, 872 - 1, 64 - 1) = "0", OFFSET($A$1, 872 - 1, 65 - 1) = "1" ), 3, 4 ) ) )</f>
        <v>4</v>
      </c>
    </row>
    <row r="873" spans="58:66" x14ac:dyDescent="0.2">
      <c r="BF873" s="3">
        <v>0</v>
      </c>
      <c r="BG873" s="3" t="str">
        <f>"0"</f>
        <v>0</v>
      </c>
      <c r="BH873" t="str">
        <f ca="1">IF((OFFSET($A$1, 873 - 1, 58 - 1)) &gt;= (OFFSET($A$1, 96 - 1, 7 - 1)), "1","0")</f>
        <v>0</v>
      </c>
      <c r="BI873">
        <f ca="1" xml:space="preserve"> IF( AND( OFFSET($A$1, 873 - 1, 59 - 1) = "1", OFFSET($A$1, 873 - 1, 60 - 1) = "1" ), 1, IF( AND( OFFSET($A$1, 873 - 1, 59 - 1) = "1", OFFSET($A$1, 873 - 1, 60 - 1) = "0" ), 2, IF( AND( OFFSET($A$1, 873 - 1, 59 - 1) = "0", OFFSET($A$1, 873 - 1, 60 - 1) = "1" ), 3, 4 ) ) )</f>
        <v>4</v>
      </c>
      <c r="BK873" s="3">
        <v>2.5316455696202531E-2</v>
      </c>
      <c r="BL873" s="3" t="str">
        <f>"0"</f>
        <v>0</v>
      </c>
      <c r="BM873" t="str">
        <f ca="1">IF((OFFSET($A$1, 873 - 1, 63 - 1)) &gt;= (OFFSET($A$1, 135 - 1, 7 - 1)), "1","0")</f>
        <v>0</v>
      </c>
      <c r="BN873">
        <f ca="1" xml:space="preserve"> IF( AND( OFFSET($A$1, 873 - 1, 64 - 1) = "1", OFFSET($A$1, 873 - 1, 65 - 1) = "1" ), 1, IF( AND( OFFSET($A$1, 873 - 1, 64 - 1) = "1", OFFSET($A$1, 873 - 1, 65 - 1) = "0" ), 2, IF( AND( OFFSET($A$1, 873 - 1, 64 - 1) = "0", OFFSET($A$1, 873 - 1, 65 - 1) = "1" ), 3, 4 ) ) )</f>
        <v>4</v>
      </c>
    </row>
    <row r="874" spans="58:66" x14ac:dyDescent="0.2">
      <c r="BF874" s="3">
        <v>0.38775510204081637</v>
      </c>
      <c r="BG874" s="3" t="str">
        <f>"1"</f>
        <v>1</v>
      </c>
      <c r="BH874" t="str">
        <f ca="1">IF((OFFSET($A$1, 874 - 1, 58 - 1)) &gt;= (OFFSET($A$1, 96 - 1, 7 - 1)), "1","0")</f>
        <v>0</v>
      </c>
      <c r="BI874">
        <f ca="1" xml:space="preserve"> IF( AND( OFFSET($A$1, 874 - 1, 59 - 1) = "1", OFFSET($A$1, 874 - 1, 60 - 1) = "1" ), 1, IF( AND( OFFSET($A$1, 874 - 1, 59 - 1) = "1", OFFSET($A$1, 874 - 1, 60 - 1) = "0" ), 2, IF( AND( OFFSET($A$1, 874 - 1, 59 - 1) = "0", OFFSET($A$1, 874 - 1, 60 - 1) = "1" ), 3, 4 ) ) )</f>
        <v>2</v>
      </c>
      <c r="BK874" s="3">
        <v>0.90579710144927539</v>
      </c>
      <c r="BL874" s="3" t="str">
        <f>"1"</f>
        <v>1</v>
      </c>
      <c r="BM874" t="str">
        <f ca="1">IF((OFFSET($A$1, 874 - 1, 63 - 1)) &gt;= (OFFSET($A$1, 135 - 1, 7 - 1)), "1","0")</f>
        <v>1</v>
      </c>
      <c r="BN874">
        <f ca="1" xml:space="preserve"> IF( AND( OFFSET($A$1, 874 - 1, 64 - 1) = "1", OFFSET($A$1, 874 - 1, 65 - 1) = "1" ), 1, IF( AND( OFFSET($A$1, 874 - 1, 64 - 1) = "1", OFFSET($A$1, 874 - 1, 65 - 1) = "0" ), 2, IF( AND( OFFSET($A$1, 874 - 1, 64 - 1) = "0", OFFSET($A$1, 874 - 1, 65 - 1) = "1" ), 3, 4 ) ) )</f>
        <v>1</v>
      </c>
    </row>
    <row r="875" spans="58:66" x14ac:dyDescent="0.2">
      <c r="BF875" s="3">
        <v>0</v>
      </c>
      <c r="BG875" s="3" t="str">
        <f>"0"</f>
        <v>0</v>
      </c>
      <c r="BH875" t="str">
        <f ca="1">IF((OFFSET($A$1, 875 - 1, 58 - 1)) &gt;= (OFFSET($A$1, 96 - 1, 7 - 1)), "1","0")</f>
        <v>0</v>
      </c>
      <c r="BI875">
        <f ca="1" xml:space="preserve"> IF( AND( OFFSET($A$1, 875 - 1, 59 - 1) = "1", OFFSET($A$1, 875 - 1, 60 - 1) = "1" ), 1, IF( AND( OFFSET($A$1, 875 - 1, 59 - 1) = "1", OFFSET($A$1, 875 - 1, 60 - 1) = "0" ), 2, IF( AND( OFFSET($A$1, 875 - 1, 59 - 1) = "0", OFFSET($A$1, 875 - 1, 60 - 1) = "1" ), 3, 4 ) ) )</f>
        <v>4</v>
      </c>
      <c r="BK875" s="3">
        <v>6.6350710900473939E-2</v>
      </c>
      <c r="BL875" s="3" t="str">
        <f>"0"</f>
        <v>0</v>
      </c>
      <c r="BM875" t="str">
        <f ca="1">IF((OFFSET($A$1, 875 - 1, 63 - 1)) &gt;= (OFFSET($A$1, 135 - 1, 7 - 1)), "1","0")</f>
        <v>0</v>
      </c>
      <c r="BN875">
        <f ca="1" xml:space="preserve"> IF( AND( OFFSET($A$1, 875 - 1, 64 - 1) = "1", OFFSET($A$1, 875 - 1, 65 - 1) = "1" ), 1, IF( AND( OFFSET($A$1, 875 - 1, 64 - 1) = "1", OFFSET($A$1, 875 - 1, 65 - 1) = "0" ), 2, IF( AND( OFFSET($A$1, 875 - 1, 64 - 1) = "0", OFFSET($A$1, 875 - 1, 65 - 1) = "1" ), 3, 4 ) ) )</f>
        <v>4</v>
      </c>
    </row>
    <row r="876" spans="58:66" x14ac:dyDescent="0.2">
      <c r="BF876" s="3">
        <v>0</v>
      </c>
      <c r="BG876" s="3" t="str">
        <f>"0"</f>
        <v>0</v>
      </c>
      <c r="BH876" t="str">
        <f ca="1">IF((OFFSET($A$1, 876 - 1, 58 - 1)) &gt;= (OFFSET($A$1, 96 - 1, 7 - 1)), "1","0")</f>
        <v>0</v>
      </c>
      <c r="BI876">
        <f ca="1" xml:space="preserve"> IF( AND( OFFSET($A$1, 876 - 1, 59 - 1) = "1", OFFSET($A$1, 876 - 1, 60 - 1) = "1" ), 1, IF( AND( OFFSET($A$1, 876 - 1, 59 - 1) = "1", OFFSET($A$1, 876 - 1, 60 - 1) = "0" ), 2, IF( AND( OFFSET($A$1, 876 - 1, 59 - 1) = "0", OFFSET($A$1, 876 - 1, 60 - 1) = "1" ), 3, 4 ) ) )</f>
        <v>4</v>
      </c>
      <c r="BK876" s="3">
        <v>2.5316455696202531E-2</v>
      </c>
      <c r="BL876" s="3" t="str">
        <f>"0"</f>
        <v>0</v>
      </c>
      <c r="BM876" t="str">
        <f ca="1">IF((OFFSET($A$1, 876 - 1, 63 - 1)) &gt;= (OFFSET($A$1, 135 - 1, 7 - 1)), "1","0")</f>
        <v>0</v>
      </c>
      <c r="BN876">
        <f ca="1" xml:space="preserve"> IF( AND( OFFSET($A$1, 876 - 1, 64 - 1) = "1", OFFSET($A$1, 876 - 1, 65 - 1) = "1" ), 1, IF( AND( OFFSET($A$1, 876 - 1, 64 - 1) = "1", OFFSET($A$1, 876 - 1, 65 - 1) = "0" ), 2, IF( AND( OFFSET($A$1, 876 - 1, 64 - 1) = "0", OFFSET($A$1, 876 - 1, 65 - 1) = "1" ), 3, 4 ) ) )</f>
        <v>4</v>
      </c>
    </row>
    <row r="877" spans="58:66" x14ac:dyDescent="0.2">
      <c r="BF877" s="3">
        <v>0.47692307692307689</v>
      </c>
      <c r="BG877" s="3" t="str">
        <f>"1"</f>
        <v>1</v>
      </c>
      <c r="BH877" t="str">
        <f ca="1">IF((OFFSET($A$1, 877 - 1, 58 - 1)) &gt;= (OFFSET($A$1, 96 - 1, 7 - 1)), "1","0")</f>
        <v>0</v>
      </c>
      <c r="BI877">
        <f ca="1" xml:space="preserve"> IF( AND( OFFSET($A$1, 877 - 1, 59 - 1) = "1", OFFSET($A$1, 877 - 1, 60 - 1) = "1" ), 1, IF( AND( OFFSET($A$1, 877 - 1, 59 - 1) = "1", OFFSET($A$1, 877 - 1, 60 - 1) = "0" ), 2, IF( AND( OFFSET($A$1, 877 - 1, 59 - 1) = "0", OFFSET($A$1, 877 - 1, 60 - 1) = "1" ), 3, 4 ) ) )</f>
        <v>2</v>
      </c>
      <c r="BK877" s="3">
        <v>6.6350710900473939E-2</v>
      </c>
      <c r="BL877" s="3" t="str">
        <f>"0"</f>
        <v>0</v>
      </c>
      <c r="BM877" t="str">
        <f ca="1">IF((OFFSET($A$1, 877 - 1, 63 - 1)) &gt;= (OFFSET($A$1, 135 - 1, 7 - 1)), "1","0")</f>
        <v>0</v>
      </c>
      <c r="BN877">
        <f ca="1" xml:space="preserve"> IF( AND( OFFSET($A$1, 877 - 1, 64 - 1) = "1", OFFSET($A$1, 877 - 1, 65 - 1) = "1" ), 1, IF( AND( OFFSET($A$1, 877 - 1, 64 - 1) = "1", OFFSET($A$1, 877 - 1, 65 - 1) = "0" ), 2, IF( AND( OFFSET($A$1, 877 - 1, 64 - 1) = "0", OFFSET($A$1, 877 - 1, 65 - 1) = "1" ), 3, 4 ) ) )</f>
        <v>4</v>
      </c>
    </row>
    <row r="878" spans="58:66" x14ac:dyDescent="0.2">
      <c r="BF878" s="3">
        <v>0.90579710144927539</v>
      </c>
      <c r="BG878" s="3" t="str">
        <f>"1"</f>
        <v>1</v>
      </c>
      <c r="BH878" t="str">
        <f ca="1">IF((OFFSET($A$1, 878 - 1, 58 - 1)) &gt;= (OFFSET($A$1, 96 - 1, 7 - 1)), "1","0")</f>
        <v>1</v>
      </c>
      <c r="BI878">
        <f ca="1" xml:space="preserve"> IF( AND( OFFSET($A$1, 878 - 1, 59 - 1) = "1", OFFSET($A$1, 878 - 1, 60 - 1) = "1" ), 1, IF( AND( OFFSET($A$1, 878 - 1, 59 - 1) = "1", OFFSET($A$1, 878 - 1, 60 - 1) = "0" ), 2, IF( AND( OFFSET($A$1, 878 - 1, 59 - 1) = "0", OFFSET($A$1, 878 - 1, 60 - 1) = "1" ), 3, 4 ) ) )</f>
        <v>1</v>
      </c>
      <c r="BK878" s="3">
        <v>0.90579710144927539</v>
      </c>
      <c r="BL878" s="3" t="str">
        <f>"1"</f>
        <v>1</v>
      </c>
      <c r="BM878" t="str">
        <f ca="1">IF((OFFSET($A$1, 878 - 1, 63 - 1)) &gt;= (OFFSET($A$1, 135 - 1, 7 - 1)), "1","0")</f>
        <v>1</v>
      </c>
      <c r="BN878">
        <f ca="1" xml:space="preserve"> IF( AND( OFFSET($A$1, 878 - 1, 64 - 1) = "1", OFFSET($A$1, 878 - 1, 65 - 1) = "1" ), 1, IF( AND( OFFSET($A$1, 878 - 1, 64 - 1) = "1", OFFSET($A$1, 878 - 1, 65 - 1) = "0" ), 2, IF( AND( OFFSET($A$1, 878 - 1, 64 - 1) = "0", OFFSET($A$1, 878 - 1, 65 - 1) = "1" ), 3, 4 ) ) )</f>
        <v>1</v>
      </c>
    </row>
    <row r="879" spans="58:66" x14ac:dyDescent="0.2">
      <c r="BF879" s="3">
        <v>0</v>
      </c>
      <c r="BG879" s="3" t="str">
        <f>"0"</f>
        <v>0</v>
      </c>
      <c r="BH879" t="str">
        <f ca="1">IF((OFFSET($A$1, 879 - 1, 58 - 1)) &gt;= (OFFSET($A$1, 96 - 1, 7 - 1)), "1","0")</f>
        <v>0</v>
      </c>
      <c r="BI879">
        <f ca="1" xml:space="preserve"> IF( AND( OFFSET($A$1, 879 - 1, 59 - 1) = "1", OFFSET($A$1, 879 - 1, 60 - 1) = "1" ), 1, IF( AND( OFFSET($A$1, 879 - 1, 59 - 1) = "1", OFFSET($A$1, 879 - 1, 60 - 1) = "0" ), 2, IF( AND( OFFSET($A$1, 879 - 1, 59 - 1) = "0", OFFSET($A$1, 879 - 1, 60 - 1) = "1" ), 3, 4 ) ) )</f>
        <v>4</v>
      </c>
      <c r="BK879" s="3">
        <v>6.6350710900473939E-2</v>
      </c>
      <c r="BL879" s="3" t="str">
        <f>"0"</f>
        <v>0</v>
      </c>
      <c r="BM879" t="str">
        <f ca="1">IF((OFFSET($A$1, 879 - 1, 63 - 1)) &gt;= (OFFSET($A$1, 135 - 1, 7 - 1)), "1","0")</f>
        <v>0</v>
      </c>
      <c r="BN879">
        <f ca="1" xml:space="preserve"> IF( AND( OFFSET($A$1, 879 - 1, 64 - 1) = "1", OFFSET($A$1, 879 - 1, 65 - 1) = "1" ), 1, IF( AND( OFFSET($A$1, 879 - 1, 64 - 1) = "1", OFFSET($A$1, 879 - 1, 65 - 1) = "0" ), 2, IF( AND( OFFSET($A$1, 879 - 1, 64 - 1) = "0", OFFSET($A$1, 879 - 1, 65 - 1) = "1" ), 3, 4 ) ) )</f>
        <v>4</v>
      </c>
    </row>
    <row r="880" spans="58:66" x14ac:dyDescent="0.2">
      <c r="BF880" s="3">
        <v>0.08</v>
      </c>
      <c r="BG880" s="3" t="str">
        <f>"0"</f>
        <v>0</v>
      </c>
      <c r="BH880" t="str">
        <f ca="1">IF((OFFSET($A$1, 880 - 1, 58 - 1)) &gt;= (OFFSET($A$1, 96 - 1, 7 - 1)), "1","0")</f>
        <v>0</v>
      </c>
      <c r="BI880">
        <f ca="1" xml:space="preserve"> IF( AND( OFFSET($A$1, 880 - 1, 59 - 1) = "1", OFFSET($A$1, 880 - 1, 60 - 1) = "1" ), 1, IF( AND( OFFSET($A$1, 880 - 1, 59 - 1) = "1", OFFSET($A$1, 880 - 1, 60 - 1) = "0" ), 2, IF( AND( OFFSET($A$1, 880 - 1, 59 - 1) = "0", OFFSET($A$1, 880 - 1, 60 - 1) = "1" ), 3, 4 ) ) )</f>
        <v>4</v>
      </c>
      <c r="BK880" s="3">
        <v>6.6350710900473939E-2</v>
      </c>
      <c r="BL880" s="3" t="str">
        <f>"0"</f>
        <v>0</v>
      </c>
      <c r="BM880" t="str">
        <f ca="1">IF((OFFSET($A$1, 880 - 1, 63 - 1)) &gt;= (OFFSET($A$1, 135 - 1, 7 - 1)), "1","0")</f>
        <v>0</v>
      </c>
      <c r="BN880">
        <f ca="1" xml:space="preserve"> IF( AND( OFFSET($A$1, 880 - 1, 64 - 1) = "1", OFFSET($A$1, 880 - 1, 65 - 1) = "1" ), 1, IF( AND( OFFSET($A$1, 880 - 1, 64 - 1) = "1", OFFSET($A$1, 880 - 1, 65 - 1) = "0" ), 2, IF( AND( OFFSET($A$1, 880 - 1, 64 - 1) = "0", OFFSET($A$1, 880 - 1, 65 - 1) = "1" ), 3, 4 ) ) )</f>
        <v>4</v>
      </c>
    </row>
    <row r="881" spans="58:66" x14ac:dyDescent="0.2">
      <c r="BF881" s="3">
        <v>0</v>
      </c>
      <c r="BG881" s="3" t="str">
        <f>"0"</f>
        <v>0</v>
      </c>
      <c r="BH881" t="str">
        <f ca="1">IF((OFFSET($A$1, 881 - 1, 58 - 1)) &gt;= (OFFSET($A$1, 96 - 1, 7 - 1)), "1","0")</f>
        <v>0</v>
      </c>
      <c r="BI881">
        <f ca="1" xml:space="preserve"> IF( AND( OFFSET($A$1, 881 - 1, 59 - 1) = "1", OFFSET($A$1, 881 - 1, 60 - 1) = "1" ), 1, IF( AND( OFFSET($A$1, 881 - 1, 59 - 1) = "1", OFFSET($A$1, 881 - 1, 60 - 1) = "0" ), 2, IF( AND( OFFSET($A$1, 881 - 1, 59 - 1) = "0", OFFSET($A$1, 881 - 1, 60 - 1) = "1" ), 3, 4 ) ) )</f>
        <v>4</v>
      </c>
      <c r="BK881" s="3">
        <v>6.6350710900473939E-2</v>
      </c>
      <c r="BL881" s="3" t="str">
        <f>"0"</f>
        <v>0</v>
      </c>
      <c r="BM881" t="str">
        <f ca="1">IF((OFFSET($A$1, 881 - 1, 63 - 1)) &gt;= (OFFSET($A$1, 135 - 1, 7 - 1)), "1","0")</f>
        <v>0</v>
      </c>
      <c r="BN881">
        <f ca="1" xml:space="preserve"> IF( AND( OFFSET($A$1, 881 - 1, 64 - 1) = "1", OFFSET($A$1, 881 - 1, 65 - 1) = "1" ), 1, IF( AND( OFFSET($A$1, 881 - 1, 64 - 1) = "1", OFFSET($A$1, 881 - 1, 65 - 1) = "0" ), 2, IF( AND( OFFSET($A$1, 881 - 1, 64 - 1) = "0", OFFSET($A$1, 881 - 1, 65 - 1) = "1" ), 3, 4 ) ) )</f>
        <v>4</v>
      </c>
    </row>
    <row r="882" spans="58:66" x14ac:dyDescent="0.2">
      <c r="BF882" s="3">
        <v>0.90579710144927539</v>
      </c>
      <c r="BG882" s="3" t="str">
        <f>"1"</f>
        <v>1</v>
      </c>
      <c r="BH882" t="str">
        <f ca="1">IF((OFFSET($A$1, 882 - 1, 58 - 1)) &gt;= (OFFSET($A$1, 96 - 1, 7 - 1)), "1","0")</f>
        <v>1</v>
      </c>
      <c r="BI882">
        <f ca="1" xml:space="preserve"> IF( AND( OFFSET($A$1, 882 - 1, 59 - 1) = "1", OFFSET($A$1, 882 - 1, 60 - 1) = "1" ), 1, IF( AND( OFFSET($A$1, 882 - 1, 59 - 1) = "1", OFFSET($A$1, 882 - 1, 60 - 1) = "0" ), 2, IF( AND( OFFSET($A$1, 882 - 1, 59 - 1) = "0", OFFSET($A$1, 882 - 1, 60 - 1) = "1" ), 3, 4 ) ) )</f>
        <v>1</v>
      </c>
      <c r="BK882" s="3">
        <v>0.90579710144927539</v>
      </c>
      <c r="BL882" s="3" t="str">
        <f>"1"</f>
        <v>1</v>
      </c>
      <c r="BM882" t="str">
        <f ca="1">IF((OFFSET($A$1, 882 - 1, 63 - 1)) &gt;= (OFFSET($A$1, 135 - 1, 7 - 1)), "1","0")</f>
        <v>1</v>
      </c>
      <c r="BN882">
        <f ca="1" xml:space="preserve"> IF( AND( OFFSET($A$1, 882 - 1, 64 - 1) = "1", OFFSET($A$1, 882 - 1, 65 - 1) = "1" ), 1, IF( AND( OFFSET($A$1, 882 - 1, 64 - 1) = "1", OFFSET($A$1, 882 - 1, 65 - 1) = "0" ), 2, IF( AND( OFFSET($A$1, 882 - 1, 64 - 1) = "0", OFFSET($A$1, 882 - 1, 65 - 1) = "1" ), 3, 4 ) ) )</f>
        <v>1</v>
      </c>
    </row>
    <row r="883" spans="58:66" x14ac:dyDescent="0.2">
      <c r="BF883" s="3">
        <v>0.08</v>
      </c>
      <c r="BG883" s="3" t="str">
        <f>"0"</f>
        <v>0</v>
      </c>
      <c r="BH883" t="str">
        <f ca="1">IF((OFFSET($A$1, 883 - 1, 58 - 1)) &gt;= (OFFSET($A$1, 96 - 1, 7 - 1)), "1","0")</f>
        <v>0</v>
      </c>
      <c r="BI883">
        <f ca="1" xml:space="preserve"> IF( AND( OFFSET($A$1, 883 - 1, 59 - 1) = "1", OFFSET($A$1, 883 - 1, 60 - 1) = "1" ), 1, IF( AND( OFFSET($A$1, 883 - 1, 59 - 1) = "1", OFFSET($A$1, 883 - 1, 60 - 1) = "0" ), 2, IF( AND( OFFSET($A$1, 883 - 1, 59 - 1) = "0", OFFSET($A$1, 883 - 1, 60 - 1) = "1" ), 3, 4 ) ) )</f>
        <v>4</v>
      </c>
      <c r="BK883" s="3">
        <v>0.90579710144927539</v>
      </c>
      <c r="BL883" s="3" t="str">
        <f>"1"</f>
        <v>1</v>
      </c>
      <c r="BM883" t="str">
        <f ca="1">IF((OFFSET($A$1, 883 - 1, 63 - 1)) &gt;= (OFFSET($A$1, 135 - 1, 7 - 1)), "1","0")</f>
        <v>1</v>
      </c>
      <c r="BN883">
        <f ca="1" xml:space="preserve"> IF( AND( OFFSET($A$1, 883 - 1, 64 - 1) = "1", OFFSET($A$1, 883 - 1, 65 - 1) = "1" ), 1, IF( AND( OFFSET($A$1, 883 - 1, 64 - 1) = "1", OFFSET($A$1, 883 - 1, 65 - 1) = "0" ), 2, IF( AND( OFFSET($A$1, 883 - 1, 64 - 1) = "0", OFFSET($A$1, 883 - 1, 65 - 1) = "1" ), 3, 4 ) ) )</f>
        <v>1</v>
      </c>
    </row>
    <row r="884" spans="58:66" x14ac:dyDescent="0.2">
      <c r="BF884" s="3">
        <v>0.34722222222222221</v>
      </c>
      <c r="BG884" s="3" t="str">
        <f>"1"</f>
        <v>1</v>
      </c>
      <c r="BH884" t="str">
        <f ca="1">IF((OFFSET($A$1, 884 - 1, 58 - 1)) &gt;= (OFFSET($A$1, 96 - 1, 7 - 1)), "1","0")</f>
        <v>0</v>
      </c>
      <c r="BI884">
        <f ca="1" xml:space="preserve"> IF( AND( OFFSET($A$1, 884 - 1, 59 - 1) = "1", OFFSET($A$1, 884 - 1, 60 - 1) = "1" ), 1, IF( AND( OFFSET($A$1, 884 - 1, 59 - 1) = "1", OFFSET($A$1, 884 - 1, 60 - 1) = "0" ), 2, IF( AND( OFFSET($A$1, 884 - 1, 59 - 1) = "0", OFFSET($A$1, 884 - 1, 60 - 1) = "1" ), 3, 4 ) ) )</f>
        <v>2</v>
      </c>
      <c r="BK884" s="3">
        <v>6.6350710900473939E-2</v>
      </c>
      <c r="BL884" s="3" t="str">
        <f t="shared" ref="BL884:BL894" si="100">"0"</f>
        <v>0</v>
      </c>
      <c r="BM884" t="str">
        <f ca="1">IF((OFFSET($A$1, 884 - 1, 63 - 1)) &gt;= (OFFSET($A$1, 135 - 1, 7 - 1)), "1","0")</f>
        <v>0</v>
      </c>
      <c r="BN884">
        <f ca="1" xml:space="preserve"> IF( AND( OFFSET($A$1, 884 - 1, 64 - 1) = "1", OFFSET($A$1, 884 - 1, 65 - 1) = "1" ), 1, IF( AND( OFFSET($A$1, 884 - 1, 64 - 1) = "1", OFFSET($A$1, 884 - 1, 65 - 1) = "0" ), 2, IF( AND( OFFSET($A$1, 884 - 1, 64 - 1) = "0", OFFSET($A$1, 884 - 1, 65 - 1) = "1" ), 3, 4 ) ) )</f>
        <v>4</v>
      </c>
    </row>
    <row r="885" spans="58:66" x14ac:dyDescent="0.2">
      <c r="BF885" s="3">
        <v>0</v>
      </c>
      <c r="BG885" s="3" t="str">
        <f t="shared" ref="BG885:BG894" si="101">"0"</f>
        <v>0</v>
      </c>
      <c r="BH885" t="str">
        <f ca="1">IF((OFFSET($A$1, 885 - 1, 58 - 1)) &gt;= (OFFSET($A$1, 96 - 1, 7 - 1)), "1","0")</f>
        <v>0</v>
      </c>
      <c r="BI885">
        <f ca="1" xml:space="preserve"> IF( AND( OFFSET($A$1, 885 - 1, 59 - 1) = "1", OFFSET($A$1, 885 - 1, 60 - 1) = "1" ), 1, IF( AND( OFFSET($A$1, 885 - 1, 59 - 1) = "1", OFFSET($A$1, 885 - 1, 60 - 1) = "0" ), 2, IF( AND( OFFSET($A$1, 885 - 1, 59 - 1) = "0", OFFSET($A$1, 885 - 1, 60 - 1) = "1" ), 3, 4 ) ) )</f>
        <v>4</v>
      </c>
      <c r="BK885" s="3">
        <v>6.6350710900473939E-2</v>
      </c>
      <c r="BL885" s="3" t="str">
        <f t="shared" si="100"/>
        <v>0</v>
      </c>
      <c r="BM885" t="str">
        <f ca="1">IF((OFFSET($A$1, 885 - 1, 63 - 1)) &gt;= (OFFSET($A$1, 135 - 1, 7 - 1)), "1","0")</f>
        <v>0</v>
      </c>
      <c r="BN885">
        <f ca="1" xml:space="preserve"> IF( AND( OFFSET($A$1, 885 - 1, 64 - 1) = "1", OFFSET($A$1, 885 - 1, 65 - 1) = "1" ), 1, IF( AND( OFFSET($A$1, 885 - 1, 64 - 1) = "1", OFFSET($A$1, 885 - 1, 65 - 1) = "0" ), 2, IF( AND( OFFSET($A$1, 885 - 1, 64 - 1) = "0", OFFSET($A$1, 885 - 1, 65 - 1) = "1" ), 3, 4 ) ) )</f>
        <v>4</v>
      </c>
    </row>
    <row r="886" spans="58:66" x14ac:dyDescent="0.2">
      <c r="BF886" s="3">
        <v>0</v>
      </c>
      <c r="BG886" s="3" t="str">
        <f t="shared" si="101"/>
        <v>0</v>
      </c>
      <c r="BH886" t="str">
        <f ca="1">IF((OFFSET($A$1, 886 - 1, 58 - 1)) &gt;= (OFFSET($A$1, 96 - 1, 7 - 1)), "1","0")</f>
        <v>0</v>
      </c>
      <c r="BI886">
        <f ca="1" xml:space="preserve"> IF( AND( OFFSET($A$1, 886 - 1, 59 - 1) = "1", OFFSET($A$1, 886 - 1, 60 - 1) = "1" ), 1, IF( AND( OFFSET($A$1, 886 - 1, 59 - 1) = "1", OFFSET($A$1, 886 - 1, 60 - 1) = "0" ), 2, IF( AND( OFFSET($A$1, 886 - 1, 59 - 1) = "0", OFFSET($A$1, 886 - 1, 60 - 1) = "1" ), 3, 4 ) ) )</f>
        <v>4</v>
      </c>
      <c r="BK886" s="3">
        <v>6.6350710900473939E-2</v>
      </c>
      <c r="BL886" s="3" t="str">
        <f t="shared" si="100"/>
        <v>0</v>
      </c>
      <c r="BM886" t="str">
        <f ca="1">IF((OFFSET($A$1, 886 - 1, 63 - 1)) &gt;= (OFFSET($A$1, 135 - 1, 7 - 1)), "1","0")</f>
        <v>0</v>
      </c>
      <c r="BN886">
        <f ca="1" xml:space="preserve"> IF( AND( OFFSET($A$1, 886 - 1, 64 - 1) = "1", OFFSET($A$1, 886 - 1, 65 - 1) = "1" ), 1, IF( AND( OFFSET($A$1, 886 - 1, 64 - 1) = "1", OFFSET($A$1, 886 - 1, 65 - 1) = "0" ), 2, IF( AND( OFFSET($A$1, 886 - 1, 64 - 1) = "0", OFFSET($A$1, 886 - 1, 65 - 1) = "1" ), 3, 4 ) ) )</f>
        <v>4</v>
      </c>
    </row>
    <row r="887" spans="58:66" x14ac:dyDescent="0.2">
      <c r="BF887" s="3">
        <v>0.36</v>
      </c>
      <c r="BG887" s="3" t="str">
        <f t="shared" si="101"/>
        <v>0</v>
      </c>
      <c r="BH887" t="str">
        <f ca="1">IF((OFFSET($A$1, 887 - 1, 58 - 1)) &gt;= (OFFSET($A$1, 96 - 1, 7 - 1)), "1","0")</f>
        <v>0</v>
      </c>
      <c r="BI887">
        <f ca="1" xml:space="preserve"> IF( AND( OFFSET($A$1, 887 - 1, 59 - 1) = "1", OFFSET($A$1, 887 - 1, 60 - 1) = "1" ), 1, IF( AND( OFFSET($A$1, 887 - 1, 59 - 1) = "1", OFFSET($A$1, 887 - 1, 60 - 1) = "0" ), 2, IF( AND( OFFSET($A$1, 887 - 1, 59 - 1) = "0", OFFSET($A$1, 887 - 1, 60 - 1) = "1" ), 3, 4 ) ) )</f>
        <v>4</v>
      </c>
      <c r="BK887" s="3">
        <v>6.6350710900473939E-2</v>
      </c>
      <c r="BL887" s="3" t="str">
        <f t="shared" si="100"/>
        <v>0</v>
      </c>
      <c r="BM887" t="str">
        <f ca="1">IF((OFFSET($A$1, 887 - 1, 63 - 1)) &gt;= (OFFSET($A$1, 135 - 1, 7 - 1)), "1","0")</f>
        <v>0</v>
      </c>
      <c r="BN887">
        <f ca="1" xml:space="preserve"> IF( AND( OFFSET($A$1, 887 - 1, 64 - 1) = "1", OFFSET($A$1, 887 - 1, 65 - 1) = "1" ), 1, IF( AND( OFFSET($A$1, 887 - 1, 64 - 1) = "1", OFFSET($A$1, 887 - 1, 65 - 1) = "0" ), 2, IF( AND( OFFSET($A$1, 887 - 1, 64 - 1) = "0", OFFSET($A$1, 887 - 1, 65 - 1) = "1" ), 3, 4 ) ) )</f>
        <v>4</v>
      </c>
    </row>
    <row r="888" spans="58:66" x14ac:dyDescent="0.2">
      <c r="BF888" s="3">
        <v>0</v>
      </c>
      <c r="BG888" s="3" t="str">
        <f t="shared" si="101"/>
        <v>0</v>
      </c>
      <c r="BH888" t="str">
        <f ca="1">IF((OFFSET($A$1, 888 - 1, 58 - 1)) &gt;= (OFFSET($A$1, 96 - 1, 7 - 1)), "1","0")</f>
        <v>0</v>
      </c>
      <c r="BI888">
        <f ca="1" xml:space="preserve"> IF( AND( OFFSET($A$1, 888 - 1, 59 - 1) = "1", OFFSET($A$1, 888 - 1, 60 - 1) = "1" ), 1, IF( AND( OFFSET($A$1, 888 - 1, 59 - 1) = "1", OFFSET($A$1, 888 - 1, 60 - 1) = "0" ), 2, IF( AND( OFFSET($A$1, 888 - 1, 59 - 1) = "0", OFFSET($A$1, 888 - 1, 60 - 1) = "1" ), 3, 4 ) ) )</f>
        <v>4</v>
      </c>
      <c r="BK888" s="3">
        <v>0.36</v>
      </c>
      <c r="BL888" s="3" t="str">
        <f t="shared" si="100"/>
        <v>0</v>
      </c>
      <c r="BM888" t="str">
        <f ca="1">IF((OFFSET($A$1, 888 - 1, 63 - 1)) &gt;= (OFFSET($A$1, 135 - 1, 7 - 1)), "1","0")</f>
        <v>0</v>
      </c>
      <c r="BN888">
        <f ca="1" xml:space="preserve"> IF( AND( OFFSET($A$1, 888 - 1, 64 - 1) = "1", OFFSET($A$1, 888 - 1, 65 - 1) = "1" ), 1, IF( AND( OFFSET($A$1, 888 - 1, 64 - 1) = "1", OFFSET($A$1, 888 - 1, 65 - 1) = "0" ), 2, IF( AND( OFFSET($A$1, 888 - 1, 64 - 1) = "0", OFFSET($A$1, 888 - 1, 65 - 1) = "1" ), 3, 4 ) ) )</f>
        <v>4</v>
      </c>
    </row>
    <row r="889" spans="58:66" x14ac:dyDescent="0.2">
      <c r="BF889" s="3">
        <v>3.7037037037037042E-2</v>
      </c>
      <c r="BG889" s="3" t="str">
        <f t="shared" si="101"/>
        <v>0</v>
      </c>
      <c r="BH889" t="str">
        <f ca="1">IF((OFFSET($A$1, 889 - 1, 58 - 1)) &gt;= (OFFSET($A$1, 96 - 1, 7 - 1)), "1","0")</f>
        <v>0</v>
      </c>
      <c r="BI889">
        <f ca="1" xml:space="preserve"> IF( AND( OFFSET($A$1, 889 - 1, 59 - 1) = "1", OFFSET($A$1, 889 - 1, 60 - 1) = "1" ), 1, IF( AND( OFFSET($A$1, 889 - 1, 59 - 1) = "1", OFFSET($A$1, 889 - 1, 60 - 1) = "0" ), 2, IF( AND( OFFSET($A$1, 889 - 1, 59 - 1) = "0", OFFSET($A$1, 889 - 1, 60 - 1) = "1" ), 3, 4 ) ) )</f>
        <v>4</v>
      </c>
      <c r="BK889" s="3">
        <v>2.5316455696202531E-2</v>
      </c>
      <c r="BL889" s="3" t="str">
        <f t="shared" si="100"/>
        <v>0</v>
      </c>
      <c r="BM889" t="str">
        <f ca="1">IF((OFFSET($A$1, 889 - 1, 63 - 1)) &gt;= (OFFSET($A$1, 135 - 1, 7 - 1)), "1","0")</f>
        <v>0</v>
      </c>
      <c r="BN889">
        <f ca="1" xml:space="preserve"> IF( AND( OFFSET($A$1, 889 - 1, 64 - 1) = "1", OFFSET($A$1, 889 - 1, 65 - 1) = "1" ), 1, IF( AND( OFFSET($A$1, 889 - 1, 64 - 1) = "1", OFFSET($A$1, 889 - 1, 65 - 1) = "0" ), 2, IF( AND( OFFSET($A$1, 889 - 1, 64 - 1) = "0", OFFSET($A$1, 889 - 1, 65 - 1) = "1" ), 3, 4 ) ) )</f>
        <v>4</v>
      </c>
    </row>
    <row r="890" spans="58:66" x14ac:dyDescent="0.2">
      <c r="BF890" s="3">
        <v>3.7037037037037042E-2</v>
      </c>
      <c r="BG890" s="3" t="str">
        <f t="shared" si="101"/>
        <v>0</v>
      </c>
      <c r="BH890" t="str">
        <f ca="1">IF((OFFSET($A$1, 890 - 1, 58 - 1)) &gt;= (OFFSET($A$1, 96 - 1, 7 - 1)), "1","0")</f>
        <v>0</v>
      </c>
      <c r="BI890">
        <f ca="1" xml:space="preserve"> IF( AND( OFFSET($A$1, 890 - 1, 59 - 1) = "1", OFFSET($A$1, 890 - 1, 60 - 1) = "1" ), 1, IF( AND( OFFSET($A$1, 890 - 1, 59 - 1) = "1", OFFSET($A$1, 890 - 1, 60 - 1) = "0" ), 2, IF( AND( OFFSET($A$1, 890 - 1, 59 - 1) = "0", OFFSET($A$1, 890 - 1, 60 - 1) = "1" ), 3, 4 ) ) )</f>
        <v>4</v>
      </c>
      <c r="BK890" s="3">
        <v>6.6350710900473939E-2</v>
      </c>
      <c r="BL890" s="3" t="str">
        <f t="shared" si="100"/>
        <v>0</v>
      </c>
      <c r="BM890" t="str">
        <f ca="1">IF((OFFSET($A$1, 890 - 1, 63 - 1)) &gt;= (OFFSET($A$1, 135 - 1, 7 - 1)), "1","0")</f>
        <v>0</v>
      </c>
      <c r="BN890">
        <f ca="1" xml:space="preserve"> IF( AND( OFFSET($A$1, 890 - 1, 64 - 1) = "1", OFFSET($A$1, 890 - 1, 65 - 1) = "1" ), 1, IF( AND( OFFSET($A$1, 890 - 1, 64 - 1) = "1", OFFSET($A$1, 890 - 1, 65 - 1) = "0" ), 2, IF( AND( OFFSET($A$1, 890 - 1, 64 - 1) = "0", OFFSET($A$1, 890 - 1, 65 - 1) = "1" ), 3, 4 ) ) )</f>
        <v>4</v>
      </c>
    </row>
    <row r="891" spans="58:66" x14ac:dyDescent="0.2">
      <c r="BF891" s="3">
        <v>0.47692307692307689</v>
      </c>
      <c r="BG891" s="3" t="str">
        <f t="shared" si="101"/>
        <v>0</v>
      </c>
      <c r="BH891" t="str">
        <f ca="1">IF((OFFSET($A$1, 891 - 1, 58 - 1)) &gt;= (OFFSET($A$1, 96 - 1, 7 - 1)), "1","0")</f>
        <v>0</v>
      </c>
      <c r="BI891">
        <f ca="1" xml:space="preserve"> IF( AND( OFFSET($A$1, 891 - 1, 59 - 1) = "1", OFFSET($A$1, 891 - 1, 60 - 1) = "1" ), 1, IF( AND( OFFSET($A$1, 891 - 1, 59 - 1) = "1", OFFSET($A$1, 891 - 1, 60 - 1) = "0" ), 2, IF( AND( OFFSET($A$1, 891 - 1, 59 - 1) = "0", OFFSET($A$1, 891 - 1, 60 - 1) = "1" ), 3, 4 ) ) )</f>
        <v>4</v>
      </c>
      <c r="BK891" s="3">
        <v>6.6350710900473939E-2</v>
      </c>
      <c r="BL891" s="3" t="str">
        <f t="shared" si="100"/>
        <v>0</v>
      </c>
      <c r="BM891" t="str">
        <f ca="1">IF((OFFSET($A$1, 891 - 1, 63 - 1)) &gt;= (OFFSET($A$1, 135 - 1, 7 - 1)), "1","0")</f>
        <v>0</v>
      </c>
      <c r="BN891">
        <f ca="1" xml:space="preserve"> IF( AND( OFFSET($A$1, 891 - 1, 64 - 1) = "1", OFFSET($A$1, 891 - 1, 65 - 1) = "1" ), 1, IF( AND( OFFSET($A$1, 891 - 1, 64 - 1) = "1", OFFSET($A$1, 891 - 1, 65 - 1) = "0" ), 2, IF( AND( OFFSET($A$1, 891 - 1, 64 - 1) = "0", OFFSET($A$1, 891 - 1, 65 - 1) = "1" ), 3, 4 ) ) )</f>
        <v>4</v>
      </c>
    </row>
    <row r="892" spans="58:66" x14ac:dyDescent="0.2">
      <c r="BF892" s="3">
        <v>0</v>
      </c>
      <c r="BG892" s="3" t="str">
        <f t="shared" si="101"/>
        <v>0</v>
      </c>
      <c r="BH892" t="str">
        <f ca="1">IF((OFFSET($A$1, 892 - 1, 58 - 1)) &gt;= (OFFSET($A$1, 96 - 1, 7 - 1)), "1","0")</f>
        <v>0</v>
      </c>
      <c r="BI892">
        <f ca="1" xml:space="preserve"> IF( AND( OFFSET($A$1, 892 - 1, 59 - 1) = "1", OFFSET($A$1, 892 - 1, 60 - 1) = "1" ), 1, IF( AND( OFFSET($A$1, 892 - 1, 59 - 1) = "1", OFFSET($A$1, 892 - 1, 60 - 1) = "0" ), 2, IF( AND( OFFSET($A$1, 892 - 1, 59 - 1) = "0", OFFSET($A$1, 892 - 1, 60 - 1) = "1" ), 3, 4 ) ) )</f>
        <v>4</v>
      </c>
      <c r="BK892" s="3">
        <v>6.6350710900473939E-2</v>
      </c>
      <c r="BL892" s="3" t="str">
        <f t="shared" si="100"/>
        <v>0</v>
      </c>
      <c r="BM892" t="str">
        <f ca="1">IF((OFFSET($A$1, 892 - 1, 63 - 1)) &gt;= (OFFSET($A$1, 135 - 1, 7 - 1)), "1","0")</f>
        <v>0</v>
      </c>
      <c r="BN892">
        <f ca="1" xml:space="preserve"> IF( AND( OFFSET($A$1, 892 - 1, 64 - 1) = "1", OFFSET($A$1, 892 - 1, 65 - 1) = "1" ), 1, IF( AND( OFFSET($A$1, 892 - 1, 64 - 1) = "1", OFFSET($A$1, 892 - 1, 65 - 1) = "0" ), 2, IF( AND( OFFSET($A$1, 892 - 1, 64 - 1) = "0", OFFSET($A$1, 892 - 1, 65 - 1) = "1" ), 3, 4 ) ) )</f>
        <v>4</v>
      </c>
    </row>
    <row r="893" spans="58:66" x14ac:dyDescent="0.2">
      <c r="BF893" s="3">
        <v>0</v>
      </c>
      <c r="BG893" s="3" t="str">
        <f t="shared" si="101"/>
        <v>0</v>
      </c>
      <c r="BH893" t="str">
        <f ca="1">IF((OFFSET($A$1, 893 - 1, 58 - 1)) &gt;= (OFFSET($A$1, 96 - 1, 7 - 1)), "1","0")</f>
        <v>0</v>
      </c>
      <c r="BI893">
        <f ca="1" xml:space="preserve"> IF( AND( OFFSET($A$1, 893 - 1, 59 - 1) = "1", OFFSET($A$1, 893 - 1, 60 - 1) = "1" ), 1, IF( AND( OFFSET($A$1, 893 - 1, 59 - 1) = "1", OFFSET($A$1, 893 - 1, 60 - 1) = "0" ), 2, IF( AND( OFFSET($A$1, 893 - 1, 59 - 1) = "0", OFFSET($A$1, 893 - 1, 60 - 1) = "1" ), 3, 4 ) ) )</f>
        <v>4</v>
      </c>
      <c r="BK893" s="3">
        <v>6.6350710900473939E-2</v>
      </c>
      <c r="BL893" s="3" t="str">
        <f t="shared" si="100"/>
        <v>0</v>
      </c>
      <c r="BM893" t="str">
        <f ca="1">IF((OFFSET($A$1, 893 - 1, 63 - 1)) &gt;= (OFFSET($A$1, 135 - 1, 7 - 1)), "1","0")</f>
        <v>0</v>
      </c>
      <c r="BN893">
        <f ca="1" xml:space="preserve"> IF( AND( OFFSET($A$1, 893 - 1, 64 - 1) = "1", OFFSET($A$1, 893 - 1, 65 - 1) = "1" ), 1, IF( AND( OFFSET($A$1, 893 - 1, 64 - 1) = "1", OFFSET($A$1, 893 - 1, 65 - 1) = "0" ), 2, IF( AND( OFFSET($A$1, 893 - 1, 64 - 1) = "0", OFFSET($A$1, 893 - 1, 65 - 1) = "1" ), 3, 4 ) ) )</f>
        <v>4</v>
      </c>
    </row>
    <row r="894" spans="58:66" x14ac:dyDescent="0.2">
      <c r="BF894" s="3">
        <v>0</v>
      </c>
      <c r="BG894" s="3" t="str">
        <f t="shared" si="101"/>
        <v>0</v>
      </c>
      <c r="BH894" t="str">
        <f ca="1">IF((OFFSET($A$1, 894 - 1, 58 - 1)) &gt;= (OFFSET($A$1, 96 - 1, 7 - 1)), "1","0")</f>
        <v>0</v>
      </c>
      <c r="BI894">
        <f ca="1" xml:space="preserve"> IF( AND( OFFSET($A$1, 894 - 1, 59 - 1) = "1", OFFSET($A$1, 894 - 1, 60 - 1) = "1" ), 1, IF( AND( OFFSET($A$1, 894 - 1, 59 - 1) = "1", OFFSET($A$1, 894 - 1, 60 - 1) = "0" ), 2, IF( AND( OFFSET($A$1, 894 - 1, 59 - 1) = "0", OFFSET($A$1, 894 - 1, 60 - 1) = "1" ), 3, 4 ) ) )</f>
        <v>4</v>
      </c>
      <c r="BK894" s="3">
        <v>6.6350710900473939E-2</v>
      </c>
      <c r="BL894" s="3" t="str">
        <f t="shared" si="100"/>
        <v>0</v>
      </c>
      <c r="BM894" t="str">
        <f ca="1">IF((OFFSET($A$1, 894 - 1, 63 - 1)) &gt;= (OFFSET($A$1, 135 - 1, 7 - 1)), "1","0")</f>
        <v>0</v>
      </c>
      <c r="BN894">
        <f ca="1" xml:space="preserve"> IF( AND( OFFSET($A$1, 894 - 1, 64 - 1) = "1", OFFSET($A$1, 894 - 1, 65 - 1) = "1" ), 1, IF( AND( OFFSET($A$1, 894 - 1, 64 - 1) = "1", OFFSET($A$1, 894 - 1, 65 - 1) = "0" ), 2, IF( AND( OFFSET($A$1, 894 - 1, 64 - 1) = "0", OFFSET($A$1, 894 - 1, 65 - 1) = "1" ), 3, 4 ) ) )</f>
        <v>4</v>
      </c>
    </row>
    <row r="895" spans="58:66" x14ac:dyDescent="0.2">
      <c r="BF895" s="3">
        <v>0.90579710144927539</v>
      </c>
      <c r="BG895" s="3" t="str">
        <f>"1"</f>
        <v>1</v>
      </c>
      <c r="BH895" t="str">
        <f ca="1">IF((OFFSET($A$1, 895 - 1, 58 - 1)) &gt;= (OFFSET($A$1, 96 - 1, 7 - 1)), "1","0")</f>
        <v>1</v>
      </c>
      <c r="BI895">
        <f ca="1" xml:space="preserve"> IF( AND( OFFSET($A$1, 895 - 1, 59 - 1) = "1", OFFSET($A$1, 895 - 1, 60 - 1) = "1" ), 1, IF( AND( OFFSET($A$1, 895 - 1, 59 - 1) = "1", OFFSET($A$1, 895 - 1, 60 - 1) = "0" ), 2, IF( AND( OFFSET($A$1, 895 - 1, 59 - 1) = "0", OFFSET($A$1, 895 - 1, 60 - 1) = "1" ), 3, 4 ) ) )</f>
        <v>1</v>
      </c>
      <c r="BK895" s="3">
        <v>6.6350710900473939E-2</v>
      </c>
      <c r="BL895" s="3" t="str">
        <f>"1"</f>
        <v>1</v>
      </c>
      <c r="BM895" t="str">
        <f ca="1">IF((OFFSET($A$1, 895 - 1, 63 - 1)) &gt;= (OFFSET($A$1, 135 - 1, 7 - 1)), "1","0")</f>
        <v>0</v>
      </c>
      <c r="BN895">
        <f ca="1" xml:space="preserve"> IF( AND( OFFSET($A$1, 895 - 1, 64 - 1) = "1", OFFSET($A$1, 895 - 1, 65 - 1) = "1" ), 1, IF( AND( OFFSET($A$1, 895 - 1, 64 - 1) = "1", OFFSET($A$1, 895 - 1, 65 - 1) = "0" ), 2, IF( AND( OFFSET($A$1, 895 - 1, 64 - 1) = "0", OFFSET($A$1, 895 - 1, 65 - 1) = "1" ), 3, 4 ) ) )</f>
        <v>2</v>
      </c>
    </row>
    <row r="896" spans="58:66" x14ac:dyDescent="0.2">
      <c r="BF896" s="3">
        <v>0</v>
      </c>
      <c r="BG896" s="3" t="str">
        <f t="shared" ref="BG896:BG904" si="102">"0"</f>
        <v>0</v>
      </c>
      <c r="BH896" t="str">
        <f ca="1">IF((OFFSET($A$1, 896 - 1, 58 - 1)) &gt;= (OFFSET($A$1, 96 - 1, 7 - 1)), "1","0")</f>
        <v>0</v>
      </c>
      <c r="BI896">
        <f ca="1" xml:space="preserve"> IF( AND( OFFSET($A$1, 896 - 1, 59 - 1) = "1", OFFSET($A$1, 896 - 1, 60 - 1) = "1" ), 1, IF( AND( OFFSET($A$1, 896 - 1, 59 - 1) = "1", OFFSET($A$1, 896 - 1, 60 - 1) = "0" ), 2, IF( AND( OFFSET($A$1, 896 - 1, 59 - 1) = "0", OFFSET($A$1, 896 - 1, 60 - 1) = "1" ), 3, 4 ) ) )</f>
        <v>4</v>
      </c>
      <c r="BK896" s="3">
        <v>2.5316455696202531E-2</v>
      </c>
      <c r="BL896" s="3" t="str">
        <f>"0"</f>
        <v>0</v>
      </c>
      <c r="BM896" t="str">
        <f ca="1">IF((OFFSET($A$1, 896 - 1, 63 - 1)) &gt;= (OFFSET($A$1, 135 - 1, 7 - 1)), "1","0")</f>
        <v>0</v>
      </c>
      <c r="BN896">
        <f ca="1" xml:space="preserve"> IF( AND( OFFSET($A$1, 896 - 1, 64 - 1) = "1", OFFSET($A$1, 896 - 1, 65 - 1) = "1" ), 1, IF( AND( OFFSET($A$1, 896 - 1, 64 - 1) = "1", OFFSET($A$1, 896 - 1, 65 - 1) = "0" ), 2, IF( AND( OFFSET($A$1, 896 - 1, 64 - 1) = "0", OFFSET($A$1, 896 - 1, 65 - 1) = "1" ), 3, 4 ) ) )</f>
        <v>4</v>
      </c>
    </row>
    <row r="897" spans="58:66" x14ac:dyDescent="0.2">
      <c r="BF897" s="3">
        <v>0</v>
      </c>
      <c r="BG897" s="3" t="str">
        <f t="shared" si="102"/>
        <v>0</v>
      </c>
      <c r="BH897" t="str">
        <f ca="1">IF((OFFSET($A$1, 897 - 1, 58 - 1)) &gt;= (OFFSET($A$1, 96 - 1, 7 - 1)), "1","0")</f>
        <v>0</v>
      </c>
      <c r="BI897">
        <f ca="1" xml:space="preserve"> IF( AND( OFFSET($A$1, 897 - 1, 59 - 1) = "1", OFFSET($A$1, 897 - 1, 60 - 1) = "1" ), 1, IF( AND( OFFSET($A$1, 897 - 1, 59 - 1) = "1", OFFSET($A$1, 897 - 1, 60 - 1) = "0" ), 2, IF( AND( OFFSET($A$1, 897 - 1, 59 - 1) = "0", OFFSET($A$1, 897 - 1, 60 - 1) = "1" ), 3, 4 ) ) )</f>
        <v>4</v>
      </c>
      <c r="BK897" s="3">
        <v>6.6350710900473939E-2</v>
      </c>
      <c r="BL897" s="3" t="str">
        <f>"0"</f>
        <v>0</v>
      </c>
      <c r="BM897" t="str">
        <f ca="1">IF((OFFSET($A$1, 897 - 1, 63 - 1)) &gt;= (OFFSET($A$1, 135 - 1, 7 - 1)), "1","0")</f>
        <v>0</v>
      </c>
      <c r="BN897">
        <f ca="1" xml:space="preserve"> IF( AND( OFFSET($A$1, 897 - 1, 64 - 1) = "1", OFFSET($A$1, 897 - 1, 65 - 1) = "1" ), 1, IF( AND( OFFSET($A$1, 897 - 1, 64 - 1) = "1", OFFSET($A$1, 897 - 1, 65 - 1) = "0" ), 2, IF( AND( OFFSET($A$1, 897 - 1, 64 - 1) = "0", OFFSET($A$1, 897 - 1, 65 - 1) = "1" ), 3, 4 ) ) )</f>
        <v>4</v>
      </c>
    </row>
    <row r="898" spans="58:66" x14ac:dyDescent="0.2">
      <c r="BF898" s="3">
        <v>0.34722222222222221</v>
      </c>
      <c r="BG898" s="3" t="str">
        <f t="shared" si="102"/>
        <v>0</v>
      </c>
      <c r="BH898" t="str">
        <f ca="1">IF((OFFSET($A$1, 898 - 1, 58 - 1)) &gt;= (OFFSET($A$1, 96 - 1, 7 - 1)), "1","0")</f>
        <v>0</v>
      </c>
      <c r="BI898">
        <f ca="1" xml:space="preserve"> IF( AND( OFFSET($A$1, 898 - 1, 59 - 1) = "1", OFFSET($A$1, 898 - 1, 60 - 1) = "1" ), 1, IF( AND( OFFSET($A$1, 898 - 1, 59 - 1) = "1", OFFSET($A$1, 898 - 1, 60 - 1) = "0" ), 2, IF( AND( OFFSET($A$1, 898 - 1, 59 - 1) = "0", OFFSET($A$1, 898 - 1, 60 - 1) = "1" ), 3, 4 ) ) )</f>
        <v>4</v>
      </c>
      <c r="BK898" s="3">
        <v>6.6350710900473939E-2</v>
      </c>
      <c r="BL898" s="3" t="str">
        <f>"0"</f>
        <v>0</v>
      </c>
      <c r="BM898" t="str">
        <f ca="1">IF((OFFSET($A$1, 898 - 1, 63 - 1)) &gt;= (OFFSET($A$1, 135 - 1, 7 - 1)), "1","0")</f>
        <v>0</v>
      </c>
      <c r="BN898">
        <f ca="1" xml:space="preserve"> IF( AND( OFFSET($A$1, 898 - 1, 64 - 1) = "1", OFFSET($A$1, 898 - 1, 65 - 1) = "1" ), 1, IF( AND( OFFSET($A$1, 898 - 1, 64 - 1) = "1", OFFSET($A$1, 898 - 1, 65 - 1) = "0" ), 2, IF( AND( OFFSET($A$1, 898 - 1, 64 - 1) = "0", OFFSET($A$1, 898 - 1, 65 - 1) = "1" ), 3, 4 ) ) )</f>
        <v>4</v>
      </c>
    </row>
    <row r="899" spans="58:66" x14ac:dyDescent="0.2">
      <c r="BF899" s="3">
        <v>0</v>
      </c>
      <c r="BG899" s="3" t="str">
        <f t="shared" si="102"/>
        <v>0</v>
      </c>
      <c r="BH899" t="str">
        <f ca="1">IF((OFFSET($A$1, 899 - 1, 58 - 1)) &gt;= (OFFSET($A$1, 96 - 1, 7 - 1)), "1","0")</f>
        <v>0</v>
      </c>
      <c r="BI899">
        <f ca="1" xml:space="preserve"> IF( AND( OFFSET($A$1, 899 - 1, 59 - 1) = "1", OFFSET($A$1, 899 - 1, 60 - 1) = "1" ), 1, IF( AND( OFFSET($A$1, 899 - 1, 59 - 1) = "1", OFFSET($A$1, 899 - 1, 60 - 1) = "0" ), 2, IF( AND( OFFSET($A$1, 899 - 1, 59 - 1) = "0", OFFSET($A$1, 899 - 1, 60 - 1) = "1" ), 3, 4 ) ) )</f>
        <v>4</v>
      </c>
      <c r="BK899" s="3">
        <v>6.6350710900473939E-2</v>
      </c>
      <c r="BL899" s="3" t="str">
        <f>"0"</f>
        <v>0</v>
      </c>
      <c r="BM899" t="str">
        <f ca="1">IF((OFFSET($A$1, 899 - 1, 63 - 1)) &gt;= (OFFSET($A$1, 135 - 1, 7 - 1)), "1","0")</f>
        <v>0</v>
      </c>
      <c r="BN899">
        <f ca="1" xml:space="preserve"> IF( AND( OFFSET($A$1, 899 - 1, 64 - 1) = "1", OFFSET($A$1, 899 - 1, 65 - 1) = "1" ), 1, IF( AND( OFFSET($A$1, 899 - 1, 64 - 1) = "1", OFFSET($A$1, 899 - 1, 65 - 1) = "0" ), 2, IF( AND( OFFSET($A$1, 899 - 1, 64 - 1) = "0", OFFSET($A$1, 899 - 1, 65 - 1) = "1" ), 3, 4 ) ) )</f>
        <v>4</v>
      </c>
    </row>
    <row r="900" spans="58:66" x14ac:dyDescent="0.2">
      <c r="BF900" s="3">
        <v>3.7037037037037042E-2</v>
      </c>
      <c r="BG900" s="3" t="str">
        <f t="shared" si="102"/>
        <v>0</v>
      </c>
      <c r="BH900" t="str">
        <f ca="1">IF((OFFSET($A$1, 900 - 1, 58 - 1)) &gt;= (OFFSET($A$1, 96 - 1, 7 - 1)), "1","0")</f>
        <v>0</v>
      </c>
      <c r="BI900">
        <f ca="1" xml:space="preserve"> IF( AND( OFFSET($A$1, 900 - 1, 59 - 1) = "1", OFFSET($A$1, 900 - 1, 60 - 1) = "1" ), 1, IF( AND( OFFSET($A$1, 900 - 1, 59 - 1) = "1", OFFSET($A$1, 900 - 1, 60 - 1) = "0" ), 2, IF( AND( OFFSET($A$1, 900 - 1, 59 - 1) = "0", OFFSET($A$1, 900 - 1, 60 - 1) = "1" ), 3, 4 ) ) )</f>
        <v>4</v>
      </c>
      <c r="BK900" s="3">
        <v>2.5316455696202531E-2</v>
      </c>
      <c r="BL900" s="3" t="str">
        <f>"0"</f>
        <v>0</v>
      </c>
      <c r="BM900" t="str">
        <f ca="1">IF((OFFSET($A$1, 900 - 1, 63 - 1)) &gt;= (OFFSET($A$1, 135 - 1, 7 - 1)), "1","0")</f>
        <v>0</v>
      </c>
      <c r="BN900">
        <f ca="1" xml:space="preserve"> IF( AND( OFFSET($A$1, 900 - 1, 64 - 1) = "1", OFFSET($A$1, 900 - 1, 65 - 1) = "1" ), 1, IF( AND( OFFSET($A$1, 900 - 1, 64 - 1) = "1", OFFSET($A$1, 900 - 1, 65 - 1) = "0" ), 2, IF( AND( OFFSET($A$1, 900 - 1, 64 - 1) = "0", OFFSET($A$1, 900 - 1, 65 - 1) = "1" ), 3, 4 ) ) )</f>
        <v>4</v>
      </c>
    </row>
    <row r="901" spans="58:66" x14ac:dyDescent="0.2">
      <c r="BF901" s="3">
        <v>0</v>
      </c>
      <c r="BG901" s="3" t="str">
        <f t="shared" si="102"/>
        <v>0</v>
      </c>
      <c r="BH901" t="str">
        <f ca="1">IF((OFFSET($A$1, 901 - 1, 58 - 1)) &gt;= (OFFSET($A$1, 96 - 1, 7 - 1)), "1","0")</f>
        <v>0</v>
      </c>
      <c r="BI901">
        <f ca="1" xml:space="preserve"> IF( AND( OFFSET($A$1, 901 - 1, 59 - 1) = "1", OFFSET($A$1, 901 - 1, 60 - 1) = "1" ), 1, IF( AND( OFFSET($A$1, 901 - 1, 59 - 1) = "1", OFFSET($A$1, 901 - 1, 60 - 1) = "0" ), 2, IF( AND( OFFSET($A$1, 901 - 1, 59 - 1) = "0", OFFSET($A$1, 901 - 1, 60 - 1) = "1" ), 3, 4 ) ) )</f>
        <v>4</v>
      </c>
      <c r="BK901" s="3">
        <v>0.36</v>
      </c>
      <c r="BL901" s="3" t="str">
        <f>"1"</f>
        <v>1</v>
      </c>
      <c r="BM901" t="str">
        <f ca="1">IF((OFFSET($A$1, 901 - 1, 63 - 1)) &gt;= (OFFSET($A$1, 135 - 1, 7 - 1)), "1","0")</f>
        <v>0</v>
      </c>
      <c r="BN901">
        <f ca="1" xml:space="preserve"> IF( AND( OFFSET($A$1, 901 - 1, 64 - 1) = "1", OFFSET($A$1, 901 - 1, 65 - 1) = "1" ), 1, IF( AND( OFFSET($A$1, 901 - 1, 64 - 1) = "1", OFFSET($A$1, 901 - 1, 65 - 1) = "0" ), 2, IF( AND( OFFSET($A$1, 901 - 1, 64 - 1) = "0", OFFSET($A$1, 901 - 1, 65 - 1) = "1" ), 3, 4 ) ) )</f>
        <v>2</v>
      </c>
    </row>
    <row r="902" spans="58:66" x14ac:dyDescent="0.2">
      <c r="BF902" s="3">
        <v>0</v>
      </c>
      <c r="BG902" s="3" t="str">
        <f t="shared" si="102"/>
        <v>0</v>
      </c>
      <c r="BH902" t="str">
        <f ca="1">IF((OFFSET($A$1, 902 - 1, 58 - 1)) &gt;= (OFFSET($A$1, 96 - 1, 7 - 1)), "1","0")</f>
        <v>0</v>
      </c>
      <c r="BI902">
        <f ca="1" xml:space="preserve"> IF( AND( OFFSET($A$1, 902 - 1, 59 - 1) = "1", OFFSET($A$1, 902 - 1, 60 - 1) = "1" ), 1, IF( AND( OFFSET($A$1, 902 - 1, 59 - 1) = "1", OFFSET($A$1, 902 - 1, 60 - 1) = "0" ), 2, IF( AND( OFFSET($A$1, 902 - 1, 59 - 1) = "0", OFFSET($A$1, 902 - 1, 60 - 1) = "1" ), 3, 4 ) ) )</f>
        <v>4</v>
      </c>
      <c r="BK902" s="3">
        <v>6.6350710900473939E-2</v>
      </c>
      <c r="BL902" s="3" t="str">
        <f>"1"</f>
        <v>1</v>
      </c>
      <c r="BM902" t="str">
        <f ca="1">IF((OFFSET($A$1, 902 - 1, 63 - 1)) &gt;= (OFFSET($A$1, 135 - 1, 7 - 1)), "1","0")</f>
        <v>0</v>
      </c>
      <c r="BN902">
        <f ca="1" xml:space="preserve"> IF( AND( OFFSET($A$1, 902 - 1, 64 - 1) = "1", OFFSET($A$1, 902 - 1, 65 - 1) = "1" ), 1, IF( AND( OFFSET($A$1, 902 - 1, 64 - 1) = "1", OFFSET($A$1, 902 - 1, 65 - 1) = "0" ), 2, IF( AND( OFFSET($A$1, 902 - 1, 64 - 1) = "0", OFFSET($A$1, 902 - 1, 65 - 1) = "1" ), 3, 4 ) ) )</f>
        <v>2</v>
      </c>
    </row>
    <row r="903" spans="58:66" x14ac:dyDescent="0.2">
      <c r="BF903" s="3">
        <v>0</v>
      </c>
      <c r="BG903" s="3" t="str">
        <f t="shared" si="102"/>
        <v>0</v>
      </c>
      <c r="BH903" t="str">
        <f ca="1">IF((OFFSET($A$1, 903 - 1, 58 - 1)) &gt;= (OFFSET($A$1, 96 - 1, 7 - 1)), "1","0")</f>
        <v>0</v>
      </c>
      <c r="BI903">
        <f ca="1" xml:space="preserve"> IF( AND( OFFSET($A$1, 903 - 1, 59 - 1) = "1", OFFSET($A$1, 903 - 1, 60 - 1) = "1" ), 1, IF( AND( OFFSET($A$1, 903 - 1, 59 - 1) = "1", OFFSET($A$1, 903 - 1, 60 - 1) = "0" ), 2, IF( AND( OFFSET($A$1, 903 - 1, 59 - 1) = "0", OFFSET($A$1, 903 - 1, 60 - 1) = "1" ), 3, 4 ) ) )</f>
        <v>4</v>
      </c>
      <c r="BK903" s="3">
        <v>0.36</v>
      </c>
      <c r="BL903" s="3" t="str">
        <f t="shared" ref="BL903:BL914" si="103">"0"</f>
        <v>0</v>
      </c>
      <c r="BM903" t="str">
        <f ca="1">IF((OFFSET($A$1, 903 - 1, 63 - 1)) &gt;= (OFFSET($A$1, 135 - 1, 7 - 1)), "1","0")</f>
        <v>0</v>
      </c>
      <c r="BN903">
        <f ca="1" xml:space="preserve"> IF( AND( OFFSET($A$1, 903 - 1, 64 - 1) = "1", OFFSET($A$1, 903 - 1, 65 - 1) = "1" ), 1, IF( AND( OFFSET($A$1, 903 - 1, 64 - 1) = "1", OFFSET($A$1, 903 - 1, 65 - 1) = "0" ), 2, IF( AND( OFFSET($A$1, 903 - 1, 64 - 1) = "0", OFFSET($A$1, 903 - 1, 65 - 1) = "1" ), 3, 4 ) ) )</f>
        <v>4</v>
      </c>
    </row>
    <row r="904" spans="58:66" x14ac:dyDescent="0.2">
      <c r="BF904" s="3">
        <v>0</v>
      </c>
      <c r="BG904" s="3" t="str">
        <f t="shared" si="102"/>
        <v>0</v>
      </c>
      <c r="BH904" t="str">
        <f ca="1">IF((OFFSET($A$1, 904 - 1, 58 - 1)) &gt;= (OFFSET($A$1, 96 - 1, 7 - 1)), "1","0")</f>
        <v>0</v>
      </c>
      <c r="BI904">
        <f ca="1" xml:space="preserve"> IF( AND( OFFSET($A$1, 904 - 1, 59 - 1) = "1", OFFSET($A$1, 904 - 1, 60 - 1) = "1" ), 1, IF( AND( OFFSET($A$1, 904 - 1, 59 - 1) = "1", OFFSET($A$1, 904 - 1, 60 - 1) = "0" ), 2, IF( AND( OFFSET($A$1, 904 - 1, 59 - 1) = "0", OFFSET($A$1, 904 - 1, 60 - 1) = "1" ), 3, 4 ) ) )</f>
        <v>4</v>
      </c>
      <c r="BK904" s="3">
        <v>6.6350710900473939E-2</v>
      </c>
      <c r="BL904" s="3" t="str">
        <f t="shared" si="103"/>
        <v>0</v>
      </c>
      <c r="BM904" t="str">
        <f ca="1">IF((OFFSET($A$1, 904 - 1, 63 - 1)) &gt;= (OFFSET($A$1, 135 - 1, 7 - 1)), "1","0")</f>
        <v>0</v>
      </c>
      <c r="BN904">
        <f ca="1" xml:space="preserve"> IF( AND( OFFSET($A$1, 904 - 1, 64 - 1) = "1", OFFSET($A$1, 904 - 1, 65 - 1) = "1" ), 1, IF( AND( OFFSET($A$1, 904 - 1, 64 - 1) = "1", OFFSET($A$1, 904 - 1, 65 - 1) = "0" ), 2, IF( AND( OFFSET($A$1, 904 - 1, 64 - 1) = "0", OFFSET($A$1, 904 - 1, 65 - 1) = "1" ), 3, 4 ) ) )</f>
        <v>4</v>
      </c>
    </row>
    <row r="905" spans="58:66" x14ac:dyDescent="0.2">
      <c r="BF905" s="3">
        <v>0.1081081081081081</v>
      </c>
      <c r="BG905" s="3" t="str">
        <f>"1"</f>
        <v>1</v>
      </c>
      <c r="BH905" t="str">
        <f ca="1">IF((OFFSET($A$1, 905 - 1, 58 - 1)) &gt;= (OFFSET($A$1, 96 - 1, 7 - 1)), "1","0")</f>
        <v>0</v>
      </c>
      <c r="BI905">
        <f ca="1" xml:space="preserve"> IF( AND( OFFSET($A$1, 905 - 1, 59 - 1) = "1", OFFSET($A$1, 905 - 1, 60 - 1) = "1" ), 1, IF( AND( OFFSET($A$1, 905 - 1, 59 - 1) = "1", OFFSET($A$1, 905 - 1, 60 - 1) = "0" ), 2, IF( AND( OFFSET($A$1, 905 - 1, 59 - 1) = "0", OFFSET($A$1, 905 - 1, 60 - 1) = "1" ), 3, 4 ) ) )</f>
        <v>2</v>
      </c>
      <c r="BK905" s="3">
        <v>6.6350710900473939E-2</v>
      </c>
      <c r="BL905" s="3" t="str">
        <f t="shared" si="103"/>
        <v>0</v>
      </c>
      <c r="BM905" t="str">
        <f ca="1">IF((OFFSET($A$1, 905 - 1, 63 - 1)) &gt;= (OFFSET($A$1, 135 - 1, 7 - 1)), "1","0")</f>
        <v>0</v>
      </c>
      <c r="BN905">
        <f ca="1" xml:space="preserve"> IF( AND( OFFSET($A$1, 905 - 1, 64 - 1) = "1", OFFSET($A$1, 905 - 1, 65 - 1) = "1" ), 1, IF( AND( OFFSET($A$1, 905 - 1, 64 - 1) = "1", OFFSET($A$1, 905 - 1, 65 - 1) = "0" ), 2, IF( AND( OFFSET($A$1, 905 - 1, 64 - 1) = "0", OFFSET($A$1, 905 - 1, 65 - 1) = "1" ), 3, 4 ) ) )</f>
        <v>4</v>
      </c>
    </row>
    <row r="906" spans="58:66" x14ac:dyDescent="0.2">
      <c r="BF906" s="3">
        <v>0</v>
      </c>
      <c r="BG906" s="3" t="str">
        <f>"0"</f>
        <v>0</v>
      </c>
      <c r="BH906" t="str">
        <f ca="1">IF((OFFSET($A$1, 906 - 1, 58 - 1)) &gt;= (OFFSET($A$1, 96 - 1, 7 - 1)), "1","0")</f>
        <v>0</v>
      </c>
      <c r="BI906">
        <f ca="1" xml:space="preserve"> IF( AND( OFFSET($A$1, 906 - 1, 59 - 1) = "1", OFFSET($A$1, 906 - 1, 60 - 1) = "1" ), 1, IF( AND( OFFSET($A$1, 906 - 1, 59 - 1) = "1", OFFSET($A$1, 906 - 1, 60 - 1) = "0" ), 2, IF( AND( OFFSET($A$1, 906 - 1, 59 - 1) = "0", OFFSET($A$1, 906 - 1, 60 - 1) = "1" ), 3, 4 ) ) )</f>
        <v>4</v>
      </c>
      <c r="BK906" s="3">
        <v>2.5316455696202531E-2</v>
      </c>
      <c r="BL906" s="3" t="str">
        <f t="shared" si="103"/>
        <v>0</v>
      </c>
      <c r="BM906" t="str">
        <f ca="1">IF((OFFSET($A$1, 906 - 1, 63 - 1)) &gt;= (OFFSET($A$1, 135 - 1, 7 - 1)), "1","0")</f>
        <v>0</v>
      </c>
      <c r="BN906">
        <f ca="1" xml:space="preserve"> IF( AND( OFFSET($A$1, 906 - 1, 64 - 1) = "1", OFFSET($A$1, 906 - 1, 65 - 1) = "1" ), 1, IF( AND( OFFSET($A$1, 906 - 1, 64 - 1) = "1", OFFSET($A$1, 906 - 1, 65 - 1) = "0" ), 2, IF( AND( OFFSET($A$1, 906 - 1, 64 - 1) = "0", OFFSET($A$1, 906 - 1, 65 - 1) = "1" ), 3, 4 ) ) )</f>
        <v>4</v>
      </c>
    </row>
    <row r="907" spans="58:66" x14ac:dyDescent="0.2">
      <c r="BF907" s="3">
        <v>0</v>
      </c>
      <c r="BG907" s="3" t="str">
        <f>"0"</f>
        <v>0</v>
      </c>
      <c r="BH907" t="str">
        <f ca="1">IF((OFFSET($A$1, 907 - 1, 58 - 1)) &gt;= (OFFSET($A$1, 96 - 1, 7 - 1)), "1","0")</f>
        <v>0</v>
      </c>
      <c r="BI907">
        <f ca="1" xml:space="preserve"> IF( AND( OFFSET($A$1, 907 - 1, 59 - 1) = "1", OFFSET($A$1, 907 - 1, 60 - 1) = "1" ), 1, IF( AND( OFFSET($A$1, 907 - 1, 59 - 1) = "1", OFFSET($A$1, 907 - 1, 60 - 1) = "0" ), 2, IF( AND( OFFSET($A$1, 907 - 1, 59 - 1) = "0", OFFSET($A$1, 907 - 1, 60 - 1) = "1" ), 3, 4 ) ) )</f>
        <v>4</v>
      </c>
      <c r="BK907" s="3">
        <v>6.6350710900473939E-2</v>
      </c>
      <c r="BL907" s="3" t="str">
        <f t="shared" si="103"/>
        <v>0</v>
      </c>
      <c r="BM907" t="str">
        <f ca="1">IF((OFFSET($A$1, 907 - 1, 63 - 1)) &gt;= (OFFSET($A$1, 135 - 1, 7 - 1)), "1","0")</f>
        <v>0</v>
      </c>
      <c r="BN907">
        <f ca="1" xml:space="preserve"> IF( AND( OFFSET($A$1, 907 - 1, 64 - 1) = "1", OFFSET($A$1, 907 - 1, 65 - 1) = "1" ), 1, IF( AND( OFFSET($A$1, 907 - 1, 64 - 1) = "1", OFFSET($A$1, 907 - 1, 65 - 1) = "0" ), 2, IF( AND( OFFSET($A$1, 907 - 1, 64 - 1) = "0", OFFSET($A$1, 907 - 1, 65 - 1) = "1" ), 3, 4 ) ) )</f>
        <v>4</v>
      </c>
    </row>
    <row r="908" spans="58:66" x14ac:dyDescent="0.2">
      <c r="BF908" s="3">
        <v>0</v>
      </c>
      <c r="BG908" s="3" t="str">
        <f>"0"</f>
        <v>0</v>
      </c>
      <c r="BH908" t="str">
        <f ca="1">IF((OFFSET($A$1, 908 - 1, 58 - 1)) &gt;= (OFFSET($A$1, 96 - 1, 7 - 1)), "1","0")</f>
        <v>0</v>
      </c>
      <c r="BI908">
        <f ca="1" xml:space="preserve"> IF( AND( OFFSET($A$1, 908 - 1, 59 - 1) = "1", OFFSET($A$1, 908 - 1, 60 - 1) = "1" ), 1, IF( AND( OFFSET($A$1, 908 - 1, 59 - 1) = "1", OFFSET($A$1, 908 - 1, 60 - 1) = "0" ), 2, IF( AND( OFFSET($A$1, 908 - 1, 59 - 1) = "0", OFFSET($A$1, 908 - 1, 60 - 1) = "1" ), 3, 4 ) ) )</f>
        <v>4</v>
      </c>
      <c r="BK908" s="3">
        <v>6.6350710900473939E-2</v>
      </c>
      <c r="BL908" s="3" t="str">
        <f t="shared" si="103"/>
        <v>0</v>
      </c>
      <c r="BM908" t="str">
        <f ca="1">IF((OFFSET($A$1, 908 - 1, 63 - 1)) &gt;= (OFFSET($A$1, 135 - 1, 7 - 1)), "1","0")</f>
        <v>0</v>
      </c>
      <c r="BN908">
        <f ca="1" xml:space="preserve"> IF( AND( OFFSET($A$1, 908 - 1, 64 - 1) = "1", OFFSET($A$1, 908 - 1, 65 - 1) = "1" ), 1, IF( AND( OFFSET($A$1, 908 - 1, 64 - 1) = "1", OFFSET($A$1, 908 - 1, 65 - 1) = "0" ), 2, IF( AND( OFFSET($A$1, 908 - 1, 64 - 1) = "0", OFFSET($A$1, 908 - 1, 65 - 1) = "1" ), 3, 4 ) ) )</f>
        <v>4</v>
      </c>
    </row>
    <row r="909" spans="58:66" x14ac:dyDescent="0.2">
      <c r="BF909" s="3">
        <v>0.90579710144927539</v>
      </c>
      <c r="BG909" s="3" t="str">
        <f>"1"</f>
        <v>1</v>
      </c>
      <c r="BH909" t="str">
        <f ca="1">IF((OFFSET($A$1, 909 - 1, 58 - 1)) &gt;= (OFFSET($A$1, 96 - 1, 7 - 1)), "1","0")</f>
        <v>1</v>
      </c>
      <c r="BI909">
        <f ca="1" xml:space="preserve"> IF( AND( OFFSET($A$1, 909 - 1, 59 - 1) = "1", OFFSET($A$1, 909 - 1, 60 - 1) = "1" ), 1, IF( AND( OFFSET($A$1, 909 - 1, 59 - 1) = "1", OFFSET($A$1, 909 - 1, 60 - 1) = "0" ), 2, IF( AND( OFFSET($A$1, 909 - 1, 59 - 1) = "0", OFFSET($A$1, 909 - 1, 60 - 1) = "1" ), 3, 4 ) ) )</f>
        <v>1</v>
      </c>
      <c r="BK909" s="3">
        <v>6.6350710900473939E-2</v>
      </c>
      <c r="BL909" s="3" t="str">
        <f t="shared" si="103"/>
        <v>0</v>
      </c>
      <c r="BM909" t="str">
        <f ca="1">IF((OFFSET($A$1, 909 - 1, 63 - 1)) &gt;= (OFFSET($A$1, 135 - 1, 7 - 1)), "1","0")</f>
        <v>0</v>
      </c>
      <c r="BN909">
        <f ca="1" xml:space="preserve"> IF( AND( OFFSET($A$1, 909 - 1, 64 - 1) = "1", OFFSET($A$1, 909 - 1, 65 - 1) = "1" ), 1, IF( AND( OFFSET($A$1, 909 - 1, 64 - 1) = "1", OFFSET($A$1, 909 - 1, 65 - 1) = "0" ), 2, IF( AND( OFFSET($A$1, 909 - 1, 64 - 1) = "0", OFFSET($A$1, 909 - 1, 65 - 1) = "1" ), 3, 4 ) ) )</f>
        <v>4</v>
      </c>
    </row>
    <row r="910" spans="58:66" x14ac:dyDescent="0.2">
      <c r="BF910" s="3">
        <v>0</v>
      </c>
      <c r="BG910" s="3" t="str">
        <f t="shared" ref="BG910:BG920" si="104">"0"</f>
        <v>0</v>
      </c>
      <c r="BH910" t="str">
        <f ca="1">IF((OFFSET($A$1, 910 - 1, 58 - 1)) &gt;= (OFFSET($A$1, 96 - 1, 7 - 1)), "1","0")</f>
        <v>0</v>
      </c>
      <c r="BI910">
        <f ca="1" xml:space="preserve"> IF( AND( OFFSET($A$1, 910 - 1, 59 - 1) = "1", OFFSET($A$1, 910 - 1, 60 - 1) = "1" ), 1, IF( AND( OFFSET($A$1, 910 - 1, 59 - 1) = "1", OFFSET($A$1, 910 - 1, 60 - 1) = "0" ), 2, IF( AND( OFFSET($A$1, 910 - 1, 59 - 1) = "0", OFFSET($A$1, 910 - 1, 60 - 1) = "1" ), 3, 4 ) ) )</f>
        <v>4</v>
      </c>
      <c r="BK910" s="3">
        <v>6.6350710900473939E-2</v>
      </c>
      <c r="BL910" s="3" t="str">
        <f t="shared" si="103"/>
        <v>0</v>
      </c>
      <c r="BM910" t="str">
        <f ca="1">IF((OFFSET($A$1, 910 - 1, 63 - 1)) &gt;= (OFFSET($A$1, 135 - 1, 7 - 1)), "1","0")</f>
        <v>0</v>
      </c>
      <c r="BN910">
        <f ca="1" xml:space="preserve"> IF( AND( OFFSET($A$1, 910 - 1, 64 - 1) = "1", OFFSET($A$1, 910 - 1, 65 - 1) = "1" ), 1, IF( AND( OFFSET($A$1, 910 - 1, 64 - 1) = "1", OFFSET($A$1, 910 - 1, 65 - 1) = "0" ), 2, IF( AND( OFFSET($A$1, 910 - 1, 64 - 1) = "0", OFFSET($A$1, 910 - 1, 65 - 1) = "1" ), 3, 4 ) ) )</f>
        <v>4</v>
      </c>
    </row>
    <row r="911" spans="58:66" x14ac:dyDescent="0.2">
      <c r="BF911" s="3">
        <v>0</v>
      </c>
      <c r="BG911" s="3" t="str">
        <f t="shared" si="104"/>
        <v>0</v>
      </c>
      <c r="BH911" t="str">
        <f ca="1">IF((OFFSET($A$1, 911 - 1, 58 - 1)) &gt;= (OFFSET($A$1, 96 - 1, 7 - 1)), "1","0")</f>
        <v>0</v>
      </c>
      <c r="BI911">
        <f ca="1" xml:space="preserve"> IF( AND( OFFSET($A$1, 911 - 1, 59 - 1) = "1", OFFSET($A$1, 911 - 1, 60 - 1) = "1" ), 1, IF( AND( OFFSET($A$1, 911 - 1, 59 - 1) = "1", OFFSET($A$1, 911 - 1, 60 - 1) = "0" ), 2, IF( AND( OFFSET($A$1, 911 - 1, 59 - 1) = "0", OFFSET($A$1, 911 - 1, 60 - 1) = "1" ), 3, 4 ) ) )</f>
        <v>4</v>
      </c>
      <c r="BK911" s="3">
        <v>6.6350710900473939E-2</v>
      </c>
      <c r="BL911" s="3" t="str">
        <f t="shared" si="103"/>
        <v>0</v>
      </c>
      <c r="BM911" t="str">
        <f ca="1">IF((OFFSET($A$1, 911 - 1, 63 - 1)) &gt;= (OFFSET($A$1, 135 - 1, 7 - 1)), "1","0")</f>
        <v>0</v>
      </c>
      <c r="BN911">
        <f ca="1" xml:space="preserve"> IF( AND( OFFSET($A$1, 911 - 1, 64 - 1) = "1", OFFSET($A$1, 911 - 1, 65 - 1) = "1" ), 1, IF( AND( OFFSET($A$1, 911 - 1, 64 - 1) = "1", OFFSET($A$1, 911 - 1, 65 - 1) = "0" ), 2, IF( AND( OFFSET($A$1, 911 - 1, 64 - 1) = "0", OFFSET($A$1, 911 - 1, 65 - 1) = "1" ), 3, 4 ) ) )</f>
        <v>4</v>
      </c>
    </row>
    <row r="912" spans="58:66" x14ac:dyDescent="0.2">
      <c r="BF912" s="3">
        <v>0</v>
      </c>
      <c r="BG912" s="3" t="str">
        <f t="shared" si="104"/>
        <v>0</v>
      </c>
      <c r="BH912" t="str">
        <f ca="1">IF((OFFSET($A$1, 912 - 1, 58 - 1)) &gt;= (OFFSET($A$1, 96 - 1, 7 - 1)), "1","0")</f>
        <v>0</v>
      </c>
      <c r="BI912">
        <f ca="1" xml:space="preserve"> IF( AND( OFFSET($A$1, 912 - 1, 59 - 1) = "1", OFFSET($A$1, 912 - 1, 60 - 1) = "1" ), 1, IF( AND( OFFSET($A$1, 912 - 1, 59 - 1) = "1", OFFSET($A$1, 912 - 1, 60 - 1) = "0" ), 2, IF( AND( OFFSET($A$1, 912 - 1, 59 - 1) = "0", OFFSET($A$1, 912 - 1, 60 - 1) = "1" ), 3, 4 ) ) )</f>
        <v>4</v>
      </c>
      <c r="BK912" s="3">
        <v>6.6350710900473939E-2</v>
      </c>
      <c r="BL912" s="3" t="str">
        <f t="shared" si="103"/>
        <v>0</v>
      </c>
      <c r="BM912" t="str">
        <f ca="1">IF((OFFSET($A$1, 912 - 1, 63 - 1)) &gt;= (OFFSET($A$1, 135 - 1, 7 - 1)), "1","0")</f>
        <v>0</v>
      </c>
      <c r="BN912">
        <f ca="1" xml:space="preserve"> IF( AND( OFFSET($A$1, 912 - 1, 64 - 1) = "1", OFFSET($A$1, 912 - 1, 65 - 1) = "1" ), 1, IF( AND( OFFSET($A$1, 912 - 1, 64 - 1) = "1", OFFSET($A$1, 912 - 1, 65 - 1) = "0" ), 2, IF( AND( OFFSET($A$1, 912 - 1, 64 - 1) = "0", OFFSET($A$1, 912 - 1, 65 - 1) = "1" ), 3, 4 ) ) )</f>
        <v>4</v>
      </c>
    </row>
    <row r="913" spans="58:66" x14ac:dyDescent="0.2">
      <c r="BF913" s="3">
        <v>0</v>
      </c>
      <c r="BG913" s="3" t="str">
        <f t="shared" si="104"/>
        <v>0</v>
      </c>
      <c r="BH913" t="str">
        <f ca="1">IF((OFFSET($A$1, 913 - 1, 58 - 1)) &gt;= (OFFSET($A$1, 96 - 1, 7 - 1)), "1","0")</f>
        <v>0</v>
      </c>
      <c r="BI913">
        <f ca="1" xml:space="preserve"> IF( AND( OFFSET($A$1, 913 - 1, 59 - 1) = "1", OFFSET($A$1, 913 - 1, 60 - 1) = "1" ), 1, IF( AND( OFFSET($A$1, 913 - 1, 59 - 1) = "1", OFFSET($A$1, 913 - 1, 60 - 1) = "0" ), 2, IF( AND( OFFSET($A$1, 913 - 1, 59 - 1) = "0", OFFSET($A$1, 913 - 1, 60 - 1) = "1" ), 3, 4 ) ) )</f>
        <v>4</v>
      </c>
      <c r="BK913" s="3">
        <v>2.5316455696202531E-2</v>
      </c>
      <c r="BL913" s="3" t="str">
        <f t="shared" si="103"/>
        <v>0</v>
      </c>
      <c r="BM913" t="str">
        <f ca="1">IF((OFFSET($A$1, 913 - 1, 63 - 1)) &gt;= (OFFSET($A$1, 135 - 1, 7 - 1)), "1","0")</f>
        <v>0</v>
      </c>
      <c r="BN913">
        <f ca="1" xml:space="preserve"> IF( AND( OFFSET($A$1, 913 - 1, 64 - 1) = "1", OFFSET($A$1, 913 - 1, 65 - 1) = "1" ), 1, IF( AND( OFFSET($A$1, 913 - 1, 64 - 1) = "1", OFFSET($A$1, 913 - 1, 65 - 1) = "0" ), 2, IF( AND( OFFSET($A$1, 913 - 1, 64 - 1) = "0", OFFSET($A$1, 913 - 1, 65 - 1) = "1" ), 3, 4 ) ) )</f>
        <v>4</v>
      </c>
    </row>
    <row r="914" spans="58:66" x14ac:dyDescent="0.2">
      <c r="BF914" s="3">
        <v>0</v>
      </c>
      <c r="BG914" s="3" t="str">
        <f t="shared" si="104"/>
        <v>0</v>
      </c>
      <c r="BH914" t="str">
        <f ca="1">IF((OFFSET($A$1, 914 - 1, 58 - 1)) &gt;= (OFFSET($A$1, 96 - 1, 7 - 1)), "1","0")</f>
        <v>0</v>
      </c>
      <c r="BI914">
        <f ca="1" xml:space="preserve"> IF( AND( OFFSET($A$1, 914 - 1, 59 - 1) = "1", OFFSET($A$1, 914 - 1, 60 - 1) = "1" ), 1, IF( AND( OFFSET($A$1, 914 - 1, 59 - 1) = "1", OFFSET($A$1, 914 - 1, 60 - 1) = "0" ), 2, IF( AND( OFFSET($A$1, 914 - 1, 59 - 1) = "0", OFFSET($A$1, 914 - 1, 60 - 1) = "1" ), 3, 4 ) ) )</f>
        <v>4</v>
      </c>
      <c r="BK914" s="3">
        <v>6.6350710900473939E-2</v>
      </c>
      <c r="BL914" s="3" t="str">
        <f t="shared" si="103"/>
        <v>0</v>
      </c>
      <c r="BM914" t="str">
        <f ca="1">IF((OFFSET($A$1, 914 - 1, 63 - 1)) &gt;= (OFFSET($A$1, 135 - 1, 7 - 1)), "1","0")</f>
        <v>0</v>
      </c>
      <c r="BN914">
        <f ca="1" xml:space="preserve"> IF( AND( OFFSET($A$1, 914 - 1, 64 - 1) = "1", OFFSET($A$1, 914 - 1, 65 - 1) = "1" ), 1, IF( AND( OFFSET($A$1, 914 - 1, 64 - 1) = "1", OFFSET($A$1, 914 - 1, 65 - 1) = "0" ), 2, IF( AND( OFFSET($A$1, 914 - 1, 64 - 1) = "0", OFFSET($A$1, 914 - 1, 65 - 1) = "1" ), 3, 4 ) ) )</f>
        <v>4</v>
      </c>
    </row>
    <row r="915" spans="58:66" x14ac:dyDescent="0.2">
      <c r="BF915" s="3">
        <v>0.36</v>
      </c>
      <c r="BG915" s="3" t="str">
        <f t="shared" si="104"/>
        <v>0</v>
      </c>
      <c r="BH915" t="str">
        <f ca="1">IF((OFFSET($A$1, 915 - 1, 58 - 1)) &gt;= (OFFSET($A$1, 96 - 1, 7 - 1)), "1","0")</f>
        <v>0</v>
      </c>
      <c r="BI915">
        <f ca="1" xml:space="preserve"> IF( AND( OFFSET($A$1, 915 - 1, 59 - 1) = "1", OFFSET($A$1, 915 - 1, 60 - 1) = "1" ), 1, IF( AND( OFFSET($A$1, 915 - 1, 59 - 1) = "1", OFFSET($A$1, 915 - 1, 60 - 1) = "0" ), 2, IF( AND( OFFSET($A$1, 915 - 1, 59 - 1) = "0", OFFSET($A$1, 915 - 1, 60 - 1) = "1" ), 3, 4 ) ) )</f>
        <v>4</v>
      </c>
      <c r="BK915" s="3">
        <v>2.5316455696202531E-2</v>
      </c>
      <c r="BL915" s="3" t="str">
        <f>"1"</f>
        <v>1</v>
      </c>
      <c r="BM915" t="str">
        <f ca="1">IF((OFFSET($A$1, 915 - 1, 63 - 1)) &gt;= (OFFSET($A$1, 135 - 1, 7 - 1)), "1","0")</f>
        <v>0</v>
      </c>
      <c r="BN915">
        <f ca="1" xml:space="preserve"> IF( AND( OFFSET($A$1, 915 - 1, 64 - 1) = "1", OFFSET($A$1, 915 - 1, 65 - 1) = "1" ), 1, IF( AND( OFFSET($A$1, 915 - 1, 64 - 1) = "1", OFFSET($A$1, 915 - 1, 65 - 1) = "0" ), 2, IF( AND( OFFSET($A$1, 915 - 1, 64 - 1) = "0", OFFSET($A$1, 915 - 1, 65 - 1) = "1" ), 3, 4 ) ) )</f>
        <v>2</v>
      </c>
    </row>
    <row r="916" spans="58:66" x14ac:dyDescent="0.2">
      <c r="BF916" s="3">
        <v>0</v>
      </c>
      <c r="BG916" s="3" t="str">
        <f t="shared" si="104"/>
        <v>0</v>
      </c>
      <c r="BH916" t="str">
        <f ca="1">IF((OFFSET($A$1, 916 - 1, 58 - 1)) &gt;= (OFFSET($A$1, 96 - 1, 7 - 1)), "1","0")</f>
        <v>0</v>
      </c>
      <c r="BI916">
        <f ca="1" xml:space="preserve"> IF( AND( OFFSET($A$1, 916 - 1, 59 - 1) = "1", OFFSET($A$1, 916 - 1, 60 - 1) = "1" ), 1, IF( AND( OFFSET($A$1, 916 - 1, 59 - 1) = "1", OFFSET($A$1, 916 - 1, 60 - 1) = "0" ), 2, IF( AND( OFFSET($A$1, 916 - 1, 59 - 1) = "0", OFFSET($A$1, 916 - 1, 60 - 1) = "1" ), 3, 4 ) ) )</f>
        <v>4</v>
      </c>
      <c r="BK916" s="3">
        <v>6.6350710900473939E-2</v>
      </c>
      <c r="BL916" s="3" t="str">
        <f>"0"</f>
        <v>0</v>
      </c>
      <c r="BM916" t="str">
        <f ca="1">IF((OFFSET($A$1, 916 - 1, 63 - 1)) &gt;= (OFFSET($A$1, 135 - 1, 7 - 1)), "1","0")</f>
        <v>0</v>
      </c>
      <c r="BN916">
        <f ca="1" xml:space="preserve"> IF( AND( OFFSET($A$1, 916 - 1, 64 - 1) = "1", OFFSET($A$1, 916 - 1, 65 - 1) = "1" ), 1, IF( AND( OFFSET($A$1, 916 - 1, 64 - 1) = "1", OFFSET($A$1, 916 - 1, 65 - 1) = "0" ), 2, IF( AND( OFFSET($A$1, 916 - 1, 64 - 1) = "0", OFFSET($A$1, 916 - 1, 65 - 1) = "1" ), 3, 4 ) ) )</f>
        <v>4</v>
      </c>
    </row>
    <row r="917" spans="58:66" x14ac:dyDescent="0.2">
      <c r="BF917" s="3">
        <v>4.3478260869565216E-2</v>
      </c>
      <c r="BG917" s="3" t="str">
        <f t="shared" si="104"/>
        <v>0</v>
      </c>
      <c r="BH917" t="str">
        <f ca="1">IF((OFFSET($A$1, 917 - 1, 58 - 1)) &gt;= (OFFSET($A$1, 96 - 1, 7 - 1)), "1","0")</f>
        <v>0</v>
      </c>
      <c r="BI917">
        <f ca="1" xml:space="preserve"> IF( AND( OFFSET($A$1, 917 - 1, 59 - 1) = "1", OFFSET($A$1, 917 - 1, 60 - 1) = "1" ), 1, IF( AND( OFFSET($A$1, 917 - 1, 59 - 1) = "1", OFFSET($A$1, 917 - 1, 60 - 1) = "0" ), 2, IF( AND( OFFSET($A$1, 917 - 1, 59 - 1) = "0", OFFSET($A$1, 917 - 1, 60 - 1) = "1" ), 3, 4 ) ) )</f>
        <v>4</v>
      </c>
      <c r="BK917" s="3">
        <v>6.6350710900473939E-2</v>
      </c>
      <c r="BL917" s="3" t="str">
        <f>"1"</f>
        <v>1</v>
      </c>
      <c r="BM917" t="str">
        <f ca="1">IF((OFFSET($A$1, 917 - 1, 63 - 1)) &gt;= (OFFSET($A$1, 135 - 1, 7 - 1)), "1","0")</f>
        <v>0</v>
      </c>
      <c r="BN917">
        <f ca="1" xml:space="preserve"> IF( AND( OFFSET($A$1, 917 - 1, 64 - 1) = "1", OFFSET($A$1, 917 - 1, 65 - 1) = "1" ), 1, IF( AND( OFFSET($A$1, 917 - 1, 64 - 1) = "1", OFFSET($A$1, 917 - 1, 65 - 1) = "0" ), 2, IF( AND( OFFSET($A$1, 917 - 1, 64 - 1) = "0", OFFSET($A$1, 917 - 1, 65 - 1) = "1" ), 3, 4 ) ) )</f>
        <v>2</v>
      </c>
    </row>
    <row r="918" spans="58:66" x14ac:dyDescent="0.2">
      <c r="BF918" s="3">
        <v>0.08</v>
      </c>
      <c r="BG918" s="3" t="str">
        <f t="shared" si="104"/>
        <v>0</v>
      </c>
      <c r="BH918" t="str">
        <f ca="1">IF((OFFSET($A$1, 918 - 1, 58 - 1)) &gt;= (OFFSET($A$1, 96 - 1, 7 - 1)), "1","0")</f>
        <v>0</v>
      </c>
      <c r="BI918">
        <f ca="1" xml:space="preserve"> IF( AND( OFFSET($A$1, 918 - 1, 59 - 1) = "1", OFFSET($A$1, 918 - 1, 60 - 1) = "1" ), 1, IF( AND( OFFSET($A$1, 918 - 1, 59 - 1) = "1", OFFSET($A$1, 918 - 1, 60 - 1) = "0" ), 2, IF( AND( OFFSET($A$1, 918 - 1, 59 - 1) = "0", OFFSET($A$1, 918 - 1, 60 - 1) = "1" ), 3, 4 ) ) )</f>
        <v>4</v>
      </c>
      <c r="BK918" s="3">
        <v>6.6350710900473939E-2</v>
      </c>
      <c r="BL918" s="3" t="str">
        <f>"0"</f>
        <v>0</v>
      </c>
      <c r="BM918" t="str">
        <f ca="1">IF((OFFSET($A$1, 918 - 1, 63 - 1)) &gt;= (OFFSET($A$1, 135 - 1, 7 - 1)), "1","0")</f>
        <v>0</v>
      </c>
      <c r="BN918">
        <f ca="1" xml:space="preserve"> IF( AND( OFFSET($A$1, 918 - 1, 64 - 1) = "1", OFFSET($A$1, 918 - 1, 65 - 1) = "1" ), 1, IF( AND( OFFSET($A$1, 918 - 1, 64 - 1) = "1", OFFSET($A$1, 918 - 1, 65 - 1) = "0" ), 2, IF( AND( OFFSET($A$1, 918 - 1, 64 - 1) = "0", OFFSET($A$1, 918 - 1, 65 - 1) = "1" ), 3, 4 ) ) )</f>
        <v>4</v>
      </c>
    </row>
    <row r="919" spans="58:66" x14ac:dyDescent="0.2">
      <c r="BF919" s="3">
        <v>0</v>
      </c>
      <c r="BG919" s="3" t="str">
        <f t="shared" si="104"/>
        <v>0</v>
      </c>
      <c r="BH919" t="str">
        <f ca="1">IF((OFFSET($A$1, 919 - 1, 58 - 1)) &gt;= (OFFSET($A$1, 96 - 1, 7 - 1)), "1","0")</f>
        <v>0</v>
      </c>
      <c r="BI919">
        <f ca="1" xml:space="preserve"> IF( AND( OFFSET($A$1, 919 - 1, 59 - 1) = "1", OFFSET($A$1, 919 - 1, 60 - 1) = "1" ), 1, IF( AND( OFFSET($A$1, 919 - 1, 59 - 1) = "1", OFFSET($A$1, 919 - 1, 60 - 1) = "0" ), 2, IF( AND( OFFSET($A$1, 919 - 1, 59 - 1) = "0", OFFSET($A$1, 919 - 1, 60 - 1) = "1" ), 3, 4 ) ) )</f>
        <v>4</v>
      </c>
      <c r="BK919" s="3">
        <v>0.36</v>
      </c>
      <c r="BL919" s="3" t="str">
        <f>"1"</f>
        <v>1</v>
      </c>
      <c r="BM919" t="str">
        <f ca="1">IF((OFFSET($A$1, 919 - 1, 63 - 1)) &gt;= (OFFSET($A$1, 135 - 1, 7 - 1)), "1","0")</f>
        <v>0</v>
      </c>
      <c r="BN919">
        <f ca="1" xml:space="preserve"> IF( AND( OFFSET($A$1, 919 - 1, 64 - 1) = "1", OFFSET($A$1, 919 - 1, 65 - 1) = "1" ), 1, IF( AND( OFFSET($A$1, 919 - 1, 64 - 1) = "1", OFFSET($A$1, 919 - 1, 65 - 1) = "0" ), 2, IF( AND( OFFSET($A$1, 919 - 1, 64 - 1) = "0", OFFSET($A$1, 919 - 1, 65 - 1) = "1" ), 3, 4 ) ) )</f>
        <v>2</v>
      </c>
    </row>
    <row r="920" spans="58:66" x14ac:dyDescent="0.2">
      <c r="BF920" s="3">
        <v>3.7037037037037042E-2</v>
      </c>
      <c r="BG920" s="3" t="str">
        <f t="shared" si="104"/>
        <v>0</v>
      </c>
      <c r="BH920" t="str">
        <f ca="1">IF((OFFSET($A$1, 920 - 1, 58 - 1)) &gt;= (OFFSET($A$1, 96 - 1, 7 - 1)), "1","0")</f>
        <v>0</v>
      </c>
      <c r="BI920">
        <f ca="1" xml:space="preserve"> IF( AND( OFFSET($A$1, 920 - 1, 59 - 1) = "1", OFFSET($A$1, 920 - 1, 60 - 1) = "1" ), 1, IF( AND( OFFSET($A$1, 920 - 1, 59 - 1) = "1", OFFSET($A$1, 920 - 1, 60 - 1) = "0" ), 2, IF( AND( OFFSET($A$1, 920 - 1, 59 - 1) = "0", OFFSET($A$1, 920 - 1, 60 - 1) = "1" ), 3, 4 ) ) )</f>
        <v>4</v>
      </c>
      <c r="BK920" s="3">
        <v>2.5316455696202531E-2</v>
      </c>
      <c r="BL920" s="3" t="str">
        <f>"0"</f>
        <v>0</v>
      </c>
      <c r="BM920" t="str">
        <f ca="1">IF((OFFSET($A$1, 920 - 1, 63 - 1)) &gt;= (OFFSET($A$1, 135 - 1, 7 - 1)), "1","0")</f>
        <v>0</v>
      </c>
      <c r="BN920">
        <f ca="1" xml:space="preserve"> IF( AND( OFFSET($A$1, 920 - 1, 64 - 1) = "1", OFFSET($A$1, 920 - 1, 65 - 1) = "1" ), 1, IF( AND( OFFSET($A$1, 920 - 1, 64 - 1) = "1", OFFSET($A$1, 920 - 1, 65 - 1) = "0" ), 2, IF( AND( OFFSET($A$1, 920 - 1, 64 - 1) = "0", OFFSET($A$1, 920 - 1, 65 - 1) = "1" ), 3, 4 ) ) )</f>
        <v>4</v>
      </c>
    </row>
    <row r="921" spans="58:66" x14ac:dyDescent="0.2">
      <c r="BF921" s="3">
        <v>0.36</v>
      </c>
      <c r="BG921" s="3" t="str">
        <f>"1"</f>
        <v>1</v>
      </c>
      <c r="BH921" t="str">
        <f ca="1">IF((OFFSET($A$1, 921 - 1, 58 - 1)) &gt;= (OFFSET($A$1, 96 - 1, 7 - 1)), "1","0")</f>
        <v>0</v>
      </c>
      <c r="BI921">
        <f ca="1" xml:space="preserve"> IF( AND( OFFSET($A$1, 921 - 1, 59 - 1) = "1", OFFSET($A$1, 921 - 1, 60 - 1) = "1" ), 1, IF( AND( OFFSET($A$1, 921 - 1, 59 - 1) = "1", OFFSET($A$1, 921 - 1, 60 - 1) = "0" ), 2, IF( AND( OFFSET($A$1, 921 - 1, 59 - 1) = "0", OFFSET($A$1, 921 - 1, 60 - 1) = "1" ), 3, 4 ) ) )</f>
        <v>2</v>
      </c>
      <c r="BK921" s="3">
        <v>6.6350710900473939E-2</v>
      </c>
      <c r="BL921" s="3" t="str">
        <f>"0"</f>
        <v>0</v>
      </c>
      <c r="BM921" t="str">
        <f ca="1">IF((OFFSET($A$1, 921 - 1, 63 - 1)) &gt;= (OFFSET($A$1, 135 - 1, 7 - 1)), "1","0")</f>
        <v>0</v>
      </c>
      <c r="BN921">
        <f ca="1" xml:space="preserve"> IF( AND( OFFSET($A$1, 921 - 1, 64 - 1) = "1", OFFSET($A$1, 921 - 1, 65 - 1) = "1" ), 1, IF( AND( OFFSET($A$1, 921 - 1, 64 - 1) = "1", OFFSET($A$1, 921 - 1, 65 - 1) = "0" ), 2, IF( AND( OFFSET($A$1, 921 - 1, 64 - 1) = "0", OFFSET($A$1, 921 - 1, 65 - 1) = "1" ), 3, 4 ) ) )</f>
        <v>4</v>
      </c>
    </row>
    <row r="922" spans="58:66" x14ac:dyDescent="0.2">
      <c r="BF922" s="3">
        <v>0.08</v>
      </c>
      <c r="BG922" s="3" t="str">
        <f>"0"</f>
        <v>0</v>
      </c>
      <c r="BH922" t="str">
        <f ca="1">IF((OFFSET($A$1, 922 - 1, 58 - 1)) &gt;= (OFFSET($A$1, 96 - 1, 7 - 1)), "1","0")</f>
        <v>0</v>
      </c>
      <c r="BI922">
        <f ca="1" xml:space="preserve"> IF( AND( OFFSET($A$1, 922 - 1, 59 - 1) = "1", OFFSET($A$1, 922 - 1, 60 - 1) = "1" ), 1, IF( AND( OFFSET($A$1, 922 - 1, 59 - 1) = "1", OFFSET($A$1, 922 - 1, 60 - 1) = "0" ), 2, IF( AND( OFFSET($A$1, 922 - 1, 59 - 1) = "0", OFFSET($A$1, 922 - 1, 60 - 1) = "1" ), 3, 4 ) ) )</f>
        <v>4</v>
      </c>
      <c r="BK922" s="3">
        <v>6.6350710900473939E-2</v>
      </c>
      <c r="BL922" s="3" t="str">
        <f>"0"</f>
        <v>0</v>
      </c>
      <c r="BM922" t="str">
        <f ca="1">IF((OFFSET($A$1, 922 - 1, 63 - 1)) &gt;= (OFFSET($A$1, 135 - 1, 7 - 1)), "1","0")</f>
        <v>0</v>
      </c>
      <c r="BN922">
        <f ca="1" xml:space="preserve"> IF( AND( OFFSET($A$1, 922 - 1, 64 - 1) = "1", OFFSET($A$1, 922 - 1, 65 - 1) = "1" ), 1, IF( AND( OFFSET($A$1, 922 - 1, 64 - 1) = "1", OFFSET($A$1, 922 - 1, 65 - 1) = "0" ), 2, IF( AND( OFFSET($A$1, 922 - 1, 64 - 1) = "0", OFFSET($A$1, 922 - 1, 65 - 1) = "1" ), 3, 4 ) ) )</f>
        <v>4</v>
      </c>
    </row>
    <row r="923" spans="58:66" x14ac:dyDescent="0.2">
      <c r="BF923" s="3">
        <v>0.38775510204081637</v>
      </c>
      <c r="BG923" s="3" t="str">
        <f>"1"</f>
        <v>1</v>
      </c>
      <c r="BH923" t="str">
        <f ca="1">IF((OFFSET($A$1, 923 - 1, 58 - 1)) &gt;= (OFFSET($A$1, 96 - 1, 7 - 1)), "1","0")</f>
        <v>0</v>
      </c>
      <c r="BI923">
        <f ca="1" xml:space="preserve"> IF( AND( OFFSET($A$1, 923 - 1, 59 - 1) = "1", OFFSET($A$1, 923 - 1, 60 - 1) = "1" ), 1, IF( AND( OFFSET($A$1, 923 - 1, 59 - 1) = "1", OFFSET($A$1, 923 - 1, 60 - 1) = "0" ), 2, IF( AND( OFFSET($A$1, 923 - 1, 59 - 1) = "0", OFFSET($A$1, 923 - 1, 60 - 1) = "1" ), 3, 4 ) ) )</f>
        <v>2</v>
      </c>
      <c r="BK923" s="3">
        <v>6.6350710900473939E-2</v>
      </c>
      <c r="BL923" s="3" t="str">
        <f>"0"</f>
        <v>0</v>
      </c>
      <c r="BM923" t="str">
        <f ca="1">IF((OFFSET($A$1, 923 - 1, 63 - 1)) &gt;= (OFFSET($A$1, 135 - 1, 7 - 1)), "1","0")</f>
        <v>0</v>
      </c>
      <c r="BN923">
        <f ca="1" xml:space="preserve"> IF( AND( OFFSET($A$1, 923 - 1, 64 - 1) = "1", OFFSET($A$1, 923 - 1, 65 - 1) = "1" ), 1, IF( AND( OFFSET($A$1, 923 - 1, 64 - 1) = "1", OFFSET($A$1, 923 - 1, 65 - 1) = "0" ), 2, IF( AND( OFFSET($A$1, 923 - 1, 64 - 1) = "0", OFFSET($A$1, 923 - 1, 65 - 1) = "1" ), 3, 4 ) ) )</f>
        <v>4</v>
      </c>
    </row>
    <row r="924" spans="58:66" x14ac:dyDescent="0.2">
      <c r="BF924" s="3">
        <v>0</v>
      </c>
      <c r="BG924" s="3" t="str">
        <f t="shared" ref="BG924:BG953" si="105">"0"</f>
        <v>0</v>
      </c>
      <c r="BH924" t="str">
        <f ca="1">IF((OFFSET($A$1, 924 - 1, 58 - 1)) &gt;= (OFFSET($A$1, 96 - 1, 7 - 1)), "1","0")</f>
        <v>0</v>
      </c>
      <c r="BI924">
        <f ca="1" xml:space="preserve"> IF( AND( OFFSET($A$1, 924 - 1, 59 - 1) = "1", OFFSET($A$1, 924 - 1, 60 - 1) = "1" ), 1, IF( AND( OFFSET($A$1, 924 - 1, 59 - 1) = "1", OFFSET($A$1, 924 - 1, 60 - 1) = "0" ), 2, IF( AND( OFFSET($A$1, 924 - 1, 59 - 1) = "0", OFFSET($A$1, 924 - 1, 60 - 1) = "1" ), 3, 4 ) ) )</f>
        <v>4</v>
      </c>
      <c r="BK924" s="3">
        <v>0.90579710144927539</v>
      </c>
      <c r="BL924" s="3" t="str">
        <f>"1"</f>
        <v>1</v>
      </c>
      <c r="BM924" t="str">
        <f ca="1">IF((OFFSET($A$1, 924 - 1, 63 - 1)) &gt;= (OFFSET($A$1, 135 - 1, 7 - 1)), "1","0")</f>
        <v>1</v>
      </c>
      <c r="BN924">
        <f ca="1" xml:space="preserve"> IF( AND( OFFSET($A$1, 924 - 1, 64 - 1) = "1", OFFSET($A$1, 924 - 1, 65 - 1) = "1" ), 1, IF( AND( OFFSET($A$1, 924 - 1, 64 - 1) = "1", OFFSET($A$1, 924 - 1, 65 - 1) = "0" ), 2, IF( AND( OFFSET($A$1, 924 - 1, 64 - 1) = "0", OFFSET($A$1, 924 - 1, 65 - 1) = "1" ), 3, 4 ) ) )</f>
        <v>1</v>
      </c>
    </row>
    <row r="925" spans="58:66" x14ac:dyDescent="0.2">
      <c r="BF925" s="3">
        <v>0</v>
      </c>
      <c r="BG925" s="3" t="str">
        <f t="shared" si="105"/>
        <v>0</v>
      </c>
      <c r="BH925" t="str">
        <f ca="1">IF((OFFSET($A$1, 925 - 1, 58 - 1)) &gt;= (OFFSET($A$1, 96 - 1, 7 - 1)), "1","0")</f>
        <v>0</v>
      </c>
      <c r="BI925">
        <f ca="1" xml:space="preserve"> IF( AND( OFFSET($A$1, 925 - 1, 59 - 1) = "1", OFFSET($A$1, 925 - 1, 60 - 1) = "1" ), 1, IF( AND( OFFSET($A$1, 925 - 1, 59 - 1) = "1", OFFSET($A$1, 925 - 1, 60 - 1) = "0" ), 2, IF( AND( OFFSET($A$1, 925 - 1, 59 - 1) = "0", OFFSET($A$1, 925 - 1, 60 - 1) = "1" ), 3, 4 ) ) )</f>
        <v>4</v>
      </c>
      <c r="BK925" s="3">
        <v>6.6350710900473939E-2</v>
      </c>
      <c r="BL925" s="3" t="str">
        <f>"0"</f>
        <v>0</v>
      </c>
      <c r="BM925" t="str">
        <f ca="1">IF((OFFSET($A$1, 925 - 1, 63 - 1)) &gt;= (OFFSET($A$1, 135 - 1, 7 - 1)), "1","0")</f>
        <v>0</v>
      </c>
      <c r="BN925">
        <f ca="1" xml:space="preserve"> IF( AND( OFFSET($A$1, 925 - 1, 64 - 1) = "1", OFFSET($A$1, 925 - 1, 65 - 1) = "1" ), 1, IF( AND( OFFSET($A$1, 925 - 1, 64 - 1) = "1", OFFSET($A$1, 925 - 1, 65 - 1) = "0" ), 2, IF( AND( OFFSET($A$1, 925 - 1, 64 - 1) = "0", OFFSET($A$1, 925 - 1, 65 - 1) = "1" ), 3, 4 ) ) )</f>
        <v>4</v>
      </c>
    </row>
    <row r="926" spans="58:66" x14ac:dyDescent="0.2">
      <c r="BF926" s="3">
        <v>0</v>
      </c>
      <c r="BG926" s="3" t="str">
        <f t="shared" si="105"/>
        <v>0</v>
      </c>
      <c r="BH926" t="str">
        <f ca="1">IF((OFFSET($A$1, 926 - 1, 58 - 1)) &gt;= (OFFSET($A$1, 96 - 1, 7 - 1)), "1","0")</f>
        <v>0</v>
      </c>
      <c r="BI926">
        <f ca="1" xml:space="preserve"> IF( AND( OFFSET($A$1, 926 - 1, 59 - 1) = "1", OFFSET($A$1, 926 - 1, 60 - 1) = "1" ), 1, IF( AND( OFFSET($A$1, 926 - 1, 59 - 1) = "1", OFFSET($A$1, 926 - 1, 60 - 1) = "0" ), 2, IF( AND( OFFSET($A$1, 926 - 1, 59 - 1) = "0", OFFSET($A$1, 926 - 1, 60 - 1) = "1" ), 3, 4 ) ) )</f>
        <v>4</v>
      </c>
      <c r="BK926" s="3">
        <v>0.90579710144927539</v>
      </c>
      <c r="BL926" s="3" t="str">
        <f>"1"</f>
        <v>1</v>
      </c>
      <c r="BM926" t="str">
        <f ca="1">IF((OFFSET($A$1, 926 - 1, 63 - 1)) &gt;= (OFFSET($A$1, 135 - 1, 7 - 1)), "1","0")</f>
        <v>1</v>
      </c>
      <c r="BN926">
        <f ca="1" xml:space="preserve"> IF( AND( OFFSET($A$1, 926 - 1, 64 - 1) = "1", OFFSET($A$1, 926 - 1, 65 - 1) = "1" ), 1, IF( AND( OFFSET($A$1, 926 - 1, 64 - 1) = "1", OFFSET($A$1, 926 - 1, 65 - 1) = "0" ), 2, IF( AND( OFFSET($A$1, 926 - 1, 64 - 1) = "0", OFFSET($A$1, 926 - 1, 65 - 1) = "1" ), 3, 4 ) ) )</f>
        <v>1</v>
      </c>
    </row>
    <row r="927" spans="58:66" x14ac:dyDescent="0.2">
      <c r="BF927" s="3">
        <v>3.7037037037037042E-2</v>
      </c>
      <c r="BG927" s="3" t="str">
        <f t="shared" si="105"/>
        <v>0</v>
      </c>
      <c r="BH927" t="str">
        <f ca="1">IF((OFFSET($A$1, 927 - 1, 58 - 1)) &gt;= (OFFSET($A$1, 96 - 1, 7 - 1)), "1","0")</f>
        <v>0</v>
      </c>
      <c r="BI927">
        <f ca="1" xml:space="preserve"> IF( AND( OFFSET($A$1, 927 - 1, 59 - 1) = "1", OFFSET($A$1, 927 - 1, 60 - 1) = "1" ), 1, IF( AND( OFFSET($A$1, 927 - 1, 59 - 1) = "1", OFFSET($A$1, 927 - 1, 60 - 1) = "0" ), 2, IF( AND( OFFSET($A$1, 927 - 1, 59 - 1) = "0", OFFSET($A$1, 927 - 1, 60 - 1) = "1" ), 3, 4 ) ) )</f>
        <v>4</v>
      </c>
      <c r="BK927" s="3">
        <v>6.6350710900473939E-2</v>
      </c>
      <c r="BL927" s="3" t="str">
        <f t="shared" ref="BL927:BL938" si="106">"0"</f>
        <v>0</v>
      </c>
      <c r="BM927" t="str">
        <f ca="1">IF((OFFSET($A$1, 927 - 1, 63 - 1)) &gt;= (OFFSET($A$1, 135 - 1, 7 - 1)), "1","0")</f>
        <v>0</v>
      </c>
      <c r="BN927">
        <f ca="1" xml:space="preserve"> IF( AND( OFFSET($A$1, 927 - 1, 64 - 1) = "1", OFFSET($A$1, 927 - 1, 65 - 1) = "1" ), 1, IF( AND( OFFSET($A$1, 927 - 1, 64 - 1) = "1", OFFSET($A$1, 927 - 1, 65 - 1) = "0" ), 2, IF( AND( OFFSET($A$1, 927 - 1, 64 - 1) = "0", OFFSET($A$1, 927 - 1, 65 - 1) = "1" ), 3, 4 ) ) )</f>
        <v>4</v>
      </c>
    </row>
    <row r="928" spans="58:66" x14ac:dyDescent="0.2">
      <c r="BF928" s="3">
        <v>0</v>
      </c>
      <c r="BG928" s="3" t="str">
        <f t="shared" si="105"/>
        <v>0</v>
      </c>
      <c r="BH928" t="str">
        <f ca="1">IF((OFFSET($A$1, 928 - 1, 58 - 1)) &gt;= (OFFSET($A$1, 96 - 1, 7 - 1)), "1","0")</f>
        <v>0</v>
      </c>
      <c r="BI928">
        <f ca="1" xml:space="preserve"> IF( AND( OFFSET($A$1, 928 - 1, 59 - 1) = "1", OFFSET($A$1, 928 - 1, 60 - 1) = "1" ), 1, IF( AND( OFFSET($A$1, 928 - 1, 59 - 1) = "1", OFFSET($A$1, 928 - 1, 60 - 1) = "0" ), 2, IF( AND( OFFSET($A$1, 928 - 1, 59 - 1) = "0", OFFSET($A$1, 928 - 1, 60 - 1) = "1" ), 3, 4 ) ) )</f>
        <v>4</v>
      </c>
      <c r="BK928" s="3">
        <v>2.5316455696202531E-2</v>
      </c>
      <c r="BL928" s="3" t="str">
        <f t="shared" si="106"/>
        <v>0</v>
      </c>
      <c r="BM928" t="str">
        <f ca="1">IF((OFFSET($A$1, 928 - 1, 63 - 1)) &gt;= (OFFSET($A$1, 135 - 1, 7 - 1)), "1","0")</f>
        <v>0</v>
      </c>
      <c r="BN928">
        <f ca="1" xml:space="preserve"> IF( AND( OFFSET($A$1, 928 - 1, 64 - 1) = "1", OFFSET($A$1, 928 - 1, 65 - 1) = "1" ), 1, IF( AND( OFFSET($A$1, 928 - 1, 64 - 1) = "1", OFFSET($A$1, 928 - 1, 65 - 1) = "0" ), 2, IF( AND( OFFSET($A$1, 928 - 1, 64 - 1) = "0", OFFSET($A$1, 928 - 1, 65 - 1) = "1" ), 3, 4 ) ) )</f>
        <v>4</v>
      </c>
    </row>
    <row r="929" spans="58:66" x14ac:dyDescent="0.2">
      <c r="BF929" s="3">
        <v>0</v>
      </c>
      <c r="BG929" s="3" t="str">
        <f t="shared" si="105"/>
        <v>0</v>
      </c>
      <c r="BH929" t="str">
        <f ca="1">IF((OFFSET($A$1, 929 - 1, 58 - 1)) &gt;= (OFFSET($A$1, 96 - 1, 7 - 1)), "1","0")</f>
        <v>0</v>
      </c>
      <c r="BI929">
        <f ca="1" xml:space="preserve"> IF( AND( OFFSET($A$1, 929 - 1, 59 - 1) = "1", OFFSET($A$1, 929 - 1, 60 - 1) = "1" ), 1, IF( AND( OFFSET($A$1, 929 - 1, 59 - 1) = "1", OFFSET($A$1, 929 - 1, 60 - 1) = "0" ), 2, IF( AND( OFFSET($A$1, 929 - 1, 59 - 1) = "0", OFFSET($A$1, 929 - 1, 60 - 1) = "1" ), 3, 4 ) ) )</f>
        <v>4</v>
      </c>
      <c r="BK929" s="3">
        <v>6.6350710900473939E-2</v>
      </c>
      <c r="BL929" s="3" t="str">
        <f t="shared" si="106"/>
        <v>0</v>
      </c>
      <c r="BM929" t="str">
        <f ca="1">IF((OFFSET($A$1, 929 - 1, 63 - 1)) &gt;= (OFFSET($A$1, 135 - 1, 7 - 1)), "1","0")</f>
        <v>0</v>
      </c>
      <c r="BN929">
        <f ca="1" xml:space="preserve"> IF( AND( OFFSET($A$1, 929 - 1, 64 - 1) = "1", OFFSET($A$1, 929 - 1, 65 - 1) = "1" ), 1, IF( AND( OFFSET($A$1, 929 - 1, 64 - 1) = "1", OFFSET($A$1, 929 - 1, 65 - 1) = "0" ), 2, IF( AND( OFFSET($A$1, 929 - 1, 64 - 1) = "0", OFFSET($A$1, 929 - 1, 65 - 1) = "1" ), 3, 4 ) ) )</f>
        <v>4</v>
      </c>
    </row>
    <row r="930" spans="58:66" x14ac:dyDescent="0.2">
      <c r="BF930" s="3">
        <v>0</v>
      </c>
      <c r="BG930" s="3" t="str">
        <f t="shared" si="105"/>
        <v>0</v>
      </c>
      <c r="BH930" t="str">
        <f ca="1">IF((OFFSET($A$1, 930 - 1, 58 - 1)) &gt;= (OFFSET($A$1, 96 - 1, 7 - 1)), "1","0")</f>
        <v>0</v>
      </c>
      <c r="BI930">
        <f ca="1" xml:space="preserve"> IF( AND( OFFSET($A$1, 930 - 1, 59 - 1) = "1", OFFSET($A$1, 930 - 1, 60 - 1) = "1" ), 1, IF( AND( OFFSET($A$1, 930 - 1, 59 - 1) = "1", OFFSET($A$1, 930 - 1, 60 - 1) = "0" ), 2, IF( AND( OFFSET($A$1, 930 - 1, 59 - 1) = "0", OFFSET($A$1, 930 - 1, 60 - 1) = "1" ), 3, 4 ) ) )</f>
        <v>4</v>
      </c>
      <c r="BK930" s="3">
        <v>0.36</v>
      </c>
      <c r="BL930" s="3" t="str">
        <f t="shared" si="106"/>
        <v>0</v>
      </c>
      <c r="BM930" t="str">
        <f ca="1">IF((OFFSET($A$1, 930 - 1, 63 - 1)) &gt;= (OFFSET($A$1, 135 - 1, 7 - 1)), "1","0")</f>
        <v>0</v>
      </c>
      <c r="BN930">
        <f ca="1" xml:space="preserve"> IF( AND( OFFSET($A$1, 930 - 1, 64 - 1) = "1", OFFSET($A$1, 930 - 1, 65 - 1) = "1" ), 1, IF( AND( OFFSET($A$1, 930 - 1, 64 - 1) = "1", OFFSET($A$1, 930 - 1, 65 - 1) = "0" ), 2, IF( AND( OFFSET($A$1, 930 - 1, 64 - 1) = "0", OFFSET($A$1, 930 - 1, 65 - 1) = "1" ), 3, 4 ) ) )</f>
        <v>4</v>
      </c>
    </row>
    <row r="931" spans="58:66" x14ac:dyDescent="0.2">
      <c r="BF931" s="3">
        <v>0</v>
      </c>
      <c r="BG931" s="3" t="str">
        <f t="shared" si="105"/>
        <v>0</v>
      </c>
      <c r="BH931" t="str">
        <f ca="1">IF((OFFSET($A$1, 931 - 1, 58 - 1)) &gt;= (OFFSET($A$1, 96 - 1, 7 - 1)), "1","0")</f>
        <v>0</v>
      </c>
      <c r="BI931">
        <f ca="1" xml:space="preserve"> IF( AND( OFFSET($A$1, 931 - 1, 59 - 1) = "1", OFFSET($A$1, 931 - 1, 60 - 1) = "1" ), 1, IF( AND( OFFSET($A$1, 931 - 1, 59 - 1) = "1", OFFSET($A$1, 931 - 1, 60 - 1) = "0" ), 2, IF( AND( OFFSET($A$1, 931 - 1, 59 - 1) = "0", OFFSET($A$1, 931 - 1, 60 - 1) = "1" ), 3, 4 ) ) )</f>
        <v>4</v>
      </c>
      <c r="BK931" s="3">
        <v>6.6350710900473939E-2</v>
      </c>
      <c r="BL931" s="3" t="str">
        <f t="shared" si="106"/>
        <v>0</v>
      </c>
      <c r="BM931" t="str">
        <f ca="1">IF((OFFSET($A$1, 931 - 1, 63 - 1)) &gt;= (OFFSET($A$1, 135 - 1, 7 - 1)), "1","0")</f>
        <v>0</v>
      </c>
      <c r="BN931">
        <f ca="1" xml:space="preserve"> IF( AND( OFFSET($A$1, 931 - 1, 64 - 1) = "1", OFFSET($A$1, 931 - 1, 65 - 1) = "1" ), 1, IF( AND( OFFSET($A$1, 931 - 1, 64 - 1) = "1", OFFSET($A$1, 931 - 1, 65 - 1) = "0" ), 2, IF( AND( OFFSET($A$1, 931 - 1, 64 - 1) = "0", OFFSET($A$1, 931 - 1, 65 - 1) = "1" ), 3, 4 ) ) )</f>
        <v>4</v>
      </c>
    </row>
    <row r="932" spans="58:66" x14ac:dyDescent="0.2">
      <c r="BF932" s="3">
        <v>0</v>
      </c>
      <c r="BG932" s="3" t="str">
        <f t="shared" si="105"/>
        <v>0</v>
      </c>
      <c r="BH932" t="str">
        <f ca="1">IF((OFFSET($A$1, 932 - 1, 58 - 1)) &gt;= (OFFSET($A$1, 96 - 1, 7 - 1)), "1","0")</f>
        <v>0</v>
      </c>
      <c r="BI932">
        <f ca="1" xml:space="preserve"> IF( AND( OFFSET($A$1, 932 - 1, 59 - 1) = "1", OFFSET($A$1, 932 - 1, 60 - 1) = "1" ), 1, IF( AND( OFFSET($A$1, 932 - 1, 59 - 1) = "1", OFFSET($A$1, 932 - 1, 60 - 1) = "0" ), 2, IF( AND( OFFSET($A$1, 932 - 1, 59 - 1) = "0", OFFSET($A$1, 932 - 1, 60 - 1) = "1" ), 3, 4 ) ) )</f>
        <v>4</v>
      </c>
      <c r="BK932" s="3">
        <v>0.90579710144927539</v>
      </c>
      <c r="BL932" s="3" t="str">
        <f t="shared" si="106"/>
        <v>0</v>
      </c>
      <c r="BM932" t="str">
        <f ca="1">IF((OFFSET($A$1, 932 - 1, 63 - 1)) &gt;= (OFFSET($A$1, 135 - 1, 7 - 1)), "1","0")</f>
        <v>1</v>
      </c>
      <c r="BN932">
        <f ca="1" xml:space="preserve"> IF( AND( OFFSET($A$1, 932 - 1, 64 - 1) = "1", OFFSET($A$1, 932 - 1, 65 - 1) = "1" ), 1, IF( AND( OFFSET($A$1, 932 - 1, 64 - 1) = "1", OFFSET($A$1, 932 - 1, 65 - 1) = "0" ), 2, IF( AND( OFFSET($A$1, 932 - 1, 64 - 1) = "0", OFFSET($A$1, 932 - 1, 65 - 1) = "1" ), 3, 4 ) ) )</f>
        <v>3</v>
      </c>
    </row>
    <row r="933" spans="58:66" x14ac:dyDescent="0.2">
      <c r="BF933" s="3">
        <v>0</v>
      </c>
      <c r="BG933" s="3" t="str">
        <f t="shared" si="105"/>
        <v>0</v>
      </c>
      <c r="BH933" t="str">
        <f ca="1">IF((OFFSET($A$1, 933 - 1, 58 - 1)) &gt;= (OFFSET($A$1, 96 - 1, 7 - 1)), "1","0")</f>
        <v>0</v>
      </c>
      <c r="BI933">
        <f ca="1" xml:space="preserve"> IF( AND( OFFSET($A$1, 933 - 1, 59 - 1) = "1", OFFSET($A$1, 933 - 1, 60 - 1) = "1" ), 1, IF( AND( OFFSET($A$1, 933 - 1, 59 - 1) = "1", OFFSET($A$1, 933 - 1, 60 - 1) = "0" ), 2, IF( AND( OFFSET($A$1, 933 - 1, 59 - 1) = "0", OFFSET($A$1, 933 - 1, 60 - 1) = "1" ), 3, 4 ) ) )</f>
        <v>4</v>
      </c>
      <c r="BK933" s="3">
        <v>6.6350710900473939E-2</v>
      </c>
      <c r="BL933" s="3" t="str">
        <f t="shared" si="106"/>
        <v>0</v>
      </c>
      <c r="BM933" t="str">
        <f ca="1">IF((OFFSET($A$1, 933 - 1, 63 - 1)) &gt;= (OFFSET($A$1, 135 - 1, 7 - 1)), "1","0")</f>
        <v>0</v>
      </c>
      <c r="BN933">
        <f ca="1" xml:space="preserve"> IF( AND( OFFSET($A$1, 933 - 1, 64 - 1) = "1", OFFSET($A$1, 933 - 1, 65 - 1) = "1" ), 1, IF( AND( OFFSET($A$1, 933 - 1, 64 - 1) = "1", OFFSET($A$1, 933 - 1, 65 - 1) = "0" ), 2, IF( AND( OFFSET($A$1, 933 - 1, 64 - 1) = "0", OFFSET($A$1, 933 - 1, 65 - 1) = "1" ), 3, 4 ) ) )</f>
        <v>4</v>
      </c>
    </row>
    <row r="934" spans="58:66" x14ac:dyDescent="0.2">
      <c r="BF934" s="3">
        <v>0</v>
      </c>
      <c r="BG934" s="3" t="str">
        <f t="shared" si="105"/>
        <v>0</v>
      </c>
      <c r="BH934" t="str">
        <f ca="1">IF((OFFSET($A$1, 934 - 1, 58 - 1)) &gt;= (OFFSET($A$1, 96 - 1, 7 - 1)), "1","0")</f>
        <v>0</v>
      </c>
      <c r="BI934">
        <f ca="1" xml:space="preserve"> IF( AND( OFFSET($A$1, 934 - 1, 59 - 1) = "1", OFFSET($A$1, 934 - 1, 60 - 1) = "1" ), 1, IF( AND( OFFSET($A$1, 934 - 1, 59 - 1) = "1", OFFSET($A$1, 934 - 1, 60 - 1) = "0" ), 2, IF( AND( OFFSET($A$1, 934 - 1, 59 - 1) = "0", OFFSET($A$1, 934 - 1, 60 - 1) = "1" ), 3, 4 ) ) )</f>
        <v>4</v>
      </c>
      <c r="BK934" s="3">
        <v>6.6350710900473939E-2</v>
      </c>
      <c r="BL934" s="3" t="str">
        <f t="shared" si="106"/>
        <v>0</v>
      </c>
      <c r="BM934" t="str">
        <f ca="1">IF((OFFSET($A$1, 934 - 1, 63 - 1)) &gt;= (OFFSET($A$1, 135 - 1, 7 - 1)), "1","0")</f>
        <v>0</v>
      </c>
      <c r="BN934">
        <f ca="1" xml:space="preserve"> IF( AND( OFFSET($A$1, 934 - 1, 64 - 1) = "1", OFFSET($A$1, 934 - 1, 65 - 1) = "1" ), 1, IF( AND( OFFSET($A$1, 934 - 1, 64 - 1) = "1", OFFSET($A$1, 934 - 1, 65 - 1) = "0" ), 2, IF( AND( OFFSET($A$1, 934 - 1, 64 - 1) = "0", OFFSET($A$1, 934 - 1, 65 - 1) = "1" ), 3, 4 ) ) )</f>
        <v>4</v>
      </c>
    </row>
    <row r="935" spans="58:66" x14ac:dyDescent="0.2">
      <c r="BF935" s="3">
        <v>0</v>
      </c>
      <c r="BG935" s="3" t="str">
        <f t="shared" si="105"/>
        <v>0</v>
      </c>
      <c r="BH935" t="str">
        <f ca="1">IF((OFFSET($A$1, 935 - 1, 58 - 1)) &gt;= (OFFSET($A$1, 96 - 1, 7 - 1)), "1","0")</f>
        <v>0</v>
      </c>
      <c r="BI935">
        <f ca="1" xml:space="preserve"> IF( AND( OFFSET($A$1, 935 - 1, 59 - 1) = "1", OFFSET($A$1, 935 - 1, 60 - 1) = "1" ), 1, IF( AND( OFFSET($A$1, 935 - 1, 59 - 1) = "1", OFFSET($A$1, 935 - 1, 60 - 1) = "0" ), 2, IF( AND( OFFSET($A$1, 935 - 1, 59 - 1) = "0", OFFSET($A$1, 935 - 1, 60 - 1) = "1" ), 3, 4 ) ) )</f>
        <v>4</v>
      </c>
      <c r="BK935" s="3">
        <v>6.6350710900473939E-2</v>
      </c>
      <c r="BL935" s="3" t="str">
        <f t="shared" si="106"/>
        <v>0</v>
      </c>
      <c r="BM935" t="str">
        <f ca="1">IF((OFFSET($A$1, 935 - 1, 63 - 1)) &gt;= (OFFSET($A$1, 135 - 1, 7 - 1)), "1","0")</f>
        <v>0</v>
      </c>
      <c r="BN935">
        <f ca="1" xml:space="preserve"> IF( AND( OFFSET($A$1, 935 - 1, 64 - 1) = "1", OFFSET($A$1, 935 - 1, 65 - 1) = "1" ), 1, IF( AND( OFFSET($A$1, 935 - 1, 64 - 1) = "1", OFFSET($A$1, 935 - 1, 65 - 1) = "0" ), 2, IF( AND( OFFSET($A$1, 935 - 1, 64 - 1) = "0", OFFSET($A$1, 935 - 1, 65 - 1) = "1" ), 3, 4 ) ) )</f>
        <v>4</v>
      </c>
    </row>
    <row r="936" spans="58:66" x14ac:dyDescent="0.2">
      <c r="BF936" s="3">
        <v>0.08</v>
      </c>
      <c r="BG936" s="3" t="str">
        <f t="shared" si="105"/>
        <v>0</v>
      </c>
      <c r="BH936" t="str">
        <f ca="1">IF((OFFSET($A$1, 936 - 1, 58 - 1)) &gt;= (OFFSET($A$1, 96 - 1, 7 - 1)), "1","0")</f>
        <v>0</v>
      </c>
      <c r="BI936">
        <f ca="1" xml:space="preserve"> IF( AND( OFFSET($A$1, 936 - 1, 59 - 1) = "1", OFFSET($A$1, 936 - 1, 60 - 1) = "1" ), 1, IF( AND( OFFSET($A$1, 936 - 1, 59 - 1) = "1", OFFSET($A$1, 936 - 1, 60 - 1) = "0" ), 2, IF( AND( OFFSET($A$1, 936 - 1, 59 - 1) = "0", OFFSET($A$1, 936 - 1, 60 - 1) = "1" ), 3, 4 ) ) )</f>
        <v>4</v>
      </c>
      <c r="BK936" s="3">
        <v>0.36</v>
      </c>
      <c r="BL936" s="3" t="str">
        <f t="shared" si="106"/>
        <v>0</v>
      </c>
      <c r="BM936" t="str">
        <f ca="1">IF((OFFSET($A$1, 936 - 1, 63 - 1)) &gt;= (OFFSET($A$1, 135 - 1, 7 - 1)), "1","0")</f>
        <v>0</v>
      </c>
      <c r="BN936">
        <f ca="1" xml:space="preserve"> IF( AND( OFFSET($A$1, 936 - 1, 64 - 1) = "1", OFFSET($A$1, 936 - 1, 65 - 1) = "1" ), 1, IF( AND( OFFSET($A$1, 936 - 1, 64 - 1) = "1", OFFSET($A$1, 936 - 1, 65 - 1) = "0" ), 2, IF( AND( OFFSET($A$1, 936 - 1, 64 - 1) = "0", OFFSET($A$1, 936 - 1, 65 - 1) = "1" ), 3, 4 ) ) )</f>
        <v>4</v>
      </c>
    </row>
    <row r="937" spans="58:66" x14ac:dyDescent="0.2">
      <c r="BF937" s="3">
        <v>4.3478260869565216E-2</v>
      </c>
      <c r="BG937" s="3" t="str">
        <f t="shared" si="105"/>
        <v>0</v>
      </c>
      <c r="BH937" t="str">
        <f ca="1">IF((OFFSET($A$1, 937 - 1, 58 - 1)) &gt;= (OFFSET($A$1, 96 - 1, 7 - 1)), "1","0")</f>
        <v>0</v>
      </c>
      <c r="BI937">
        <f ca="1" xml:space="preserve"> IF( AND( OFFSET($A$1, 937 - 1, 59 - 1) = "1", OFFSET($A$1, 937 - 1, 60 - 1) = "1" ), 1, IF( AND( OFFSET($A$1, 937 - 1, 59 - 1) = "1", OFFSET($A$1, 937 - 1, 60 - 1) = "0" ), 2, IF( AND( OFFSET($A$1, 937 - 1, 59 - 1) = "0", OFFSET($A$1, 937 - 1, 60 - 1) = "1" ), 3, 4 ) ) )</f>
        <v>4</v>
      </c>
      <c r="BK937" s="3">
        <v>6.6350710900473939E-2</v>
      </c>
      <c r="BL937" s="3" t="str">
        <f t="shared" si="106"/>
        <v>0</v>
      </c>
      <c r="BM937" t="str">
        <f ca="1">IF((OFFSET($A$1, 937 - 1, 63 - 1)) &gt;= (OFFSET($A$1, 135 - 1, 7 - 1)), "1","0")</f>
        <v>0</v>
      </c>
      <c r="BN937">
        <f ca="1" xml:space="preserve"> IF( AND( OFFSET($A$1, 937 - 1, 64 - 1) = "1", OFFSET($A$1, 937 - 1, 65 - 1) = "1" ), 1, IF( AND( OFFSET($A$1, 937 - 1, 64 - 1) = "1", OFFSET($A$1, 937 - 1, 65 - 1) = "0" ), 2, IF( AND( OFFSET($A$1, 937 - 1, 64 - 1) = "0", OFFSET($A$1, 937 - 1, 65 - 1) = "1" ), 3, 4 ) ) )</f>
        <v>4</v>
      </c>
    </row>
    <row r="938" spans="58:66" x14ac:dyDescent="0.2">
      <c r="BF938" s="3">
        <v>0</v>
      </c>
      <c r="BG938" s="3" t="str">
        <f t="shared" si="105"/>
        <v>0</v>
      </c>
      <c r="BH938" t="str">
        <f ca="1">IF((OFFSET($A$1, 938 - 1, 58 - 1)) &gt;= (OFFSET($A$1, 96 - 1, 7 - 1)), "1","0")</f>
        <v>0</v>
      </c>
      <c r="BI938">
        <f ca="1" xml:space="preserve"> IF( AND( OFFSET($A$1, 938 - 1, 59 - 1) = "1", OFFSET($A$1, 938 - 1, 60 - 1) = "1" ), 1, IF( AND( OFFSET($A$1, 938 - 1, 59 - 1) = "1", OFFSET($A$1, 938 - 1, 60 - 1) = "0" ), 2, IF( AND( OFFSET($A$1, 938 - 1, 59 - 1) = "0", OFFSET($A$1, 938 - 1, 60 - 1) = "1" ), 3, 4 ) ) )</f>
        <v>4</v>
      </c>
      <c r="BK938" s="3">
        <v>2.5316455696202531E-2</v>
      </c>
      <c r="BL938" s="3" t="str">
        <f t="shared" si="106"/>
        <v>0</v>
      </c>
      <c r="BM938" t="str">
        <f ca="1">IF((OFFSET($A$1, 938 - 1, 63 - 1)) &gt;= (OFFSET($A$1, 135 - 1, 7 - 1)), "1","0")</f>
        <v>0</v>
      </c>
      <c r="BN938">
        <f ca="1" xml:space="preserve"> IF( AND( OFFSET($A$1, 938 - 1, 64 - 1) = "1", OFFSET($A$1, 938 - 1, 65 - 1) = "1" ), 1, IF( AND( OFFSET($A$1, 938 - 1, 64 - 1) = "1", OFFSET($A$1, 938 - 1, 65 - 1) = "0" ), 2, IF( AND( OFFSET($A$1, 938 - 1, 64 - 1) = "0", OFFSET($A$1, 938 - 1, 65 - 1) = "1" ), 3, 4 ) ) )</f>
        <v>4</v>
      </c>
    </row>
    <row r="939" spans="58:66" x14ac:dyDescent="0.2">
      <c r="BF939" s="3">
        <v>0.34722222222222221</v>
      </c>
      <c r="BG939" s="3" t="str">
        <f t="shared" si="105"/>
        <v>0</v>
      </c>
      <c r="BH939" t="str">
        <f ca="1">IF((OFFSET($A$1, 939 - 1, 58 - 1)) &gt;= (OFFSET($A$1, 96 - 1, 7 - 1)), "1","0")</f>
        <v>0</v>
      </c>
      <c r="BI939">
        <f ca="1" xml:space="preserve"> IF( AND( OFFSET($A$1, 939 - 1, 59 - 1) = "1", OFFSET($A$1, 939 - 1, 60 - 1) = "1" ), 1, IF( AND( OFFSET($A$1, 939 - 1, 59 - 1) = "1", OFFSET($A$1, 939 - 1, 60 - 1) = "0" ), 2, IF( AND( OFFSET($A$1, 939 - 1, 59 - 1) = "0", OFFSET($A$1, 939 - 1, 60 - 1) = "1" ), 3, 4 ) ) )</f>
        <v>4</v>
      </c>
      <c r="BK939" s="3">
        <v>6.6350710900473939E-2</v>
      </c>
      <c r="BL939" s="3" t="str">
        <f>"1"</f>
        <v>1</v>
      </c>
      <c r="BM939" t="str">
        <f ca="1">IF((OFFSET($A$1, 939 - 1, 63 - 1)) &gt;= (OFFSET($A$1, 135 - 1, 7 - 1)), "1","0")</f>
        <v>0</v>
      </c>
      <c r="BN939">
        <f ca="1" xml:space="preserve"> IF( AND( OFFSET($A$1, 939 - 1, 64 - 1) = "1", OFFSET($A$1, 939 - 1, 65 - 1) = "1" ), 1, IF( AND( OFFSET($A$1, 939 - 1, 64 - 1) = "1", OFFSET($A$1, 939 - 1, 65 - 1) = "0" ), 2, IF( AND( OFFSET($A$1, 939 - 1, 64 - 1) = "0", OFFSET($A$1, 939 - 1, 65 - 1) = "1" ), 3, 4 ) ) )</f>
        <v>2</v>
      </c>
    </row>
    <row r="940" spans="58:66" x14ac:dyDescent="0.2">
      <c r="BF940" s="3">
        <v>0</v>
      </c>
      <c r="BG940" s="3" t="str">
        <f t="shared" si="105"/>
        <v>0</v>
      </c>
      <c r="BH940" t="str">
        <f ca="1">IF((OFFSET($A$1, 940 - 1, 58 - 1)) &gt;= (OFFSET($A$1, 96 - 1, 7 - 1)), "1","0")</f>
        <v>0</v>
      </c>
      <c r="BI940">
        <f ca="1" xml:space="preserve"> IF( AND( OFFSET($A$1, 940 - 1, 59 - 1) = "1", OFFSET($A$1, 940 - 1, 60 - 1) = "1" ), 1, IF( AND( OFFSET($A$1, 940 - 1, 59 - 1) = "1", OFFSET($A$1, 940 - 1, 60 - 1) = "0" ), 2, IF( AND( OFFSET($A$1, 940 - 1, 59 - 1) = "0", OFFSET($A$1, 940 - 1, 60 - 1) = "1" ), 3, 4 ) ) )</f>
        <v>4</v>
      </c>
      <c r="BK940" s="3">
        <v>6.6350710900473939E-2</v>
      </c>
      <c r="BL940" s="3" t="str">
        <f>"0"</f>
        <v>0</v>
      </c>
      <c r="BM940" t="str">
        <f ca="1">IF((OFFSET($A$1, 940 - 1, 63 - 1)) &gt;= (OFFSET($A$1, 135 - 1, 7 - 1)), "1","0")</f>
        <v>0</v>
      </c>
      <c r="BN940">
        <f ca="1" xml:space="preserve"> IF( AND( OFFSET($A$1, 940 - 1, 64 - 1) = "1", OFFSET($A$1, 940 - 1, 65 - 1) = "1" ), 1, IF( AND( OFFSET($A$1, 940 - 1, 64 - 1) = "1", OFFSET($A$1, 940 - 1, 65 - 1) = "0" ), 2, IF( AND( OFFSET($A$1, 940 - 1, 64 - 1) = "0", OFFSET($A$1, 940 - 1, 65 - 1) = "1" ), 3, 4 ) ) )</f>
        <v>4</v>
      </c>
    </row>
    <row r="941" spans="58:66" x14ac:dyDescent="0.2">
      <c r="BF941" s="3">
        <v>0</v>
      </c>
      <c r="BG941" s="3" t="str">
        <f t="shared" si="105"/>
        <v>0</v>
      </c>
      <c r="BH941" t="str">
        <f ca="1">IF((OFFSET($A$1, 941 - 1, 58 - 1)) &gt;= (OFFSET($A$1, 96 - 1, 7 - 1)), "1","0")</f>
        <v>0</v>
      </c>
      <c r="BI941">
        <f ca="1" xml:space="preserve"> IF( AND( OFFSET($A$1, 941 - 1, 59 - 1) = "1", OFFSET($A$1, 941 - 1, 60 - 1) = "1" ), 1, IF( AND( OFFSET($A$1, 941 - 1, 59 - 1) = "1", OFFSET($A$1, 941 - 1, 60 - 1) = "0" ), 2, IF( AND( OFFSET($A$1, 941 - 1, 59 - 1) = "0", OFFSET($A$1, 941 - 1, 60 - 1) = "1" ), 3, 4 ) ) )</f>
        <v>4</v>
      </c>
      <c r="BK941" s="3">
        <v>6.6350710900473939E-2</v>
      </c>
      <c r="BL941" s="3" t="str">
        <f>"1"</f>
        <v>1</v>
      </c>
      <c r="BM941" t="str">
        <f ca="1">IF((OFFSET($A$1, 941 - 1, 63 - 1)) &gt;= (OFFSET($A$1, 135 - 1, 7 - 1)), "1","0")</f>
        <v>0</v>
      </c>
      <c r="BN941">
        <f ca="1" xml:space="preserve"> IF( AND( OFFSET($A$1, 941 - 1, 64 - 1) = "1", OFFSET($A$1, 941 - 1, 65 - 1) = "1" ), 1, IF( AND( OFFSET($A$1, 941 - 1, 64 - 1) = "1", OFFSET($A$1, 941 - 1, 65 - 1) = "0" ), 2, IF( AND( OFFSET($A$1, 941 - 1, 64 - 1) = "0", OFFSET($A$1, 941 - 1, 65 - 1) = "1" ), 3, 4 ) ) )</f>
        <v>2</v>
      </c>
    </row>
    <row r="942" spans="58:66" x14ac:dyDescent="0.2">
      <c r="BF942" s="3">
        <v>0</v>
      </c>
      <c r="BG942" s="3" t="str">
        <f t="shared" si="105"/>
        <v>0</v>
      </c>
      <c r="BH942" t="str">
        <f ca="1">IF((OFFSET($A$1, 942 - 1, 58 - 1)) &gt;= (OFFSET($A$1, 96 - 1, 7 - 1)), "1","0")</f>
        <v>0</v>
      </c>
      <c r="BI942">
        <f ca="1" xml:space="preserve"> IF( AND( OFFSET($A$1, 942 - 1, 59 - 1) = "1", OFFSET($A$1, 942 - 1, 60 - 1) = "1" ), 1, IF( AND( OFFSET($A$1, 942 - 1, 59 - 1) = "1", OFFSET($A$1, 942 - 1, 60 - 1) = "0" ), 2, IF( AND( OFFSET($A$1, 942 - 1, 59 - 1) = "0", OFFSET($A$1, 942 - 1, 60 - 1) = "1" ), 3, 4 ) ) )</f>
        <v>4</v>
      </c>
      <c r="BK942" s="3">
        <v>6.6350710900473939E-2</v>
      </c>
      <c r="BL942" s="3" t="str">
        <f t="shared" ref="BL942:BL953" si="107">"0"</f>
        <v>0</v>
      </c>
      <c r="BM942" t="str">
        <f ca="1">IF((OFFSET($A$1, 942 - 1, 63 - 1)) &gt;= (OFFSET($A$1, 135 - 1, 7 - 1)), "1","0")</f>
        <v>0</v>
      </c>
      <c r="BN942">
        <f ca="1" xml:space="preserve"> IF( AND( OFFSET($A$1, 942 - 1, 64 - 1) = "1", OFFSET($A$1, 942 - 1, 65 - 1) = "1" ), 1, IF( AND( OFFSET($A$1, 942 - 1, 64 - 1) = "1", OFFSET($A$1, 942 - 1, 65 - 1) = "0" ), 2, IF( AND( OFFSET($A$1, 942 - 1, 64 - 1) = "0", OFFSET($A$1, 942 - 1, 65 - 1) = "1" ), 3, 4 ) ) )</f>
        <v>4</v>
      </c>
    </row>
    <row r="943" spans="58:66" x14ac:dyDescent="0.2">
      <c r="BF943" s="3">
        <v>0</v>
      </c>
      <c r="BG943" s="3" t="str">
        <f t="shared" si="105"/>
        <v>0</v>
      </c>
      <c r="BH943" t="str">
        <f ca="1">IF((OFFSET($A$1, 943 - 1, 58 - 1)) &gt;= (OFFSET($A$1, 96 - 1, 7 - 1)), "1","0")</f>
        <v>0</v>
      </c>
      <c r="BI943">
        <f ca="1" xml:space="preserve"> IF( AND( OFFSET($A$1, 943 - 1, 59 - 1) = "1", OFFSET($A$1, 943 - 1, 60 - 1) = "1" ), 1, IF( AND( OFFSET($A$1, 943 - 1, 59 - 1) = "1", OFFSET($A$1, 943 - 1, 60 - 1) = "0" ), 2, IF( AND( OFFSET($A$1, 943 - 1, 59 - 1) = "0", OFFSET($A$1, 943 - 1, 60 - 1) = "1" ), 3, 4 ) ) )</f>
        <v>4</v>
      </c>
      <c r="BK943" s="3">
        <v>0.38775510204081637</v>
      </c>
      <c r="BL943" s="3" t="str">
        <f t="shared" si="107"/>
        <v>0</v>
      </c>
      <c r="BM943" t="str">
        <f ca="1">IF((OFFSET($A$1, 943 - 1, 63 - 1)) &gt;= (OFFSET($A$1, 135 - 1, 7 - 1)), "1","0")</f>
        <v>0</v>
      </c>
      <c r="BN943">
        <f ca="1" xml:space="preserve"> IF( AND( OFFSET($A$1, 943 - 1, 64 - 1) = "1", OFFSET($A$1, 943 - 1, 65 - 1) = "1" ), 1, IF( AND( OFFSET($A$1, 943 - 1, 64 - 1) = "1", OFFSET($A$1, 943 - 1, 65 - 1) = "0" ), 2, IF( AND( OFFSET($A$1, 943 - 1, 64 - 1) = "0", OFFSET($A$1, 943 - 1, 65 - 1) = "1" ), 3, 4 ) ) )</f>
        <v>4</v>
      </c>
    </row>
    <row r="944" spans="58:66" x14ac:dyDescent="0.2">
      <c r="BF944" s="3">
        <v>0</v>
      </c>
      <c r="BG944" s="3" t="str">
        <f t="shared" si="105"/>
        <v>0</v>
      </c>
      <c r="BH944" t="str">
        <f ca="1">IF((OFFSET($A$1, 944 - 1, 58 - 1)) &gt;= (OFFSET($A$1, 96 - 1, 7 - 1)), "1","0")</f>
        <v>0</v>
      </c>
      <c r="BI944">
        <f ca="1" xml:space="preserve"> IF( AND( OFFSET($A$1, 944 - 1, 59 - 1) = "1", OFFSET($A$1, 944 - 1, 60 - 1) = "1" ), 1, IF( AND( OFFSET($A$1, 944 - 1, 59 - 1) = "1", OFFSET($A$1, 944 - 1, 60 - 1) = "0" ), 2, IF( AND( OFFSET($A$1, 944 - 1, 59 - 1) = "0", OFFSET($A$1, 944 - 1, 60 - 1) = "1" ), 3, 4 ) ) )</f>
        <v>4</v>
      </c>
      <c r="BK944" s="3">
        <v>0.36</v>
      </c>
      <c r="BL944" s="3" t="str">
        <f t="shared" si="107"/>
        <v>0</v>
      </c>
      <c r="BM944" t="str">
        <f ca="1">IF((OFFSET($A$1, 944 - 1, 63 - 1)) &gt;= (OFFSET($A$1, 135 - 1, 7 - 1)), "1","0")</f>
        <v>0</v>
      </c>
      <c r="BN944">
        <f ca="1" xml:space="preserve"> IF( AND( OFFSET($A$1, 944 - 1, 64 - 1) = "1", OFFSET($A$1, 944 - 1, 65 - 1) = "1" ), 1, IF( AND( OFFSET($A$1, 944 - 1, 64 - 1) = "1", OFFSET($A$1, 944 - 1, 65 - 1) = "0" ), 2, IF( AND( OFFSET($A$1, 944 - 1, 64 - 1) = "0", OFFSET($A$1, 944 - 1, 65 - 1) = "1" ), 3, 4 ) ) )</f>
        <v>4</v>
      </c>
    </row>
    <row r="945" spans="58:66" x14ac:dyDescent="0.2">
      <c r="BF945" s="3">
        <v>0.08</v>
      </c>
      <c r="BG945" s="3" t="str">
        <f t="shared" si="105"/>
        <v>0</v>
      </c>
      <c r="BH945" t="str">
        <f ca="1">IF((OFFSET($A$1, 945 - 1, 58 - 1)) &gt;= (OFFSET($A$1, 96 - 1, 7 - 1)), "1","0")</f>
        <v>0</v>
      </c>
      <c r="BI945">
        <f ca="1" xml:space="preserve"> IF( AND( OFFSET($A$1, 945 - 1, 59 - 1) = "1", OFFSET($A$1, 945 - 1, 60 - 1) = "1" ), 1, IF( AND( OFFSET($A$1, 945 - 1, 59 - 1) = "1", OFFSET($A$1, 945 - 1, 60 - 1) = "0" ), 2, IF( AND( OFFSET($A$1, 945 - 1, 59 - 1) = "0", OFFSET($A$1, 945 - 1, 60 - 1) = "1" ), 3, 4 ) ) )</f>
        <v>4</v>
      </c>
      <c r="BK945" s="3">
        <v>6.6350710900473939E-2</v>
      </c>
      <c r="BL945" s="3" t="str">
        <f t="shared" si="107"/>
        <v>0</v>
      </c>
      <c r="BM945" t="str">
        <f ca="1">IF((OFFSET($A$1, 945 - 1, 63 - 1)) &gt;= (OFFSET($A$1, 135 - 1, 7 - 1)), "1","0")</f>
        <v>0</v>
      </c>
      <c r="BN945">
        <f ca="1" xml:space="preserve"> IF( AND( OFFSET($A$1, 945 - 1, 64 - 1) = "1", OFFSET($A$1, 945 - 1, 65 - 1) = "1" ), 1, IF( AND( OFFSET($A$1, 945 - 1, 64 - 1) = "1", OFFSET($A$1, 945 - 1, 65 - 1) = "0" ), 2, IF( AND( OFFSET($A$1, 945 - 1, 64 - 1) = "0", OFFSET($A$1, 945 - 1, 65 - 1) = "1" ), 3, 4 ) ) )</f>
        <v>4</v>
      </c>
    </row>
    <row r="946" spans="58:66" x14ac:dyDescent="0.2">
      <c r="BF946" s="3">
        <v>0</v>
      </c>
      <c r="BG946" s="3" t="str">
        <f t="shared" si="105"/>
        <v>0</v>
      </c>
      <c r="BH946" t="str">
        <f ca="1">IF((OFFSET($A$1, 946 - 1, 58 - 1)) &gt;= (OFFSET($A$1, 96 - 1, 7 - 1)), "1","0")</f>
        <v>0</v>
      </c>
      <c r="BI946">
        <f ca="1" xml:space="preserve"> IF( AND( OFFSET($A$1, 946 - 1, 59 - 1) = "1", OFFSET($A$1, 946 - 1, 60 - 1) = "1" ), 1, IF( AND( OFFSET($A$1, 946 - 1, 59 - 1) = "1", OFFSET($A$1, 946 - 1, 60 - 1) = "0" ), 2, IF( AND( OFFSET($A$1, 946 - 1, 59 - 1) = "0", OFFSET($A$1, 946 - 1, 60 - 1) = "1" ), 3, 4 ) ) )</f>
        <v>4</v>
      </c>
      <c r="BK946" s="3">
        <v>6.6350710900473939E-2</v>
      </c>
      <c r="BL946" s="3" t="str">
        <f t="shared" si="107"/>
        <v>0</v>
      </c>
      <c r="BM946" t="str">
        <f ca="1">IF((OFFSET($A$1, 946 - 1, 63 - 1)) &gt;= (OFFSET($A$1, 135 - 1, 7 - 1)), "1","0")</f>
        <v>0</v>
      </c>
      <c r="BN946">
        <f ca="1" xml:space="preserve"> IF( AND( OFFSET($A$1, 946 - 1, 64 - 1) = "1", OFFSET($A$1, 946 - 1, 65 - 1) = "1" ), 1, IF( AND( OFFSET($A$1, 946 - 1, 64 - 1) = "1", OFFSET($A$1, 946 - 1, 65 - 1) = "0" ), 2, IF( AND( OFFSET($A$1, 946 - 1, 64 - 1) = "0", OFFSET($A$1, 946 - 1, 65 - 1) = "1" ), 3, 4 ) ) )</f>
        <v>4</v>
      </c>
    </row>
    <row r="947" spans="58:66" x14ac:dyDescent="0.2">
      <c r="BF947" s="3">
        <v>3.7037037037037042E-2</v>
      </c>
      <c r="BG947" s="3" t="str">
        <f t="shared" si="105"/>
        <v>0</v>
      </c>
      <c r="BH947" t="str">
        <f ca="1">IF((OFFSET($A$1, 947 - 1, 58 - 1)) &gt;= (OFFSET($A$1, 96 - 1, 7 - 1)), "1","0")</f>
        <v>0</v>
      </c>
      <c r="BI947">
        <f ca="1" xml:space="preserve"> IF( AND( OFFSET($A$1, 947 - 1, 59 - 1) = "1", OFFSET($A$1, 947 - 1, 60 - 1) = "1" ), 1, IF( AND( OFFSET($A$1, 947 - 1, 59 - 1) = "1", OFFSET($A$1, 947 - 1, 60 - 1) = "0" ), 2, IF( AND( OFFSET($A$1, 947 - 1, 59 - 1) = "0", OFFSET($A$1, 947 - 1, 60 - 1) = "1" ), 3, 4 ) ) )</f>
        <v>4</v>
      </c>
      <c r="BK947" s="3">
        <v>6.6350710900473939E-2</v>
      </c>
      <c r="BL947" s="3" t="str">
        <f t="shared" si="107"/>
        <v>0</v>
      </c>
      <c r="BM947" t="str">
        <f ca="1">IF((OFFSET($A$1, 947 - 1, 63 - 1)) &gt;= (OFFSET($A$1, 135 - 1, 7 - 1)), "1","0")</f>
        <v>0</v>
      </c>
      <c r="BN947">
        <f ca="1" xml:space="preserve"> IF( AND( OFFSET($A$1, 947 - 1, 64 - 1) = "1", OFFSET($A$1, 947 - 1, 65 - 1) = "1" ), 1, IF( AND( OFFSET($A$1, 947 - 1, 64 - 1) = "1", OFFSET($A$1, 947 - 1, 65 - 1) = "0" ), 2, IF( AND( OFFSET($A$1, 947 - 1, 64 - 1) = "0", OFFSET($A$1, 947 - 1, 65 - 1) = "1" ), 3, 4 ) ) )</f>
        <v>4</v>
      </c>
    </row>
    <row r="948" spans="58:66" x14ac:dyDescent="0.2">
      <c r="BF948" s="3">
        <v>0</v>
      </c>
      <c r="BG948" s="3" t="str">
        <f t="shared" si="105"/>
        <v>0</v>
      </c>
      <c r="BH948" t="str">
        <f ca="1">IF((OFFSET($A$1, 948 - 1, 58 - 1)) &gt;= (OFFSET($A$1, 96 - 1, 7 - 1)), "1","0")</f>
        <v>0</v>
      </c>
      <c r="BI948">
        <f ca="1" xml:space="preserve"> IF( AND( OFFSET($A$1, 948 - 1, 59 - 1) = "1", OFFSET($A$1, 948 - 1, 60 - 1) = "1" ), 1, IF( AND( OFFSET($A$1, 948 - 1, 59 - 1) = "1", OFFSET($A$1, 948 - 1, 60 - 1) = "0" ), 2, IF( AND( OFFSET($A$1, 948 - 1, 59 - 1) = "0", OFFSET($A$1, 948 - 1, 60 - 1) = "1" ), 3, 4 ) ) )</f>
        <v>4</v>
      </c>
      <c r="BK948" s="3">
        <v>6.6350710900473939E-2</v>
      </c>
      <c r="BL948" s="3" t="str">
        <f t="shared" si="107"/>
        <v>0</v>
      </c>
      <c r="BM948" t="str">
        <f ca="1">IF((OFFSET($A$1, 948 - 1, 63 - 1)) &gt;= (OFFSET($A$1, 135 - 1, 7 - 1)), "1","0")</f>
        <v>0</v>
      </c>
      <c r="BN948">
        <f ca="1" xml:space="preserve"> IF( AND( OFFSET($A$1, 948 - 1, 64 - 1) = "1", OFFSET($A$1, 948 - 1, 65 - 1) = "1" ), 1, IF( AND( OFFSET($A$1, 948 - 1, 64 - 1) = "1", OFFSET($A$1, 948 - 1, 65 - 1) = "0" ), 2, IF( AND( OFFSET($A$1, 948 - 1, 64 - 1) = "0", OFFSET($A$1, 948 - 1, 65 - 1) = "1" ), 3, 4 ) ) )</f>
        <v>4</v>
      </c>
    </row>
    <row r="949" spans="58:66" x14ac:dyDescent="0.2">
      <c r="BF949" s="3">
        <v>0</v>
      </c>
      <c r="BG949" s="3" t="str">
        <f t="shared" si="105"/>
        <v>0</v>
      </c>
      <c r="BH949" t="str">
        <f ca="1">IF((OFFSET($A$1, 949 - 1, 58 - 1)) &gt;= (OFFSET($A$1, 96 - 1, 7 - 1)), "1","0")</f>
        <v>0</v>
      </c>
      <c r="BI949">
        <f ca="1" xml:space="preserve"> IF( AND( OFFSET($A$1, 949 - 1, 59 - 1) = "1", OFFSET($A$1, 949 - 1, 60 - 1) = "1" ), 1, IF( AND( OFFSET($A$1, 949 - 1, 59 - 1) = "1", OFFSET($A$1, 949 - 1, 60 - 1) = "0" ), 2, IF( AND( OFFSET($A$1, 949 - 1, 59 - 1) = "0", OFFSET($A$1, 949 - 1, 60 - 1) = "1" ), 3, 4 ) ) )</f>
        <v>4</v>
      </c>
      <c r="BK949" s="3">
        <v>2.5316455696202531E-2</v>
      </c>
      <c r="BL949" s="3" t="str">
        <f t="shared" si="107"/>
        <v>0</v>
      </c>
      <c r="BM949" t="str">
        <f ca="1">IF((OFFSET($A$1, 949 - 1, 63 - 1)) &gt;= (OFFSET($A$1, 135 - 1, 7 - 1)), "1","0")</f>
        <v>0</v>
      </c>
      <c r="BN949">
        <f ca="1" xml:space="preserve"> IF( AND( OFFSET($A$1, 949 - 1, 64 - 1) = "1", OFFSET($A$1, 949 - 1, 65 - 1) = "1" ), 1, IF( AND( OFFSET($A$1, 949 - 1, 64 - 1) = "1", OFFSET($A$1, 949 - 1, 65 - 1) = "0" ), 2, IF( AND( OFFSET($A$1, 949 - 1, 64 - 1) = "0", OFFSET($A$1, 949 - 1, 65 - 1) = "1" ), 3, 4 ) ) )</f>
        <v>4</v>
      </c>
    </row>
    <row r="950" spans="58:66" x14ac:dyDescent="0.2">
      <c r="BF950" s="3">
        <v>0.1081081081081081</v>
      </c>
      <c r="BG950" s="3" t="str">
        <f t="shared" si="105"/>
        <v>0</v>
      </c>
      <c r="BH950" t="str">
        <f ca="1">IF((OFFSET($A$1, 950 - 1, 58 - 1)) &gt;= (OFFSET($A$1, 96 - 1, 7 - 1)), "1","0")</f>
        <v>0</v>
      </c>
      <c r="BI950">
        <f ca="1" xml:space="preserve"> IF( AND( OFFSET($A$1, 950 - 1, 59 - 1) = "1", OFFSET($A$1, 950 - 1, 60 - 1) = "1" ), 1, IF( AND( OFFSET($A$1, 950 - 1, 59 - 1) = "1", OFFSET($A$1, 950 - 1, 60 - 1) = "0" ), 2, IF( AND( OFFSET($A$1, 950 - 1, 59 - 1) = "0", OFFSET($A$1, 950 - 1, 60 - 1) = "1" ), 3, 4 ) ) )</f>
        <v>4</v>
      </c>
      <c r="BK950" s="3">
        <v>6.6350710900473939E-2</v>
      </c>
      <c r="BL950" s="3" t="str">
        <f t="shared" si="107"/>
        <v>0</v>
      </c>
      <c r="BM950" t="str">
        <f ca="1">IF((OFFSET($A$1, 950 - 1, 63 - 1)) &gt;= (OFFSET($A$1, 135 - 1, 7 - 1)), "1","0")</f>
        <v>0</v>
      </c>
      <c r="BN950">
        <f ca="1" xml:space="preserve"> IF( AND( OFFSET($A$1, 950 - 1, 64 - 1) = "1", OFFSET($A$1, 950 - 1, 65 - 1) = "1" ), 1, IF( AND( OFFSET($A$1, 950 - 1, 64 - 1) = "1", OFFSET($A$1, 950 - 1, 65 - 1) = "0" ), 2, IF( AND( OFFSET($A$1, 950 - 1, 64 - 1) = "0", OFFSET($A$1, 950 - 1, 65 - 1) = "1" ), 3, 4 ) ) )</f>
        <v>4</v>
      </c>
    </row>
    <row r="951" spans="58:66" x14ac:dyDescent="0.2">
      <c r="BF951" s="3">
        <v>0</v>
      </c>
      <c r="BG951" s="3" t="str">
        <f t="shared" si="105"/>
        <v>0</v>
      </c>
      <c r="BH951" t="str">
        <f ca="1">IF((OFFSET($A$1, 951 - 1, 58 - 1)) &gt;= (OFFSET($A$1, 96 - 1, 7 - 1)), "1","0")</f>
        <v>0</v>
      </c>
      <c r="BI951">
        <f ca="1" xml:space="preserve"> IF( AND( OFFSET($A$1, 951 - 1, 59 - 1) = "1", OFFSET($A$1, 951 - 1, 60 - 1) = "1" ), 1, IF( AND( OFFSET($A$1, 951 - 1, 59 - 1) = "1", OFFSET($A$1, 951 - 1, 60 - 1) = "0" ), 2, IF( AND( OFFSET($A$1, 951 - 1, 59 - 1) = "0", OFFSET($A$1, 951 - 1, 60 - 1) = "1" ), 3, 4 ) ) )</f>
        <v>4</v>
      </c>
      <c r="BK951" s="3">
        <v>6.6350710900473939E-2</v>
      </c>
      <c r="BL951" s="3" t="str">
        <f t="shared" si="107"/>
        <v>0</v>
      </c>
      <c r="BM951" t="str">
        <f ca="1">IF((OFFSET($A$1, 951 - 1, 63 - 1)) &gt;= (OFFSET($A$1, 135 - 1, 7 - 1)), "1","0")</f>
        <v>0</v>
      </c>
      <c r="BN951">
        <f ca="1" xml:space="preserve"> IF( AND( OFFSET($A$1, 951 - 1, 64 - 1) = "1", OFFSET($A$1, 951 - 1, 65 - 1) = "1" ), 1, IF( AND( OFFSET($A$1, 951 - 1, 64 - 1) = "1", OFFSET($A$1, 951 - 1, 65 - 1) = "0" ), 2, IF( AND( OFFSET($A$1, 951 - 1, 64 - 1) = "0", OFFSET($A$1, 951 - 1, 65 - 1) = "1" ), 3, 4 ) ) )</f>
        <v>4</v>
      </c>
    </row>
    <row r="952" spans="58:66" x14ac:dyDescent="0.2">
      <c r="BF952" s="3">
        <v>0</v>
      </c>
      <c r="BG952" s="3" t="str">
        <f t="shared" si="105"/>
        <v>0</v>
      </c>
      <c r="BH952" t="str">
        <f ca="1">IF((OFFSET($A$1, 952 - 1, 58 - 1)) &gt;= (OFFSET($A$1, 96 - 1, 7 - 1)), "1","0")</f>
        <v>0</v>
      </c>
      <c r="BI952">
        <f ca="1" xml:space="preserve"> IF( AND( OFFSET($A$1, 952 - 1, 59 - 1) = "1", OFFSET($A$1, 952 - 1, 60 - 1) = "1" ), 1, IF( AND( OFFSET($A$1, 952 - 1, 59 - 1) = "1", OFFSET($A$1, 952 - 1, 60 - 1) = "0" ), 2, IF( AND( OFFSET($A$1, 952 - 1, 59 - 1) = "0", OFFSET($A$1, 952 - 1, 60 - 1) = "1" ), 3, 4 ) ) )</f>
        <v>4</v>
      </c>
      <c r="BK952" s="3">
        <v>0.36</v>
      </c>
      <c r="BL952" s="3" t="str">
        <f t="shared" si="107"/>
        <v>0</v>
      </c>
      <c r="BM952" t="str">
        <f ca="1">IF((OFFSET($A$1, 952 - 1, 63 - 1)) &gt;= (OFFSET($A$1, 135 - 1, 7 - 1)), "1","0")</f>
        <v>0</v>
      </c>
      <c r="BN952">
        <f ca="1" xml:space="preserve"> IF( AND( OFFSET($A$1, 952 - 1, 64 - 1) = "1", OFFSET($A$1, 952 - 1, 65 - 1) = "1" ), 1, IF( AND( OFFSET($A$1, 952 - 1, 64 - 1) = "1", OFFSET($A$1, 952 - 1, 65 - 1) = "0" ), 2, IF( AND( OFFSET($A$1, 952 - 1, 64 - 1) = "0", OFFSET($A$1, 952 - 1, 65 - 1) = "1" ), 3, 4 ) ) )</f>
        <v>4</v>
      </c>
    </row>
    <row r="953" spans="58:66" x14ac:dyDescent="0.2">
      <c r="BF953" s="3">
        <v>0</v>
      </c>
      <c r="BG953" s="3" t="str">
        <f t="shared" si="105"/>
        <v>0</v>
      </c>
      <c r="BH953" t="str">
        <f ca="1">IF((OFFSET($A$1, 953 - 1, 58 - 1)) &gt;= (OFFSET($A$1, 96 - 1, 7 - 1)), "1","0")</f>
        <v>0</v>
      </c>
      <c r="BI953">
        <f ca="1" xml:space="preserve"> IF( AND( OFFSET($A$1, 953 - 1, 59 - 1) = "1", OFFSET($A$1, 953 - 1, 60 - 1) = "1" ), 1, IF( AND( OFFSET($A$1, 953 - 1, 59 - 1) = "1", OFFSET($A$1, 953 - 1, 60 - 1) = "0" ), 2, IF( AND( OFFSET($A$1, 953 - 1, 59 - 1) = "0", OFFSET($A$1, 953 - 1, 60 - 1) = "1" ), 3, 4 ) ) )</f>
        <v>4</v>
      </c>
      <c r="BK953" s="3">
        <v>6.6350710900473939E-2</v>
      </c>
      <c r="BL953" s="3" t="str">
        <f t="shared" si="107"/>
        <v>0</v>
      </c>
      <c r="BM953" t="str">
        <f ca="1">IF((OFFSET($A$1, 953 - 1, 63 - 1)) &gt;= (OFFSET($A$1, 135 - 1, 7 - 1)), "1","0")</f>
        <v>0</v>
      </c>
      <c r="BN953">
        <f ca="1" xml:space="preserve"> IF( AND( OFFSET($A$1, 953 - 1, 64 - 1) = "1", OFFSET($A$1, 953 - 1, 65 - 1) = "1" ), 1, IF( AND( OFFSET($A$1, 953 - 1, 64 - 1) = "1", OFFSET($A$1, 953 - 1, 65 - 1) = "0" ), 2, IF( AND( OFFSET($A$1, 953 - 1, 64 - 1) = "0", OFFSET($A$1, 953 - 1, 65 - 1) = "1" ), 3, 4 ) ) )</f>
        <v>4</v>
      </c>
    </row>
    <row r="954" spans="58:66" x14ac:dyDescent="0.2">
      <c r="BF954" s="3">
        <v>0.36</v>
      </c>
      <c r="BG954" s="3" t="str">
        <f>"1"</f>
        <v>1</v>
      </c>
      <c r="BH954" t="str">
        <f ca="1">IF((OFFSET($A$1, 954 - 1, 58 - 1)) &gt;= (OFFSET($A$1, 96 - 1, 7 - 1)), "1","0")</f>
        <v>0</v>
      </c>
      <c r="BI954">
        <f ca="1" xml:space="preserve"> IF( AND( OFFSET($A$1, 954 - 1, 59 - 1) = "1", OFFSET($A$1, 954 - 1, 60 - 1) = "1" ), 1, IF( AND( OFFSET($A$1, 954 - 1, 59 - 1) = "1", OFFSET($A$1, 954 - 1, 60 - 1) = "0" ), 2, IF( AND( OFFSET($A$1, 954 - 1, 59 - 1) = "0", OFFSET($A$1, 954 - 1, 60 - 1) = "1" ), 3, 4 ) ) )</f>
        <v>2</v>
      </c>
      <c r="BK954" s="3">
        <v>0.90579710144927539</v>
      </c>
      <c r="BL954" s="3" t="str">
        <f>"1"</f>
        <v>1</v>
      </c>
      <c r="BM954" t="str">
        <f ca="1">IF((OFFSET($A$1, 954 - 1, 63 - 1)) &gt;= (OFFSET($A$1, 135 - 1, 7 - 1)), "1","0")</f>
        <v>1</v>
      </c>
      <c r="BN954">
        <f ca="1" xml:space="preserve"> IF( AND( OFFSET($A$1, 954 - 1, 64 - 1) = "1", OFFSET($A$1, 954 - 1, 65 - 1) = "1" ), 1, IF( AND( OFFSET($A$1, 954 - 1, 64 - 1) = "1", OFFSET($A$1, 954 - 1, 65 - 1) = "0" ), 2, IF( AND( OFFSET($A$1, 954 - 1, 64 - 1) = "0", OFFSET($A$1, 954 - 1, 65 - 1) = "1" ), 3, 4 ) ) )</f>
        <v>1</v>
      </c>
    </row>
    <row r="955" spans="58:66" x14ac:dyDescent="0.2">
      <c r="BF955" s="3">
        <v>0</v>
      </c>
      <c r="BG955" s="3" t="str">
        <f t="shared" ref="BG955:BG964" si="108">"0"</f>
        <v>0</v>
      </c>
      <c r="BH955" t="str">
        <f ca="1">IF((OFFSET($A$1, 955 - 1, 58 - 1)) &gt;= (OFFSET($A$1, 96 - 1, 7 - 1)), "1","0")</f>
        <v>0</v>
      </c>
      <c r="BI955">
        <f ca="1" xml:space="preserve"> IF( AND( OFFSET($A$1, 955 - 1, 59 - 1) = "1", OFFSET($A$1, 955 - 1, 60 - 1) = "1" ), 1, IF( AND( OFFSET($A$1, 955 - 1, 59 - 1) = "1", OFFSET($A$1, 955 - 1, 60 - 1) = "0" ), 2, IF( AND( OFFSET($A$1, 955 - 1, 59 - 1) = "0", OFFSET($A$1, 955 - 1, 60 - 1) = "1" ), 3, 4 ) ) )</f>
        <v>4</v>
      </c>
      <c r="BK955" s="3">
        <v>6.6350710900473939E-2</v>
      </c>
      <c r="BL955" s="3" t="str">
        <f>"0"</f>
        <v>0</v>
      </c>
      <c r="BM955" t="str">
        <f ca="1">IF((OFFSET($A$1, 955 - 1, 63 - 1)) &gt;= (OFFSET($A$1, 135 - 1, 7 - 1)), "1","0")</f>
        <v>0</v>
      </c>
      <c r="BN955">
        <f ca="1" xml:space="preserve"> IF( AND( OFFSET($A$1, 955 - 1, 64 - 1) = "1", OFFSET($A$1, 955 - 1, 65 - 1) = "1" ), 1, IF( AND( OFFSET($A$1, 955 - 1, 64 - 1) = "1", OFFSET($A$1, 955 - 1, 65 - 1) = "0" ), 2, IF( AND( OFFSET($A$1, 955 - 1, 64 - 1) = "0", OFFSET($A$1, 955 - 1, 65 - 1) = "1" ), 3, 4 ) ) )</f>
        <v>4</v>
      </c>
    </row>
    <row r="956" spans="58:66" x14ac:dyDescent="0.2">
      <c r="BF956" s="3">
        <v>0.08</v>
      </c>
      <c r="BG956" s="3" t="str">
        <f t="shared" si="108"/>
        <v>0</v>
      </c>
      <c r="BH956" t="str">
        <f ca="1">IF((OFFSET($A$1, 956 - 1, 58 - 1)) &gt;= (OFFSET($A$1, 96 - 1, 7 - 1)), "1","0")</f>
        <v>0</v>
      </c>
      <c r="BI956">
        <f ca="1" xml:space="preserve"> IF( AND( OFFSET($A$1, 956 - 1, 59 - 1) = "1", OFFSET($A$1, 956 - 1, 60 - 1) = "1" ), 1, IF( AND( OFFSET($A$1, 956 - 1, 59 - 1) = "1", OFFSET($A$1, 956 - 1, 60 - 1) = "0" ), 2, IF( AND( OFFSET($A$1, 956 - 1, 59 - 1) = "0", OFFSET($A$1, 956 - 1, 60 - 1) = "1" ), 3, 4 ) ) )</f>
        <v>4</v>
      </c>
      <c r="BK956" s="3">
        <v>6.6350710900473939E-2</v>
      </c>
      <c r="BL956" s="3" t="str">
        <f>"1"</f>
        <v>1</v>
      </c>
      <c r="BM956" t="str">
        <f ca="1">IF((OFFSET($A$1, 956 - 1, 63 - 1)) &gt;= (OFFSET($A$1, 135 - 1, 7 - 1)), "1","0")</f>
        <v>0</v>
      </c>
      <c r="BN956">
        <f ca="1" xml:space="preserve"> IF( AND( OFFSET($A$1, 956 - 1, 64 - 1) = "1", OFFSET($A$1, 956 - 1, 65 - 1) = "1" ), 1, IF( AND( OFFSET($A$1, 956 - 1, 64 - 1) = "1", OFFSET($A$1, 956 - 1, 65 - 1) = "0" ), 2, IF( AND( OFFSET($A$1, 956 - 1, 64 - 1) = "0", OFFSET($A$1, 956 - 1, 65 - 1) = "1" ), 3, 4 ) ) )</f>
        <v>2</v>
      </c>
    </row>
    <row r="957" spans="58:66" x14ac:dyDescent="0.2">
      <c r="BF957" s="3">
        <v>0</v>
      </c>
      <c r="BG957" s="3" t="str">
        <f t="shared" si="108"/>
        <v>0</v>
      </c>
      <c r="BH957" t="str">
        <f ca="1">IF((OFFSET($A$1, 957 - 1, 58 - 1)) &gt;= (OFFSET($A$1, 96 - 1, 7 - 1)), "1","0")</f>
        <v>0</v>
      </c>
      <c r="BI957">
        <f ca="1" xml:space="preserve"> IF( AND( OFFSET($A$1, 957 - 1, 59 - 1) = "1", OFFSET($A$1, 957 - 1, 60 - 1) = "1" ), 1, IF( AND( OFFSET($A$1, 957 - 1, 59 - 1) = "1", OFFSET($A$1, 957 - 1, 60 - 1) = "0" ), 2, IF( AND( OFFSET($A$1, 957 - 1, 59 - 1) = "0", OFFSET($A$1, 957 - 1, 60 - 1) = "1" ), 3, 4 ) ) )</f>
        <v>4</v>
      </c>
      <c r="BK957" s="3">
        <v>6.6350710900473939E-2</v>
      </c>
      <c r="BL957" s="3" t="str">
        <f t="shared" ref="BL957:BL967" si="109">"0"</f>
        <v>0</v>
      </c>
      <c r="BM957" t="str">
        <f ca="1">IF((OFFSET($A$1, 957 - 1, 63 - 1)) &gt;= (OFFSET($A$1, 135 - 1, 7 - 1)), "1","0")</f>
        <v>0</v>
      </c>
      <c r="BN957">
        <f ca="1" xml:space="preserve"> IF( AND( OFFSET($A$1, 957 - 1, 64 - 1) = "1", OFFSET($A$1, 957 - 1, 65 - 1) = "1" ), 1, IF( AND( OFFSET($A$1, 957 - 1, 64 - 1) = "1", OFFSET($A$1, 957 - 1, 65 - 1) = "0" ), 2, IF( AND( OFFSET($A$1, 957 - 1, 64 - 1) = "0", OFFSET($A$1, 957 - 1, 65 - 1) = "1" ), 3, 4 ) ) )</f>
        <v>4</v>
      </c>
    </row>
    <row r="958" spans="58:66" x14ac:dyDescent="0.2">
      <c r="BF958" s="3">
        <v>3.7037037037037042E-2</v>
      </c>
      <c r="BG958" s="3" t="str">
        <f t="shared" si="108"/>
        <v>0</v>
      </c>
      <c r="BH958" t="str">
        <f ca="1">IF((OFFSET($A$1, 958 - 1, 58 - 1)) &gt;= (OFFSET($A$1, 96 - 1, 7 - 1)), "1","0")</f>
        <v>0</v>
      </c>
      <c r="BI958">
        <f ca="1" xml:space="preserve"> IF( AND( OFFSET($A$1, 958 - 1, 59 - 1) = "1", OFFSET($A$1, 958 - 1, 60 - 1) = "1" ), 1, IF( AND( OFFSET($A$1, 958 - 1, 59 - 1) = "1", OFFSET($A$1, 958 - 1, 60 - 1) = "0" ), 2, IF( AND( OFFSET($A$1, 958 - 1, 59 - 1) = "0", OFFSET($A$1, 958 - 1, 60 - 1) = "1" ), 3, 4 ) ) )</f>
        <v>4</v>
      </c>
      <c r="BK958" s="3">
        <v>6.6350710900473939E-2</v>
      </c>
      <c r="BL958" s="3" t="str">
        <f t="shared" si="109"/>
        <v>0</v>
      </c>
      <c r="BM958" t="str">
        <f ca="1">IF((OFFSET($A$1, 958 - 1, 63 - 1)) &gt;= (OFFSET($A$1, 135 - 1, 7 - 1)), "1","0")</f>
        <v>0</v>
      </c>
      <c r="BN958">
        <f ca="1" xml:space="preserve"> IF( AND( OFFSET($A$1, 958 - 1, 64 - 1) = "1", OFFSET($A$1, 958 - 1, 65 - 1) = "1" ), 1, IF( AND( OFFSET($A$1, 958 - 1, 64 - 1) = "1", OFFSET($A$1, 958 - 1, 65 - 1) = "0" ), 2, IF( AND( OFFSET($A$1, 958 - 1, 64 - 1) = "0", OFFSET($A$1, 958 - 1, 65 - 1) = "1" ), 3, 4 ) ) )</f>
        <v>4</v>
      </c>
    </row>
    <row r="959" spans="58:66" x14ac:dyDescent="0.2">
      <c r="BF959" s="3">
        <v>0</v>
      </c>
      <c r="BG959" s="3" t="str">
        <f t="shared" si="108"/>
        <v>0</v>
      </c>
      <c r="BH959" t="str">
        <f ca="1">IF((OFFSET($A$1, 959 - 1, 58 - 1)) &gt;= (OFFSET($A$1, 96 - 1, 7 - 1)), "1","0")</f>
        <v>0</v>
      </c>
      <c r="BI959">
        <f ca="1" xml:space="preserve"> IF( AND( OFFSET($A$1, 959 - 1, 59 - 1) = "1", OFFSET($A$1, 959 - 1, 60 - 1) = "1" ), 1, IF( AND( OFFSET($A$1, 959 - 1, 59 - 1) = "1", OFFSET($A$1, 959 - 1, 60 - 1) = "0" ), 2, IF( AND( OFFSET($A$1, 959 - 1, 59 - 1) = "0", OFFSET($A$1, 959 - 1, 60 - 1) = "1" ), 3, 4 ) ) )</f>
        <v>4</v>
      </c>
      <c r="BK959" s="3">
        <v>6.6350710900473939E-2</v>
      </c>
      <c r="BL959" s="3" t="str">
        <f t="shared" si="109"/>
        <v>0</v>
      </c>
      <c r="BM959" t="str">
        <f ca="1">IF((OFFSET($A$1, 959 - 1, 63 - 1)) &gt;= (OFFSET($A$1, 135 - 1, 7 - 1)), "1","0")</f>
        <v>0</v>
      </c>
      <c r="BN959">
        <f ca="1" xml:space="preserve"> IF( AND( OFFSET($A$1, 959 - 1, 64 - 1) = "1", OFFSET($A$1, 959 - 1, 65 - 1) = "1" ), 1, IF( AND( OFFSET($A$1, 959 - 1, 64 - 1) = "1", OFFSET($A$1, 959 - 1, 65 - 1) = "0" ), 2, IF( AND( OFFSET($A$1, 959 - 1, 64 - 1) = "0", OFFSET($A$1, 959 - 1, 65 - 1) = "1" ), 3, 4 ) ) )</f>
        <v>4</v>
      </c>
    </row>
    <row r="960" spans="58:66" x14ac:dyDescent="0.2">
      <c r="BF960" s="3">
        <v>0</v>
      </c>
      <c r="BG960" s="3" t="str">
        <f t="shared" si="108"/>
        <v>0</v>
      </c>
      <c r="BH960" t="str">
        <f ca="1">IF((OFFSET($A$1, 960 - 1, 58 - 1)) &gt;= (OFFSET($A$1, 96 - 1, 7 - 1)), "1","0")</f>
        <v>0</v>
      </c>
      <c r="BI960">
        <f ca="1" xml:space="preserve"> IF( AND( OFFSET($A$1, 960 - 1, 59 - 1) = "1", OFFSET($A$1, 960 - 1, 60 - 1) = "1" ), 1, IF( AND( OFFSET($A$1, 960 - 1, 59 - 1) = "1", OFFSET($A$1, 960 - 1, 60 - 1) = "0" ), 2, IF( AND( OFFSET($A$1, 960 - 1, 59 - 1) = "0", OFFSET($A$1, 960 - 1, 60 - 1) = "1" ), 3, 4 ) ) )</f>
        <v>4</v>
      </c>
      <c r="BK960" s="3">
        <v>2.5316455696202531E-2</v>
      </c>
      <c r="BL960" s="3" t="str">
        <f t="shared" si="109"/>
        <v>0</v>
      </c>
      <c r="BM960" t="str">
        <f ca="1">IF((OFFSET($A$1, 960 - 1, 63 - 1)) &gt;= (OFFSET($A$1, 135 - 1, 7 - 1)), "1","0")</f>
        <v>0</v>
      </c>
      <c r="BN960">
        <f ca="1" xml:space="preserve"> IF( AND( OFFSET($A$1, 960 - 1, 64 - 1) = "1", OFFSET($A$1, 960 - 1, 65 - 1) = "1" ), 1, IF( AND( OFFSET($A$1, 960 - 1, 64 - 1) = "1", OFFSET($A$1, 960 - 1, 65 - 1) = "0" ), 2, IF( AND( OFFSET($A$1, 960 - 1, 64 - 1) = "0", OFFSET($A$1, 960 - 1, 65 - 1) = "1" ), 3, 4 ) ) )</f>
        <v>4</v>
      </c>
    </row>
    <row r="961" spans="58:66" x14ac:dyDescent="0.2">
      <c r="BF961" s="3">
        <v>0</v>
      </c>
      <c r="BG961" s="3" t="str">
        <f t="shared" si="108"/>
        <v>0</v>
      </c>
      <c r="BH961" t="str">
        <f ca="1">IF((OFFSET($A$1, 961 - 1, 58 - 1)) &gt;= (OFFSET($A$1, 96 - 1, 7 - 1)), "1","0")</f>
        <v>0</v>
      </c>
      <c r="BI961">
        <f ca="1" xml:space="preserve"> IF( AND( OFFSET($A$1, 961 - 1, 59 - 1) = "1", OFFSET($A$1, 961 - 1, 60 - 1) = "1" ), 1, IF( AND( OFFSET($A$1, 961 - 1, 59 - 1) = "1", OFFSET($A$1, 961 - 1, 60 - 1) = "0" ), 2, IF( AND( OFFSET($A$1, 961 - 1, 59 - 1) = "0", OFFSET($A$1, 961 - 1, 60 - 1) = "1" ), 3, 4 ) ) )</f>
        <v>4</v>
      </c>
      <c r="BK961" s="3">
        <v>6.6350710900473939E-2</v>
      </c>
      <c r="BL961" s="3" t="str">
        <f t="shared" si="109"/>
        <v>0</v>
      </c>
      <c r="BM961" t="str">
        <f ca="1">IF((OFFSET($A$1, 961 - 1, 63 - 1)) &gt;= (OFFSET($A$1, 135 - 1, 7 - 1)), "1","0")</f>
        <v>0</v>
      </c>
      <c r="BN961">
        <f ca="1" xml:space="preserve"> IF( AND( OFFSET($A$1, 961 - 1, 64 - 1) = "1", OFFSET($A$1, 961 - 1, 65 - 1) = "1" ), 1, IF( AND( OFFSET($A$1, 961 - 1, 64 - 1) = "1", OFFSET($A$1, 961 - 1, 65 - 1) = "0" ), 2, IF( AND( OFFSET($A$1, 961 - 1, 64 - 1) = "0", OFFSET($A$1, 961 - 1, 65 - 1) = "1" ), 3, 4 ) ) )</f>
        <v>4</v>
      </c>
    </row>
    <row r="962" spans="58:66" x14ac:dyDescent="0.2">
      <c r="BF962" s="3">
        <v>0.36</v>
      </c>
      <c r="BG962" s="3" t="str">
        <f t="shared" si="108"/>
        <v>0</v>
      </c>
      <c r="BH962" t="str">
        <f ca="1">IF((OFFSET($A$1, 962 - 1, 58 - 1)) &gt;= (OFFSET($A$1, 96 - 1, 7 - 1)), "1","0")</f>
        <v>0</v>
      </c>
      <c r="BI962">
        <f ca="1" xml:space="preserve"> IF( AND( OFFSET($A$1, 962 - 1, 59 - 1) = "1", OFFSET($A$1, 962 - 1, 60 - 1) = "1" ), 1, IF( AND( OFFSET($A$1, 962 - 1, 59 - 1) = "1", OFFSET($A$1, 962 - 1, 60 - 1) = "0" ), 2, IF( AND( OFFSET($A$1, 962 - 1, 59 - 1) = "0", OFFSET($A$1, 962 - 1, 60 - 1) = "1" ), 3, 4 ) ) )</f>
        <v>4</v>
      </c>
      <c r="BK962" s="3">
        <v>6.6350710900473939E-2</v>
      </c>
      <c r="BL962" s="3" t="str">
        <f t="shared" si="109"/>
        <v>0</v>
      </c>
      <c r="BM962" t="str">
        <f ca="1">IF((OFFSET($A$1, 962 - 1, 63 - 1)) &gt;= (OFFSET($A$1, 135 - 1, 7 - 1)), "1","0")</f>
        <v>0</v>
      </c>
      <c r="BN962">
        <f ca="1" xml:space="preserve"> IF( AND( OFFSET($A$1, 962 - 1, 64 - 1) = "1", OFFSET($A$1, 962 - 1, 65 - 1) = "1" ), 1, IF( AND( OFFSET($A$1, 962 - 1, 64 - 1) = "1", OFFSET($A$1, 962 - 1, 65 - 1) = "0" ), 2, IF( AND( OFFSET($A$1, 962 - 1, 64 - 1) = "0", OFFSET($A$1, 962 - 1, 65 - 1) = "1" ), 3, 4 ) ) )</f>
        <v>4</v>
      </c>
    </row>
    <row r="963" spans="58:66" x14ac:dyDescent="0.2">
      <c r="BF963" s="3">
        <v>0.47692307692307689</v>
      </c>
      <c r="BG963" s="3" t="str">
        <f t="shared" si="108"/>
        <v>0</v>
      </c>
      <c r="BH963" t="str">
        <f ca="1">IF((OFFSET($A$1, 963 - 1, 58 - 1)) &gt;= (OFFSET($A$1, 96 - 1, 7 - 1)), "1","0")</f>
        <v>0</v>
      </c>
      <c r="BI963">
        <f ca="1" xml:space="preserve"> IF( AND( OFFSET($A$1, 963 - 1, 59 - 1) = "1", OFFSET($A$1, 963 - 1, 60 - 1) = "1" ), 1, IF( AND( OFFSET($A$1, 963 - 1, 59 - 1) = "1", OFFSET($A$1, 963 - 1, 60 - 1) = "0" ), 2, IF( AND( OFFSET($A$1, 963 - 1, 59 - 1) = "0", OFFSET($A$1, 963 - 1, 60 - 1) = "1" ), 3, 4 ) ) )</f>
        <v>4</v>
      </c>
      <c r="BK963" s="3">
        <v>0.36</v>
      </c>
      <c r="BL963" s="3" t="str">
        <f t="shared" si="109"/>
        <v>0</v>
      </c>
      <c r="BM963" t="str">
        <f ca="1">IF((OFFSET($A$1, 963 - 1, 63 - 1)) &gt;= (OFFSET($A$1, 135 - 1, 7 - 1)), "1","0")</f>
        <v>0</v>
      </c>
      <c r="BN963">
        <f ca="1" xml:space="preserve"> IF( AND( OFFSET($A$1, 963 - 1, 64 - 1) = "1", OFFSET($A$1, 963 - 1, 65 - 1) = "1" ), 1, IF( AND( OFFSET($A$1, 963 - 1, 64 - 1) = "1", OFFSET($A$1, 963 - 1, 65 - 1) = "0" ), 2, IF( AND( OFFSET($A$1, 963 - 1, 64 - 1) = "0", OFFSET($A$1, 963 - 1, 65 - 1) = "1" ), 3, 4 ) ) )</f>
        <v>4</v>
      </c>
    </row>
    <row r="964" spans="58:66" x14ac:dyDescent="0.2">
      <c r="BF964" s="3">
        <v>0.38775510204081637</v>
      </c>
      <c r="BG964" s="3" t="str">
        <f t="shared" si="108"/>
        <v>0</v>
      </c>
      <c r="BH964" t="str">
        <f ca="1">IF((OFFSET($A$1, 964 - 1, 58 - 1)) &gt;= (OFFSET($A$1, 96 - 1, 7 - 1)), "1","0")</f>
        <v>0</v>
      </c>
      <c r="BI964">
        <f ca="1" xml:space="preserve"> IF( AND( OFFSET($A$1, 964 - 1, 59 - 1) = "1", OFFSET($A$1, 964 - 1, 60 - 1) = "1" ), 1, IF( AND( OFFSET($A$1, 964 - 1, 59 - 1) = "1", OFFSET($A$1, 964 - 1, 60 - 1) = "0" ), 2, IF( AND( OFFSET($A$1, 964 - 1, 59 - 1) = "0", OFFSET($A$1, 964 - 1, 60 - 1) = "1" ), 3, 4 ) ) )</f>
        <v>4</v>
      </c>
      <c r="BK964" s="3">
        <v>6.6350710900473939E-2</v>
      </c>
      <c r="BL964" s="3" t="str">
        <f t="shared" si="109"/>
        <v>0</v>
      </c>
      <c r="BM964" t="str">
        <f ca="1">IF((OFFSET($A$1, 964 - 1, 63 - 1)) &gt;= (OFFSET($A$1, 135 - 1, 7 - 1)), "1","0")</f>
        <v>0</v>
      </c>
      <c r="BN964">
        <f ca="1" xml:space="preserve"> IF( AND( OFFSET($A$1, 964 - 1, 64 - 1) = "1", OFFSET($A$1, 964 - 1, 65 - 1) = "1" ), 1, IF( AND( OFFSET($A$1, 964 - 1, 64 - 1) = "1", OFFSET($A$1, 964 - 1, 65 - 1) = "0" ), 2, IF( AND( OFFSET($A$1, 964 - 1, 64 - 1) = "0", OFFSET($A$1, 964 - 1, 65 - 1) = "1" ), 3, 4 ) ) )</f>
        <v>4</v>
      </c>
    </row>
    <row r="965" spans="58:66" x14ac:dyDescent="0.2">
      <c r="BF965" s="3">
        <v>0.47692307692307689</v>
      </c>
      <c r="BG965" s="3" t="str">
        <f>"1"</f>
        <v>1</v>
      </c>
      <c r="BH965" t="str">
        <f ca="1">IF((OFFSET($A$1, 965 - 1, 58 - 1)) &gt;= (OFFSET($A$1, 96 - 1, 7 - 1)), "1","0")</f>
        <v>0</v>
      </c>
      <c r="BI965">
        <f ca="1" xml:space="preserve"> IF( AND( OFFSET($A$1, 965 - 1, 59 - 1) = "1", OFFSET($A$1, 965 - 1, 60 - 1) = "1" ), 1, IF( AND( OFFSET($A$1, 965 - 1, 59 - 1) = "1", OFFSET($A$1, 965 - 1, 60 - 1) = "0" ), 2, IF( AND( OFFSET($A$1, 965 - 1, 59 - 1) = "0", OFFSET($A$1, 965 - 1, 60 - 1) = "1" ), 3, 4 ) ) )</f>
        <v>2</v>
      </c>
      <c r="BK965" s="3">
        <v>6.6350710900473939E-2</v>
      </c>
      <c r="BL965" s="3" t="str">
        <f t="shared" si="109"/>
        <v>0</v>
      </c>
      <c r="BM965" t="str">
        <f ca="1">IF((OFFSET($A$1, 965 - 1, 63 - 1)) &gt;= (OFFSET($A$1, 135 - 1, 7 - 1)), "1","0")</f>
        <v>0</v>
      </c>
      <c r="BN965">
        <f ca="1" xml:space="preserve"> IF( AND( OFFSET($A$1, 965 - 1, 64 - 1) = "1", OFFSET($A$1, 965 - 1, 65 - 1) = "1" ), 1, IF( AND( OFFSET($A$1, 965 - 1, 64 - 1) = "1", OFFSET($A$1, 965 - 1, 65 - 1) = "0" ), 2, IF( AND( OFFSET($A$1, 965 - 1, 64 - 1) = "0", OFFSET($A$1, 965 - 1, 65 - 1) = "1" ), 3, 4 ) ) )</f>
        <v>4</v>
      </c>
    </row>
    <row r="966" spans="58:66" x14ac:dyDescent="0.2">
      <c r="BF966" s="3">
        <v>0</v>
      </c>
      <c r="BG966" s="3" t="str">
        <f t="shared" ref="BG966:BG984" si="110">"0"</f>
        <v>0</v>
      </c>
      <c r="BH966" t="str">
        <f ca="1">IF((OFFSET($A$1, 966 - 1, 58 - 1)) &gt;= (OFFSET($A$1, 96 - 1, 7 - 1)), "1","0")</f>
        <v>0</v>
      </c>
      <c r="BI966">
        <f ca="1" xml:space="preserve"> IF( AND( OFFSET($A$1, 966 - 1, 59 - 1) = "1", OFFSET($A$1, 966 - 1, 60 - 1) = "1" ), 1, IF( AND( OFFSET($A$1, 966 - 1, 59 - 1) = "1", OFFSET($A$1, 966 - 1, 60 - 1) = "0" ), 2, IF( AND( OFFSET($A$1, 966 - 1, 59 - 1) = "0", OFFSET($A$1, 966 - 1, 60 - 1) = "1" ), 3, 4 ) ) )</f>
        <v>4</v>
      </c>
      <c r="BK966" s="3">
        <v>6.6350710900473939E-2</v>
      </c>
      <c r="BL966" s="3" t="str">
        <f t="shared" si="109"/>
        <v>0</v>
      </c>
      <c r="BM966" t="str">
        <f ca="1">IF((OFFSET($A$1, 966 - 1, 63 - 1)) &gt;= (OFFSET($A$1, 135 - 1, 7 - 1)), "1","0")</f>
        <v>0</v>
      </c>
      <c r="BN966">
        <f ca="1" xml:space="preserve"> IF( AND( OFFSET($A$1, 966 - 1, 64 - 1) = "1", OFFSET($A$1, 966 - 1, 65 - 1) = "1" ), 1, IF( AND( OFFSET($A$1, 966 - 1, 64 - 1) = "1", OFFSET($A$1, 966 - 1, 65 - 1) = "0" ), 2, IF( AND( OFFSET($A$1, 966 - 1, 64 - 1) = "0", OFFSET($A$1, 966 - 1, 65 - 1) = "1" ), 3, 4 ) ) )</f>
        <v>4</v>
      </c>
    </row>
    <row r="967" spans="58:66" x14ac:dyDescent="0.2">
      <c r="BF967" s="3">
        <v>0.08</v>
      </c>
      <c r="BG967" s="3" t="str">
        <f t="shared" si="110"/>
        <v>0</v>
      </c>
      <c r="BH967" t="str">
        <f ca="1">IF((OFFSET($A$1, 967 - 1, 58 - 1)) &gt;= (OFFSET($A$1, 96 - 1, 7 - 1)), "1","0")</f>
        <v>0</v>
      </c>
      <c r="BI967">
        <f ca="1" xml:space="preserve"> IF( AND( OFFSET($A$1, 967 - 1, 59 - 1) = "1", OFFSET($A$1, 967 - 1, 60 - 1) = "1" ), 1, IF( AND( OFFSET($A$1, 967 - 1, 59 - 1) = "1", OFFSET($A$1, 967 - 1, 60 - 1) = "0" ), 2, IF( AND( OFFSET($A$1, 967 - 1, 59 - 1) = "0", OFFSET($A$1, 967 - 1, 60 - 1) = "1" ), 3, 4 ) ) )</f>
        <v>4</v>
      </c>
      <c r="BK967" s="3">
        <v>6.6350710900473939E-2</v>
      </c>
      <c r="BL967" s="3" t="str">
        <f t="shared" si="109"/>
        <v>0</v>
      </c>
      <c r="BM967" t="str">
        <f ca="1">IF((OFFSET($A$1, 967 - 1, 63 - 1)) &gt;= (OFFSET($A$1, 135 - 1, 7 - 1)), "1","0")</f>
        <v>0</v>
      </c>
      <c r="BN967">
        <f ca="1" xml:space="preserve"> IF( AND( OFFSET($A$1, 967 - 1, 64 - 1) = "1", OFFSET($A$1, 967 - 1, 65 - 1) = "1" ), 1, IF( AND( OFFSET($A$1, 967 - 1, 64 - 1) = "1", OFFSET($A$1, 967 - 1, 65 - 1) = "0" ), 2, IF( AND( OFFSET($A$1, 967 - 1, 64 - 1) = "0", OFFSET($A$1, 967 - 1, 65 - 1) = "1" ), 3, 4 ) ) )</f>
        <v>4</v>
      </c>
    </row>
    <row r="968" spans="58:66" x14ac:dyDescent="0.2">
      <c r="BF968" s="3">
        <v>0.08</v>
      </c>
      <c r="BG968" s="3" t="str">
        <f t="shared" si="110"/>
        <v>0</v>
      </c>
      <c r="BH968" t="str">
        <f ca="1">IF((OFFSET($A$1, 968 - 1, 58 - 1)) &gt;= (OFFSET($A$1, 96 - 1, 7 - 1)), "1","0")</f>
        <v>0</v>
      </c>
      <c r="BI968">
        <f ca="1" xml:space="preserve"> IF( AND( OFFSET($A$1, 968 - 1, 59 - 1) = "1", OFFSET($A$1, 968 - 1, 60 - 1) = "1" ), 1, IF( AND( OFFSET($A$1, 968 - 1, 59 - 1) = "1", OFFSET($A$1, 968 - 1, 60 - 1) = "0" ), 2, IF( AND( OFFSET($A$1, 968 - 1, 59 - 1) = "0", OFFSET($A$1, 968 - 1, 60 - 1) = "1" ), 3, 4 ) ) )</f>
        <v>4</v>
      </c>
      <c r="BK968" s="3">
        <v>0.90579710144927539</v>
      </c>
      <c r="BL968" s="3" t="str">
        <f>"1"</f>
        <v>1</v>
      </c>
      <c r="BM968" t="str">
        <f ca="1">IF((OFFSET($A$1, 968 - 1, 63 - 1)) &gt;= (OFFSET($A$1, 135 - 1, 7 - 1)), "1","0")</f>
        <v>1</v>
      </c>
      <c r="BN968">
        <f ca="1" xml:space="preserve"> IF( AND( OFFSET($A$1, 968 - 1, 64 - 1) = "1", OFFSET($A$1, 968 - 1, 65 - 1) = "1" ), 1, IF( AND( OFFSET($A$1, 968 - 1, 64 - 1) = "1", OFFSET($A$1, 968 - 1, 65 - 1) = "0" ), 2, IF( AND( OFFSET($A$1, 968 - 1, 64 - 1) = "0", OFFSET($A$1, 968 - 1, 65 - 1) = "1" ), 3, 4 ) ) )</f>
        <v>1</v>
      </c>
    </row>
    <row r="969" spans="58:66" x14ac:dyDescent="0.2">
      <c r="BF969" s="3">
        <v>0</v>
      </c>
      <c r="BG969" s="3" t="str">
        <f t="shared" si="110"/>
        <v>0</v>
      </c>
      <c r="BH969" t="str">
        <f ca="1">IF((OFFSET($A$1, 969 - 1, 58 - 1)) &gt;= (OFFSET($A$1, 96 - 1, 7 - 1)), "1","0")</f>
        <v>0</v>
      </c>
      <c r="BI969">
        <f ca="1" xml:space="preserve"> IF( AND( OFFSET($A$1, 969 - 1, 59 - 1) = "1", OFFSET($A$1, 969 - 1, 60 - 1) = "1" ), 1, IF( AND( OFFSET($A$1, 969 - 1, 59 - 1) = "1", OFFSET($A$1, 969 - 1, 60 - 1) = "0" ), 2, IF( AND( OFFSET($A$1, 969 - 1, 59 - 1) = "0", OFFSET($A$1, 969 - 1, 60 - 1) = "1" ), 3, 4 ) ) )</f>
        <v>4</v>
      </c>
      <c r="BK969" s="3">
        <v>6.6350710900473939E-2</v>
      </c>
      <c r="BL969" s="3" t="str">
        <f>"0"</f>
        <v>0</v>
      </c>
      <c r="BM969" t="str">
        <f ca="1">IF((OFFSET($A$1, 969 - 1, 63 - 1)) &gt;= (OFFSET($A$1, 135 - 1, 7 - 1)), "1","0")</f>
        <v>0</v>
      </c>
      <c r="BN969">
        <f ca="1" xml:space="preserve"> IF( AND( OFFSET($A$1, 969 - 1, 64 - 1) = "1", OFFSET($A$1, 969 - 1, 65 - 1) = "1" ), 1, IF( AND( OFFSET($A$1, 969 - 1, 64 - 1) = "1", OFFSET($A$1, 969 - 1, 65 - 1) = "0" ), 2, IF( AND( OFFSET($A$1, 969 - 1, 64 - 1) = "0", OFFSET($A$1, 969 - 1, 65 - 1) = "1" ), 3, 4 ) ) )</f>
        <v>4</v>
      </c>
    </row>
    <row r="970" spans="58:66" x14ac:dyDescent="0.2">
      <c r="BF970" s="3">
        <v>0</v>
      </c>
      <c r="BG970" s="3" t="str">
        <f t="shared" si="110"/>
        <v>0</v>
      </c>
      <c r="BH970" t="str">
        <f ca="1">IF((OFFSET($A$1, 970 - 1, 58 - 1)) &gt;= (OFFSET($A$1, 96 - 1, 7 - 1)), "1","0")</f>
        <v>0</v>
      </c>
      <c r="BI970">
        <f ca="1" xml:space="preserve"> IF( AND( OFFSET($A$1, 970 - 1, 59 - 1) = "1", OFFSET($A$1, 970 - 1, 60 - 1) = "1" ), 1, IF( AND( OFFSET($A$1, 970 - 1, 59 - 1) = "1", OFFSET($A$1, 970 - 1, 60 - 1) = "0" ), 2, IF( AND( OFFSET($A$1, 970 - 1, 59 - 1) = "0", OFFSET($A$1, 970 - 1, 60 - 1) = "1" ), 3, 4 ) ) )</f>
        <v>4</v>
      </c>
      <c r="BK970" s="3">
        <v>6.6350710900473939E-2</v>
      </c>
      <c r="BL970" s="3" t="str">
        <f>"0"</f>
        <v>0</v>
      </c>
      <c r="BM970" t="str">
        <f ca="1">IF((OFFSET($A$1, 970 - 1, 63 - 1)) &gt;= (OFFSET($A$1, 135 - 1, 7 - 1)), "1","0")</f>
        <v>0</v>
      </c>
      <c r="BN970">
        <f ca="1" xml:space="preserve"> IF( AND( OFFSET($A$1, 970 - 1, 64 - 1) = "1", OFFSET($A$1, 970 - 1, 65 - 1) = "1" ), 1, IF( AND( OFFSET($A$1, 970 - 1, 64 - 1) = "1", OFFSET($A$1, 970 - 1, 65 - 1) = "0" ), 2, IF( AND( OFFSET($A$1, 970 - 1, 64 - 1) = "0", OFFSET($A$1, 970 - 1, 65 - 1) = "1" ), 3, 4 ) ) )</f>
        <v>4</v>
      </c>
    </row>
    <row r="971" spans="58:66" x14ac:dyDescent="0.2">
      <c r="BF971" s="3">
        <v>0</v>
      </c>
      <c r="BG971" s="3" t="str">
        <f t="shared" si="110"/>
        <v>0</v>
      </c>
      <c r="BH971" t="str">
        <f ca="1">IF((OFFSET($A$1, 971 - 1, 58 - 1)) &gt;= (OFFSET($A$1, 96 - 1, 7 - 1)), "1","0")</f>
        <v>0</v>
      </c>
      <c r="BI971">
        <f ca="1" xml:space="preserve"> IF( AND( OFFSET($A$1, 971 - 1, 59 - 1) = "1", OFFSET($A$1, 971 - 1, 60 - 1) = "1" ), 1, IF( AND( OFFSET($A$1, 971 - 1, 59 - 1) = "1", OFFSET($A$1, 971 - 1, 60 - 1) = "0" ), 2, IF( AND( OFFSET($A$1, 971 - 1, 59 - 1) = "0", OFFSET($A$1, 971 - 1, 60 - 1) = "1" ), 3, 4 ) ) )</f>
        <v>4</v>
      </c>
      <c r="BK971" s="3">
        <v>2.5316455696202531E-2</v>
      </c>
      <c r="BL971" s="3" t="str">
        <f>"0"</f>
        <v>0</v>
      </c>
      <c r="BM971" t="str">
        <f ca="1">IF((OFFSET($A$1, 971 - 1, 63 - 1)) &gt;= (OFFSET($A$1, 135 - 1, 7 - 1)), "1","0")</f>
        <v>0</v>
      </c>
      <c r="BN971">
        <f ca="1" xml:space="preserve"> IF( AND( OFFSET($A$1, 971 - 1, 64 - 1) = "1", OFFSET($A$1, 971 - 1, 65 - 1) = "1" ), 1, IF( AND( OFFSET($A$1, 971 - 1, 64 - 1) = "1", OFFSET($A$1, 971 - 1, 65 - 1) = "0" ), 2, IF( AND( OFFSET($A$1, 971 - 1, 64 - 1) = "0", OFFSET($A$1, 971 - 1, 65 - 1) = "1" ), 3, 4 ) ) )</f>
        <v>4</v>
      </c>
    </row>
    <row r="972" spans="58:66" x14ac:dyDescent="0.2">
      <c r="BF972" s="3">
        <v>0.08</v>
      </c>
      <c r="BG972" s="3" t="str">
        <f t="shared" si="110"/>
        <v>0</v>
      </c>
      <c r="BH972" t="str">
        <f ca="1">IF((OFFSET($A$1, 972 - 1, 58 - 1)) &gt;= (OFFSET($A$1, 96 - 1, 7 - 1)), "1","0")</f>
        <v>0</v>
      </c>
      <c r="BI972">
        <f ca="1" xml:space="preserve"> IF( AND( OFFSET($A$1, 972 - 1, 59 - 1) = "1", OFFSET($A$1, 972 - 1, 60 - 1) = "1" ), 1, IF( AND( OFFSET($A$1, 972 - 1, 59 - 1) = "1", OFFSET($A$1, 972 - 1, 60 - 1) = "0" ), 2, IF( AND( OFFSET($A$1, 972 - 1, 59 - 1) = "0", OFFSET($A$1, 972 - 1, 60 - 1) = "1" ), 3, 4 ) ) )</f>
        <v>4</v>
      </c>
      <c r="BK972" s="3">
        <v>0.90579710144927539</v>
      </c>
      <c r="BL972" s="3" t="str">
        <f>"1"</f>
        <v>1</v>
      </c>
      <c r="BM972" t="str">
        <f ca="1">IF((OFFSET($A$1, 972 - 1, 63 - 1)) &gt;= (OFFSET($A$1, 135 - 1, 7 - 1)), "1","0")</f>
        <v>1</v>
      </c>
      <c r="BN972">
        <f ca="1" xml:space="preserve"> IF( AND( OFFSET($A$1, 972 - 1, 64 - 1) = "1", OFFSET($A$1, 972 - 1, 65 - 1) = "1" ), 1, IF( AND( OFFSET($A$1, 972 - 1, 64 - 1) = "1", OFFSET($A$1, 972 - 1, 65 - 1) = "0" ), 2, IF( AND( OFFSET($A$1, 972 - 1, 64 - 1) = "0", OFFSET($A$1, 972 - 1, 65 - 1) = "1" ), 3, 4 ) ) )</f>
        <v>1</v>
      </c>
    </row>
    <row r="973" spans="58:66" x14ac:dyDescent="0.2">
      <c r="BF973" s="3">
        <v>3.7037037037037042E-2</v>
      </c>
      <c r="BG973" s="3" t="str">
        <f t="shared" si="110"/>
        <v>0</v>
      </c>
      <c r="BH973" t="str">
        <f ca="1">IF((OFFSET($A$1, 973 - 1, 58 - 1)) &gt;= (OFFSET($A$1, 96 - 1, 7 - 1)), "1","0")</f>
        <v>0</v>
      </c>
      <c r="BI973">
        <f ca="1" xml:space="preserve"> IF( AND( OFFSET($A$1, 973 - 1, 59 - 1) = "1", OFFSET($A$1, 973 - 1, 60 - 1) = "1" ), 1, IF( AND( OFFSET($A$1, 973 - 1, 59 - 1) = "1", OFFSET($A$1, 973 - 1, 60 - 1) = "0" ), 2, IF( AND( OFFSET($A$1, 973 - 1, 59 - 1) = "0", OFFSET($A$1, 973 - 1, 60 - 1) = "1" ), 3, 4 ) ) )</f>
        <v>4</v>
      </c>
      <c r="BK973" s="3">
        <v>6.6350710900473939E-2</v>
      </c>
      <c r="BL973" s="3" t="str">
        <f t="shared" ref="BL973:BL980" si="111">"0"</f>
        <v>0</v>
      </c>
      <c r="BM973" t="str">
        <f ca="1">IF((OFFSET($A$1, 973 - 1, 63 - 1)) &gt;= (OFFSET($A$1, 135 - 1, 7 - 1)), "1","0")</f>
        <v>0</v>
      </c>
      <c r="BN973">
        <f ca="1" xml:space="preserve"> IF( AND( OFFSET($A$1, 973 - 1, 64 - 1) = "1", OFFSET($A$1, 973 - 1, 65 - 1) = "1" ), 1, IF( AND( OFFSET($A$1, 973 - 1, 64 - 1) = "1", OFFSET($A$1, 973 - 1, 65 - 1) = "0" ), 2, IF( AND( OFFSET($A$1, 973 - 1, 64 - 1) = "0", OFFSET($A$1, 973 - 1, 65 - 1) = "1" ), 3, 4 ) ) )</f>
        <v>4</v>
      </c>
    </row>
    <row r="974" spans="58:66" x14ac:dyDescent="0.2">
      <c r="BF974" s="3">
        <v>0.47692307692307689</v>
      </c>
      <c r="BG974" s="3" t="str">
        <f t="shared" si="110"/>
        <v>0</v>
      </c>
      <c r="BH974" t="str">
        <f ca="1">IF((OFFSET($A$1, 974 - 1, 58 - 1)) &gt;= (OFFSET($A$1, 96 - 1, 7 - 1)), "1","0")</f>
        <v>0</v>
      </c>
      <c r="BI974">
        <f ca="1" xml:space="preserve"> IF( AND( OFFSET($A$1, 974 - 1, 59 - 1) = "1", OFFSET($A$1, 974 - 1, 60 - 1) = "1" ), 1, IF( AND( OFFSET($A$1, 974 - 1, 59 - 1) = "1", OFFSET($A$1, 974 - 1, 60 - 1) = "0" ), 2, IF( AND( OFFSET($A$1, 974 - 1, 59 - 1) = "0", OFFSET($A$1, 974 - 1, 60 - 1) = "1" ), 3, 4 ) ) )</f>
        <v>4</v>
      </c>
      <c r="BK974" s="3">
        <v>6.6350710900473939E-2</v>
      </c>
      <c r="BL974" s="3" t="str">
        <f t="shared" si="111"/>
        <v>0</v>
      </c>
      <c r="BM974" t="str">
        <f ca="1">IF((OFFSET($A$1, 974 - 1, 63 - 1)) &gt;= (OFFSET($A$1, 135 - 1, 7 - 1)), "1","0")</f>
        <v>0</v>
      </c>
      <c r="BN974">
        <f ca="1" xml:space="preserve"> IF( AND( OFFSET($A$1, 974 - 1, 64 - 1) = "1", OFFSET($A$1, 974 - 1, 65 - 1) = "1" ), 1, IF( AND( OFFSET($A$1, 974 - 1, 64 - 1) = "1", OFFSET($A$1, 974 - 1, 65 - 1) = "0" ), 2, IF( AND( OFFSET($A$1, 974 - 1, 64 - 1) = "0", OFFSET($A$1, 974 - 1, 65 - 1) = "1" ), 3, 4 ) ) )</f>
        <v>4</v>
      </c>
    </row>
    <row r="975" spans="58:66" x14ac:dyDescent="0.2">
      <c r="BF975" s="3">
        <v>0</v>
      </c>
      <c r="BG975" s="3" t="str">
        <f t="shared" si="110"/>
        <v>0</v>
      </c>
      <c r="BH975" t="str">
        <f ca="1">IF((OFFSET($A$1, 975 - 1, 58 - 1)) &gt;= (OFFSET($A$1, 96 - 1, 7 - 1)), "1","0")</f>
        <v>0</v>
      </c>
      <c r="BI975">
        <f ca="1" xml:space="preserve"> IF( AND( OFFSET($A$1, 975 - 1, 59 - 1) = "1", OFFSET($A$1, 975 - 1, 60 - 1) = "1" ), 1, IF( AND( OFFSET($A$1, 975 - 1, 59 - 1) = "1", OFFSET($A$1, 975 - 1, 60 - 1) = "0" ), 2, IF( AND( OFFSET($A$1, 975 - 1, 59 - 1) = "0", OFFSET($A$1, 975 - 1, 60 - 1) = "1" ), 3, 4 ) ) )</f>
        <v>4</v>
      </c>
      <c r="BK975" s="3">
        <v>6.6350710900473939E-2</v>
      </c>
      <c r="BL975" s="3" t="str">
        <f t="shared" si="111"/>
        <v>0</v>
      </c>
      <c r="BM975" t="str">
        <f ca="1">IF((OFFSET($A$1, 975 - 1, 63 - 1)) &gt;= (OFFSET($A$1, 135 - 1, 7 - 1)), "1","0")</f>
        <v>0</v>
      </c>
      <c r="BN975">
        <f ca="1" xml:space="preserve"> IF( AND( OFFSET($A$1, 975 - 1, 64 - 1) = "1", OFFSET($A$1, 975 - 1, 65 - 1) = "1" ), 1, IF( AND( OFFSET($A$1, 975 - 1, 64 - 1) = "1", OFFSET($A$1, 975 - 1, 65 - 1) = "0" ), 2, IF( AND( OFFSET($A$1, 975 - 1, 64 - 1) = "0", OFFSET($A$1, 975 - 1, 65 - 1) = "1" ), 3, 4 ) ) )</f>
        <v>4</v>
      </c>
    </row>
    <row r="976" spans="58:66" x14ac:dyDescent="0.2">
      <c r="BF976" s="3">
        <v>3.7037037037037042E-2</v>
      </c>
      <c r="BG976" s="3" t="str">
        <f t="shared" si="110"/>
        <v>0</v>
      </c>
      <c r="BH976" t="str">
        <f ca="1">IF((OFFSET($A$1, 976 - 1, 58 - 1)) &gt;= (OFFSET($A$1, 96 - 1, 7 - 1)), "1","0")</f>
        <v>0</v>
      </c>
      <c r="BI976">
        <f ca="1" xml:space="preserve"> IF( AND( OFFSET($A$1, 976 - 1, 59 - 1) = "1", OFFSET($A$1, 976 - 1, 60 - 1) = "1" ), 1, IF( AND( OFFSET($A$1, 976 - 1, 59 - 1) = "1", OFFSET($A$1, 976 - 1, 60 - 1) = "0" ), 2, IF( AND( OFFSET($A$1, 976 - 1, 59 - 1) = "0", OFFSET($A$1, 976 - 1, 60 - 1) = "1" ), 3, 4 ) ) )</f>
        <v>4</v>
      </c>
      <c r="BK976" s="3">
        <v>6.6350710900473939E-2</v>
      </c>
      <c r="BL976" s="3" t="str">
        <f t="shared" si="111"/>
        <v>0</v>
      </c>
      <c r="BM976" t="str">
        <f ca="1">IF((OFFSET($A$1, 976 - 1, 63 - 1)) &gt;= (OFFSET($A$1, 135 - 1, 7 - 1)), "1","0")</f>
        <v>0</v>
      </c>
      <c r="BN976">
        <f ca="1" xml:space="preserve"> IF( AND( OFFSET($A$1, 976 - 1, 64 - 1) = "1", OFFSET($A$1, 976 - 1, 65 - 1) = "1" ), 1, IF( AND( OFFSET($A$1, 976 - 1, 64 - 1) = "1", OFFSET($A$1, 976 - 1, 65 - 1) = "0" ), 2, IF( AND( OFFSET($A$1, 976 - 1, 64 - 1) = "0", OFFSET($A$1, 976 - 1, 65 - 1) = "1" ), 3, 4 ) ) )</f>
        <v>4</v>
      </c>
    </row>
    <row r="977" spans="58:66" x14ac:dyDescent="0.2">
      <c r="BF977" s="3">
        <v>0</v>
      </c>
      <c r="BG977" s="3" t="str">
        <f t="shared" si="110"/>
        <v>0</v>
      </c>
      <c r="BH977" t="str">
        <f ca="1">IF((OFFSET($A$1, 977 - 1, 58 - 1)) &gt;= (OFFSET($A$1, 96 - 1, 7 - 1)), "1","0")</f>
        <v>0</v>
      </c>
      <c r="BI977">
        <f ca="1" xml:space="preserve"> IF( AND( OFFSET($A$1, 977 - 1, 59 - 1) = "1", OFFSET($A$1, 977 - 1, 60 - 1) = "1" ), 1, IF( AND( OFFSET($A$1, 977 - 1, 59 - 1) = "1", OFFSET($A$1, 977 - 1, 60 - 1) = "0" ), 2, IF( AND( OFFSET($A$1, 977 - 1, 59 - 1) = "0", OFFSET($A$1, 977 - 1, 60 - 1) = "1" ), 3, 4 ) ) )</f>
        <v>4</v>
      </c>
      <c r="BK977" s="3">
        <v>6.6350710900473939E-2</v>
      </c>
      <c r="BL977" s="3" t="str">
        <f t="shared" si="111"/>
        <v>0</v>
      </c>
      <c r="BM977" t="str">
        <f ca="1">IF((OFFSET($A$1, 977 - 1, 63 - 1)) &gt;= (OFFSET($A$1, 135 - 1, 7 - 1)), "1","0")</f>
        <v>0</v>
      </c>
      <c r="BN977">
        <f ca="1" xml:space="preserve"> IF( AND( OFFSET($A$1, 977 - 1, 64 - 1) = "1", OFFSET($A$1, 977 - 1, 65 - 1) = "1" ), 1, IF( AND( OFFSET($A$1, 977 - 1, 64 - 1) = "1", OFFSET($A$1, 977 - 1, 65 - 1) = "0" ), 2, IF( AND( OFFSET($A$1, 977 - 1, 64 - 1) = "0", OFFSET($A$1, 977 - 1, 65 - 1) = "1" ), 3, 4 ) ) )</f>
        <v>4</v>
      </c>
    </row>
    <row r="978" spans="58:66" x14ac:dyDescent="0.2">
      <c r="BF978" s="3">
        <v>0</v>
      </c>
      <c r="BG978" s="3" t="str">
        <f t="shared" si="110"/>
        <v>0</v>
      </c>
      <c r="BH978" t="str">
        <f ca="1">IF((OFFSET($A$1, 978 - 1, 58 - 1)) &gt;= (OFFSET($A$1, 96 - 1, 7 - 1)), "1","0")</f>
        <v>0</v>
      </c>
      <c r="BI978">
        <f ca="1" xml:space="preserve"> IF( AND( OFFSET($A$1, 978 - 1, 59 - 1) = "1", OFFSET($A$1, 978 - 1, 60 - 1) = "1" ), 1, IF( AND( OFFSET($A$1, 978 - 1, 59 - 1) = "1", OFFSET($A$1, 978 - 1, 60 - 1) = "0" ), 2, IF( AND( OFFSET($A$1, 978 - 1, 59 - 1) = "0", OFFSET($A$1, 978 - 1, 60 - 1) = "1" ), 3, 4 ) ) )</f>
        <v>4</v>
      </c>
      <c r="BK978" s="3">
        <v>0.38775510204081637</v>
      </c>
      <c r="BL978" s="3" t="str">
        <f t="shared" si="111"/>
        <v>0</v>
      </c>
      <c r="BM978" t="str">
        <f ca="1">IF((OFFSET($A$1, 978 - 1, 63 - 1)) &gt;= (OFFSET($A$1, 135 - 1, 7 - 1)), "1","0")</f>
        <v>0</v>
      </c>
      <c r="BN978">
        <f ca="1" xml:space="preserve"> IF( AND( OFFSET($A$1, 978 - 1, 64 - 1) = "1", OFFSET($A$1, 978 - 1, 65 - 1) = "1" ), 1, IF( AND( OFFSET($A$1, 978 - 1, 64 - 1) = "1", OFFSET($A$1, 978 - 1, 65 - 1) = "0" ), 2, IF( AND( OFFSET($A$1, 978 - 1, 64 - 1) = "0", OFFSET($A$1, 978 - 1, 65 - 1) = "1" ), 3, 4 ) ) )</f>
        <v>4</v>
      </c>
    </row>
    <row r="979" spans="58:66" x14ac:dyDescent="0.2">
      <c r="BF979" s="3">
        <v>0</v>
      </c>
      <c r="BG979" s="3" t="str">
        <f t="shared" si="110"/>
        <v>0</v>
      </c>
      <c r="BH979" t="str">
        <f ca="1">IF((OFFSET($A$1, 979 - 1, 58 - 1)) &gt;= (OFFSET($A$1, 96 - 1, 7 - 1)), "1","0")</f>
        <v>0</v>
      </c>
      <c r="BI979">
        <f ca="1" xml:space="preserve"> IF( AND( OFFSET($A$1, 979 - 1, 59 - 1) = "1", OFFSET($A$1, 979 - 1, 60 - 1) = "1" ), 1, IF( AND( OFFSET($A$1, 979 - 1, 59 - 1) = "1", OFFSET($A$1, 979 - 1, 60 - 1) = "0" ), 2, IF( AND( OFFSET($A$1, 979 - 1, 59 - 1) = "0", OFFSET($A$1, 979 - 1, 60 - 1) = "1" ), 3, 4 ) ) )</f>
        <v>4</v>
      </c>
      <c r="BK979" s="3">
        <v>6.6350710900473939E-2</v>
      </c>
      <c r="BL979" s="3" t="str">
        <f t="shared" si="111"/>
        <v>0</v>
      </c>
      <c r="BM979" t="str">
        <f ca="1">IF((OFFSET($A$1, 979 - 1, 63 - 1)) &gt;= (OFFSET($A$1, 135 - 1, 7 - 1)), "1","0")</f>
        <v>0</v>
      </c>
      <c r="BN979">
        <f ca="1" xml:space="preserve"> IF( AND( OFFSET($A$1, 979 - 1, 64 - 1) = "1", OFFSET($A$1, 979 - 1, 65 - 1) = "1" ), 1, IF( AND( OFFSET($A$1, 979 - 1, 64 - 1) = "1", OFFSET($A$1, 979 - 1, 65 - 1) = "0" ), 2, IF( AND( OFFSET($A$1, 979 - 1, 64 - 1) = "0", OFFSET($A$1, 979 - 1, 65 - 1) = "1" ), 3, 4 ) ) )</f>
        <v>4</v>
      </c>
    </row>
    <row r="980" spans="58:66" x14ac:dyDescent="0.2">
      <c r="BF980" s="3">
        <v>0.34722222222222221</v>
      </c>
      <c r="BG980" s="3" t="str">
        <f t="shared" si="110"/>
        <v>0</v>
      </c>
      <c r="BH980" t="str">
        <f ca="1">IF((OFFSET($A$1, 980 - 1, 58 - 1)) &gt;= (OFFSET($A$1, 96 - 1, 7 - 1)), "1","0")</f>
        <v>0</v>
      </c>
      <c r="BI980">
        <f ca="1" xml:space="preserve"> IF( AND( OFFSET($A$1, 980 - 1, 59 - 1) = "1", OFFSET($A$1, 980 - 1, 60 - 1) = "1" ), 1, IF( AND( OFFSET($A$1, 980 - 1, 59 - 1) = "1", OFFSET($A$1, 980 - 1, 60 - 1) = "0" ), 2, IF( AND( OFFSET($A$1, 980 - 1, 59 - 1) = "0", OFFSET($A$1, 980 - 1, 60 - 1) = "1" ), 3, 4 ) ) )</f>
        <v>4</v>
      </c>
      <c r="BK980" s="3">
        <v>6.6350710900473939E-2</v>
      </c>
      <c r="BL980" s="3" t="str">
        <f t="shared" si="111"/>
        <v>0</v>
      </c>
      <c r="BM980" t="str">
        <f ca="1">IF((OFFSET($A$1, 980 - 1, 63 - 1)) &gt;= (OFFSET($A$1, 135 - 1, 7 - 1)), "1","0")</f>
        <v>0</v>
      </c>
      <c r="BN980">
        <f ca="1" xml:space="preserve"> IF( AND( OFFSET($A$1, 980 - 1, 64 - 1) = "1", OFFSET($A$1, 980 - 1, 65 - 1) = "1" ), 1, IF( AND( OFFSET($A$1, 980 - 1, 64 - 1) = "1", OFFSET($A$1, 980 - 1, 65 - 1) = "0" ), 2, IF( AND( OFFSET($A$1, 980 - 1, 64 - 1) = "0", OFFSET($A$1, 980 - 1, 65 - 1) = "1" ), 3, 4 ) ) )</f>
        <v>4</v>
      </c>
    </row>
    <row r="981" spans="58:66" x14ac:dyDescent="0.2">
      <c r="BF981" s="3">
        <v>0.08</v>
      </c>
      <c r="BG981" s="3" t="str">
        <f t="shared" si="110"/>
        <v>0</v>
      </c>
      <c r="BH981" t="str">
        <f ca="1">IF((OFFSET($A$1, 981 - 1, 58 - 1)) &gt;= (OFFSET($A$1, 96 - 1, 7 - 1)), "1","0")</f>
        <v>0</v>
      </c>
      <c r="BI981">
        <f ca="1" xml:space="preserve"> IF( AND( OFFSET($A$1, 981 - 1, 59 - 1) = "1", OFFSET($A$1, 981 - 1, 60 - 1) = "1" ), 1, IF( AND( OFFSET($A$1, 981 - 1, 59 - 1) = "1", OFFSET($A$1, 981 - 1, 60 - 1) = "0" ), 2, IF( AND( OFFSET($A$1, 981 - 1, 59 - 1) = "0", OFFSET($A$1, 981 - 1, 60 - 1) = "1" ), 3, 4 ) ) )</f>
        <v>4</v>
      </c>
      <c r="BK981" s="3">
        <v>6.6350710900473939E-2</v>
      </c>
      <c r="BL981" s="3" t="str">
        <f>"1"</f>
        <v>1</v>
      </c>
      <c r="BM981" t="str">
        <f ca="1">IF((OFFSET($A$1, 981 - 1, 63 - 1)) &gt;= (OFFSET($A$1, 135 - 1, 7 - 1)), "1","0")</f>
        <v>0</v>
      </c>
      <c r="BN981">
        <f ca="1" xml:space="preserve"> IF( AND( OFFSET($A$1, 981 - 1, 64 - 1) = "1", OFFSET($A$1, 981 - 1, 65 - 1) = "1" ), 1, IF( AND( OFFSET($A$1, 981 - 1, 64 - 1) = "1", OFFSET($A$1, 981 - 1, 65 - 1) = "0" ), 2, IF( AND( OFFSET($A$1, 981 - 1, 64 - 1) = "0", OFFSET($A$1, 981 - 1, 65 - 1) = "1" ), 3, 4 ) ) )</f>
        <v>2</v>
      </c>
    </row>
    <row r="982" spans="58:66" x14ac:dyDescent="0.2">
      <c r="BF982" s="3">
        <v>0</v>
      </c>
      <c r="BG982" s="3" t="str">
        <f t="shared" si="110"/>
        <v>0</v>
      </c>
      <c r="BH982" t="str">
        <f ca="1">IF((OFFSET($A$1, 982 - 1, 58 - 1)) &gt;= (OFFSET($A$1, 96 - 1, 7 - 1)), "1","0")</f>
        <v>0</v>
      </c>
      <c r="BI982">
        <f ca="1" xml:space="preserve"> IF( AND( OFFSET($A$1, 982 - 1, 59 - 1) = "1", OFFSET($A$1, 982 - 1, 60 - 1) = "1" ), 1, IF( AND( OFFSET($A$1, 982 - 1, 59 - 1) = "1", OFFSET($A$1, 982 - 1, 60 - 1) = "0" ), 2, IF( AND( OFFSET($A$1, 982 - 1, 59 - 1) = "0", OFFSET($A$1, 982 - 1, 60 - 1) = "1" ), 3, 4 ) ) )</f>
        <v>4</v>
      </c>
      <c r="BK982" s="3">
        <v>6.6350710900473939E-2</v>
      </c>
      <c r="BL982" s="3" t="str">
        <f t="shared" ref="BL982:BL996" si="112">"0"</f>
        <v>0</v>
      </c>
      <c r="BM982" t="str">
        <f ca="1">IF((OFFSET($A$1, 982 - 1, 63 - 1)) &gt;= (OFFSET($A$1, 135 - 1, 7 - 1)), "1","0")</f>
        <v>0</v>
      </c>
      <c r="BN982">
        <f ca="1" xml:space="preserve"> IF( AND( OFFSET($A$1, 982 - 1, 64 - 1) = "1", OFFSET($A$1, 982 - 1, 65 - 1) = "1" ), 1, IF( AND( OFFSET($A$1, 982 - 1, 64 - 1) = "1", OFFSET($A$1, 982 - 1, 65 - 1) = "0" ), 2, IF( AND( OFFSET($A$1, 982 - 1, 64 - 1) = "0", OFFSET($A$1, 982 - 1, 65 - 1) = "1" ), 3, 4 ) ) )</f>
        <v>4</v>
      </c>
    </row>
    <row r="983" spans="58:66" x14ac:dyDescent="0.2">
      <c r="BF983" s="3">
        <v>0.08</v>
      </c>
      <c r="BG983" s="3" t="str">
        <f t="shared" si="110"/>
        <v>0</v>
      </c>
      <c r="BH983" t="str">
        <f ca="1">IF((OFFSET($A$1, 983 - 1, 58 - 1)) &gt;= (OFFSET($A$1, 96 - 1, 7 - 1)), "1","0")</f>
        <v>0</v>
      </c>
      <c r="BI983">
        <f ca="1" xml:space="preserve"> IF( AND( OFFSET($A$1, 983 - 1, 59 - 1) = "1", OFFSET($A$1, 983 - 1, 60 - 1) = "1" ), 1, IF( AND( OFFSET($A$1, 983 - 1, 59 - 1) = "1", OFFSET($A$1, 983 - 1, 60 - 1) = "0" ), 2, IF( AND( OFFSET($A$1, 983 - 1, 59 - 1) = "0", OFFSET($A$1, 983 - 1, 60 - 1) = "1" ), 3, 4 ) ) )</f>
        <v>4</v>
      </c>
      <c r="BK983" s="3">
        <v>6.6350710900473939E-2</v>
      </c>
      <c r="BL983" s="3" t="str">
        <f t="shared" si="112"/>
        <v>0</v>
      </c>
      <c r="BM983" t="str">
        <f ca="1">IF((OFFSET($A$1, 983 - 1, 63 - 1)) &gt;= (OFFSET($A$1, 135 - 1, 7 - 1)), "1","0")</f>
        <v>0</v>
      </c>
      <c r="BN983">
        <f ca="1" xml:space="preserve"> IF( AND( OFFSET($A$1, 983 - 1, 64 - 1) = "1", OFFSET($A$1, 983 - 1, 65 - 1) = "1" ), 1, IF( AND( OFFSET($A$1, 983 - 1, 64 - 1) = "1", OFFSET($A$1, 983 - 1, 65 - 1) = "0" ), 2, IF( AND( OFFSET($A$1, 983 - 1, 64 - 1) = "0", OFFSET($A$1, 983 - 1, 65 - 1) = "1" ), 3, 4 ) ) )</f>
        <v>4</v>
      </c>
    </row>
    <row r="984" spans="58:66" x14ac:dyDescent="0.2">
      <c r="BF984" s="3">
        <v>0</v>
      </c>
      <c r="BG984" s="3" t="str">
        <f t="shared" si="110"/>
        <v>0</v>
      </c>
      <c r="BH984" t="str">
        <f ca="1">IF((OFFSET($A$1, 984 - 1, 58 - 1)) &gt;= (OFFSET($A$1, 96 - 1, 7 - 1)), "1","0")</f>
        <v>0</v>
      </c>
      <c r="BI984">
        <f ca="1" xml:space="preserve"> IF( AND( OFFSET($A$1, 984 - 1, 59 - 1) = "1", OFFSET($A$1, 984 - 1, 60 - 1) = "1" ), 1, IF( AND( OFFSET($A$1, 984 - 1, 59 - 1) = "1", OFFSET($A$1, 984 - 1, 60 - 1) = "0" ), 2, IF( AND( OFFSET($A$1, 984 - 1, 59 - 1) = "0", OFFSET($A$1, 984 - 1, 60 - 1) = "1" ), 3, 4 ) ) )</f>
        <v>4</v>
      </c>
      <c r="BK984" s="3">
        <v>0.38775510204081637</v>
      </c>
      <c r="BL984" s="3" t="str">
        <f t="shared" si="112"/>
        <v>0</v>
      </c>
      <c r="BM984" t="str">
        <f ca="1">IF((OFFSET($A$1, 984 - 1, 63 - 1)) &gt;= (OFFSET($A$1, 135 - 1, 7 - 1)), "1","0")</f>
        <v>0</v>
      </c>
      <c r="BN984">
        <f ca="1" xml:space="preserve"> IF( AND( OFFSET($A$1, 984 - 1, 64 - 1) = "1", OFFSET($A$1, 984 - 1, 65 - 1) = "1" ), 1, IF( AND( OFFSET($A$1, 984 - 1, 64 - 1) = "1", OFFSET($A$1, 984 - 1, 65 - 1) = "0" ), 2, IF( AND( OFFSET($A$1, 984 - 1, 64 - 1) = "0", OFFSET($A$1, 984 - 1, 65 - 1) = "1" ), 3, 4 ) ) )</f>
        <v>4</v>
      </c>
    </row>
    <row r="985" spans="58:66" x14ac:dyDescent="0.2">
      <c r="BF985" s="3">
        <v>0.90579710144927539</v>
      </c>
      <c r="BG985" s="3" t="str">
        <f>"1"</f>
        <v>1</v>
      </c>
      <c r="BH985" t="str">
        <f ca="1">IF((OFFSET($A$1, 985 - 1, 58 - 1)) &gt;= (OFFSET($A$1, 96 - 1, 7 - 1)), "1","0")</f>
        <v>1</v>
      </c>
      <c r="BI985">
        <f ca="1" xml:space="preserve"> IF( AND( OFFSET($A$1, 985 - 1, 59 - 1) = "1", OFFSET($A$1, 985 - 1, 60 - 1) = "1" ), 1, IF( AND( OFFSET($A$1, 985 - 1, 59 - 1) = "1", OFFSET($A$1, 985 - 1, 60 - 1) = "0" ), 2, IF( AND( OFFSET($A$1, 985 - 1, 59 - 1) = "0", OFFSET($A$1, 985 - 1, 60 - 1) = "1" ), 3, 4 ) ) )</f>
        <v>1</v>
      </c>
      <c r="BK985" s="3">
        <v>6.6350710900473939E-2</v>
      </c>
      <c r="BL985" s="3" t="str">
        <f t="shared" si="112"/>
        <v>0</v>
      </c>
      <c r="BM985" t="str">
        <f ca="1">IF((OFFSET($A$1, 985 - 1, 63 - 1)) &gt;= (OFFSET($A$1, 135 - 1, 7 - 1)), "1","0")</f>
        <v>0</v>
      </c>
      <c r="BN985">
        <f ca="1" xml:space="preserve"> IF( AND( OFFSET($A$1, 985 - 1, 64 - 1) = "1", OFFSET($A$1, 985 - 1, 65 - 1) = "1" ), 1, IF( AND( OFFSET($A$1, 985 - 1, 64 - 1) = "1", OFFSET($A$1, 985 - 1, 65 - 1) = "0" ), 2, IF( AND( OFFSET($A$1, 985 - 1, 64 - 1) = "0", OFFSET($A$1, 985 - 1, 65 - 1) = "1" ), 3, 4 ) ) )</f>
        <v>4</v>
      </c>
    </row>
    <row r="986" spans="58:66" x14ac:dyDescent="0.2">
      <c r="BF986" s="3">
        <v>0</v>
      </c>
      <c r="BG986" s="3" t="str">
        <f>"0"</f>
        <v>0</v>
      </c>
      <c r="BH986" t="str">
        <f ca="1">IF((OFFSET($A$1, 986 - 1, 58 - 1)) &gt;= (OFFSET($A$1, 96 - 1, 7 - 1)), "1","0")</f>
        <v>0</v>
      </c>
      <c r="BI986">
        <f ca="1" xml:space="preserve"> IF( AND( OFFSET($A$1, 986 - 1, 59 - 1) = "1", OFFSET($A$1, 986 - 1, 60 - 1) = "1" ), 1, IF( AND( OFFSET($A$1, 986 - 1, 59 - 1) = "1", OFFSET($A$1, 986 - 1, 60 - 1) = "0" ), 2, IF( AND( OFFSET($A$1, 986 - 1, 59 - 1) = "0", OFFSET($A$1, 986 - 1, 60 - 1) = "1" ), 3, 4 ) ) )</f>
        <v>4</v>
      </c>
      <c r="BK986" s="3">
        <v>2.5316455696202531E-2</v>
      </c>
      <c r="BL986" s="3" t="str">
        <f t="shared" si="112"/>
        <v>0</v>
      </c>
      <c r="BM986" t="str">
        <f ca="1">IF((OFFSET($A$1, 986 - 1, 63 - 1)) &gt;= (OFFSET($A$1, 135 - 1, 7 - 1)), "1","0")</f>
        <v>0</v>
      </c>
      <c r="BN986">
        <f ca="1" xml:space="preserve"> IF( AND( OFFSET($A$1, 986 - 1, 64 - 1) = "1", OFFSET($A$1, 986 - 1, 65 - 1) = "1" ), 1, IF( AND( OFFSET($A$1, 986 - 1, 64 - 1) = "1", OFFSET($A$1, 986 - 1, 65 - 1) = "0" ), 2, IF( AND( OFFSET($A$1, 986 - 1, 64 - 1) = "0", OFFSET($A$1, 986 - 1, 65 - 1) = "1" ), 3, 4 ) ) )</f>
        <v>4</v>
      </c>
    </row>
    <row r="987" spans="58:66" x14ac:dyDescent="0.2">
      <c r="BF987" s="3">
        <v>3.7037037037037042E-2</v>
      </c>
      <c r="BG987" s="3" t="str">
        <f>"0"</f>
        <v>0</v>
      </c>
      <c r="BH987" t="str">
        <f ca="1">IF((OFFSET($A$1, 987 - 1, 58 - 1)) &gt;= (OFFSET($A$1, 96 - 1, 7 - 1)), "1","0")</f>
        <v>0</v>
      </c>
      <c r="BI987">
        <f ca="1" xml:space="preserve"> IF( AND( OFFSET($A$1, 987 - 1, 59 - 1) = "1", OFFSET($A$1, 987 - 1, 60 - 1) = "1" ), 1, IF( AND( OFFSET($A$1, 987 - 1, 59 - 1) = "1", OFFSET($A$1, 987 - 1, 60 - 1) = "0" ), 2, IF( AND( OFFSET($A$1, 987 - 1, 59 - 1) = "0", OFFSET($A$1, 987 - 1, 60 - 1) = "1" ), 3, 4 ) ) )</f>
        <v>4</v>
      </c>
      <c r="BK987" s="3">
        <v>0.36</v>
      </c>
      <c r="BL987" s="3" t="str">
        <f t="shared" si="112"/>
        <v>0</v>
      </c>
      <c r="BM987" t="str">
        <f ca="1">IF((OFFSET($A$1, 987 - 1, 63 - 1)) &gt;= (OFFSET($A$1, 135 - 1, 7 - 1)), "1","0")</f>
        <v>0</v>
      </c>
      <c r="BN987">
        <f ca="1" xml:space="preserve"> IF( AND( OFFSET($A$1, 987 - 1, 64 - 1) = "1", OFFSET($A$1, 987 - 1, 65 - 1) = "1" ), 1, IF( AND( OFFSET($A$1, 987 - 1, 64 - 1) = "1", OFFSET($A$1, 987 - 1, 65 - 1) = "0" ), 2, IF( AND( OFFSET($A$1, 987 - 1, 64 - 1) = "0", OFFSET($A$1, 987 - 1, 65 - 1) = "1" ), 3, 4 ) ) )</f>
        <v>4</v>
      </c>
    </row>
    <row r="988" spans="58:66" x14ac:dyDescent="0.2">
      <c r="BF988" s="3">
        <v>3.7037037037037042E-2</v>
      </c>
      <c r="BG988" s="3" t="str">
        <f>"1"</f>
        <v>1</v>
      </c>
      <c r="BH988" t="str">
        <f ca="1">IF((OFFSET($A$1, 988 - 1, 58 - 1)) &gt;= (OFFSET($A$1, 96 - 1, 7 - 1)), "1","0")</f>
        <v>0</v>
      </c>
      <c r="BI988">
        <f ca="1" xml:space="preserve"> IF( AND( OFFSET($A$1, 988 - 1, 59 - 1) = "1", OFFSET($A$1, 988 - 1, 60 - 1) = "1" ), 1, IF( AND( OFFSET($A$1, 988 - 1, 59 - 1) = "1", OFFSET($A$1, 988 - 1, 60 - 1) = "0" ), 2, IF( AND( OFFSET($A$1, 988 - 1, 59 - 1) = "0", OFFSET($A$1, 988 - 1, 60 - 1) = "1" ), 3, 4 ) ) )</f>
        <v>2</v>
      </c>
      <c r="BK988" s="3">
        <v>6.6350710900473939E-2</v>
      </c>
      <c r="BL988" s="3" t="str">
        <f t="shared" si="112"/>
        <v>0</v>
      </c>
      <c r="BM988" t="str">
        <f ca="1">IF((OFFSET($A$1, 988 - 1, 63 - 1)) &gt;= (OFFSET($A$1, 135 - 1, 7 - 1)), "1","0")</f>
        <v>0</v>
      </c>
      <c r="BN988">
        <f ca="1" xml:space="preserve"> IF( AND( OFFSET($A$1, 988 - 1, 64 - 1) = "1", OFFSET($A$1, 988 - 1, 65 - 1) = "1" ), 1, IF( AND( OFFSET($A$1, 988 - 1, 64 - 1) = "1", OFFSET($A$1, 988 - 1, 65 - 1) = "0" ), 2, IF( AND( OFFSET($A$1, 988 - 1, 64 - 1) = "0", OFFSET($A$1, 988 - 1, 65 - 1) = "1" ), 3, 4 ) ) )</f>
        <v>4</v>
      </c>
    </row>
    <row r="989" spans="58:66" x14ac:dyDescent="0.2">
      <c r="BF989" s="3">
        <v>0.08</v>
      </c>
      <c r="BG989" s="3" t="str">
        <f t="shared" ref="BG989:BG996" si="113">"0"</f>
        <v>0</v>
      </c>
      <c r="BH989" t="str">
        <f ca="1">IF((OFFSET($A$1, 989 - 1, 58 - 1)) &gt;= (OFFSET($A$1, 96 - 1, 7 - 1)), "1","0")</f>
        <v>0</v>
      </c>
      <c r="BI989">
        <f ca="1" xml:space="preserve"> IF( AND( OFFSET($A$1, 989 - 1, 59 - 1) = "1", OFFSET($A$1, 989 - 1, 60 - 1) = "1" ), 1, IF( AND( OFFSET($A$1, 989 - 1, 59 - 1) = "1", OFFSET($A$1, 989 - 1, 60 - 1) = "0" ), 2, IF( AND( OFFSET($A$1, 989 - 1, 59 - 1) = "0", OFFSET($A$1, 989 - 1, 60 - 1) = "1" ), 3, 4 ) ) )</f>
        <v>4</v>
      </c>
      <c r="BK989" s="3">
        <v>6.6350710900473939E-2</v>
      </c>
      <c r="BL989" s="3" t="str">
        <f t="shared" si="112"/>
        <v>0</v>
      </c>
      <c r="BM989" t="str">
        <f ca="1">IF((OFFSET($A$1, 989 - 1, 63 - 1)) &gt;= (OFFSET($A$1, 135 - 1, 7 - 1)), "1","0")</f>
        <v>0</v>
      </c>
      <c r="BN989">
        <f ca="1" xml:space="preserve"> IF( AND( OFFSET($A$1, 989 - 1, 64 - 1) = "1", OFFSET($A$1, 989 - 1, 65 - 1) = "1" ), 1, IF( AND( OFFSET($A$1, 989 - 1, 64 - 1) = "1", OFFSET($A$1, 989 - 1, 65 - 1) = "0" ), 2, IF( AND( OFFSET($A$1, 989 - 1, 64 - 1) = "0", OFFSET($A$1, 989 - 1, 65 - 1) = "1" ), 3, 4 ) ) )</f>
        <v>4</v>
      </c>
    </row>
    <row r="990" spans="58:66" x14ac:dyDescent="0.2">
      <c r="BF990" s="3">
        <v>0.08</v>
      </c>
      <c r="BG990" s="3" t="str">
        <f t="shared" si="113"/>
        <v>0</v>
      </c>
      <c r="BH990" t="str">
        <f ca="1">IF((OFFSET($A$1, 990 - 1, 58 - 1)) &gt;= (OFFSET($A$1, 96 - 1, 7 - 1)), "1","0")</f>
        <v>0</v>
      </c>
      <c r="BI990">
        <f ca="1" xml:space="preserve"> IF( AND( OFFSET($A$1, 990 - 1, 59 - 1) = "1", OFFSET($A$1, 990 - 1, 60 - 1) = "1" ), 1, IF( AND( OFFSET($A$1, 990 - 1, 59 - 1) = "1", OFFSET($A$1, 990 - 1, 60 - 1) = "0" ), 2, IF( AND( OFFSET($A$1, 990 - 1, 59 - 1) = "0", OFFSET($A$1, 990 - 1, 60 - 1) = "1" ), 3, 4 ) ) )</f>
        <v>4</v>
      </c>
      <c r="BK990" s="3">
        <v>6.6350710900473939E-2</v>
      </c>
      <c r="BL990" s="3" t="str">
        <f t="shared" si="112"/>
        <v>0</v>
      </c>
      <c r="BM990" t="str">
        <f ca="1">IF((OFFSET($A$1, 990 - 1, 63 - 1)) &gt;= (OFFSET($A$1, 135 - 1, 7 - 1)), "1","0")</f>
        <v>0</v>
      </c>
      <c r="BN990">
        <f ca="1" xml:space="preserve"> IF( AND( OFFSET($A$1, 990 - 1, 64 - 1) = "1", OFFSET($A$1, 990 - 1, 65 - 1) = "1" ), 1, IF( AND( OFFSET($A$1, 990 - 1, 64 - 1) = "1", OFFSET($A$1, 990 - 1, 65 - 1) = "0" ), 2, IF( AND( OFFSET($A$1, 990 - 1, 64 - 1) = "0", OFFSET($A$1, 990 - 1, 65 - 1) = "1" ), 3, 4 ) ) )</f>
        <v>4</v>
      </c>
    </row>
    <row r="991" spans="58:66" x14ac:dyDescent="0.2">
      <c r="BF991" s="3">
        <v>3.7037037037037042E-2</v>
      </c>
      <c r="BG991" s="3" t="str">
        <f t="shared" si="113"/>
        <v>0</v>
      </c>
      <c r="BH991" t="str">
        <f ca="1">IF((OFFSET($A$1, 991 - 1, 58 - 1)) &gt;= (OFFSET($A$1, 96 - 1, 7 - 1)), "1","0")</f>
        <v>0</v>
      </c>
      <c r="BI991">
        <f ca="1" xml:space="preserve"> IF( AND( OFFSET($A$1, 991 - 1, 59 - 1) = "1", OFFSET($A$1, 991 - 1, 60 - 1) = "1" ), 1, IF( AND( OFFSET($A$1, 991 - 1, 59 - 1) = "1", OFFSET($A$1, 991 - 1, 60 - 1) = "0" ), 2, IF( AND( OFFSET($A$1, 991 - 1, 59 - 1) = "0", OFFSET($A$1, 991 - 1, 60 - 1) = "1" ), 3, 4 ) ) )</f>
        <v>4</v>
      </c>
      <c r="BK991" s="3">
        <v>6.6350710900473939E-2</v>
      </c>
      <c r="BL991" s="3" t="str">
        <f t="shared" si="112"/>
        <v>0</v>
      </c>
      <c r="BM991" t="str">
        <f ca="1">IF((OFFSET($A$1, 991 - 1, 63 - 1)) &gt;= (OFFSET($A$1, 135 - 1, 7 - 1)), "1","0")</f>
        <v>0</v>
      </c>
      <c r="BN991">
        <f ca="1" xml:space="preserve"> IF( AND( OFFSET($A$1, 991 - 1, 64 - 1) = "1", OFFSET($A$1, 991 - 1, 65 - 1) = "1" ), 1, IF( AND( OFFSET($A$1, 991 - 1, 64 - 1) = "1", OFFSET($A$1, 991 - 1, 65 - 1) = "0" ), 2, IF( AND( OFFSET($A$1, 991 - 1, 64 - 1) = "0", OFFSET($A$1, 991 - 1, 65 - 1) = "1" ), 3, 4 ) ) )</f>
        <v>4</v>
      </c>
    </row>
    <row r="992" spans="58:66" x14ac:dyDescent="0.2">
      <c r="BF992" s="3">
        <v>3.7037037037037042E-2</v>
      </c>
      <c r="BG992" s="3" t="str">
        <f t="shared" si="113"/>
        <v>0</v>
      </c>
      <c r="BH992" t="str">
        <f ca="1">IF((OFFSET($A$1, 992 - 1, 58 - 1)) &gt;= (OFFSET($A$1, 96 - 1, 7 - 1)), "1","0")</f>
        <v>0</v>
      </c>
      <c r="BI992">
        <f ca="1" xml:space="preserve"> IF( AND( OFFSET($A$1, 992 - 1, 59 - 1) = "1", OFFSET($A$1, 992 - 1, 60 - 1) = "1" ), 1, IF( AND( OFFSET($A$1, 992 - 1, 59 - 1) = "1", OFFSET($A$1, 992 - 1, 60 - 1) = "0" ), 2, IF( AND( OFFSET($A$1, 992 - 1, 59 - 1) = "0", OFFSET($A$1, 992 - 1, 60 - 1) = "1" ), 3, 4 ) ) )</f>
        <v>4</v>
      </c>
      <c r="BK992" s="3">
        <v>6.6350710900473939E-2</v>
      </c>
      <c r="BL992" s="3" t="str">
        <f t="shared" si="112"/>
        <v>0</v>
      </c>
      <c r="BM992" t="str">
        <f ca="1">IF((OFFSET($A$1, 992 - 1, 63 - 1)) &gt;= (OFFSET($A$1, 135 - 1, 7 - 1)), "1","0")</f>
        <v>0</v>
      </c>
      <c r="BN992">
        <f ca="1" xml:space="preserve"> IF( AND( OFFSET($A$1, 992 - 1, 64 - 1) = "1", OFFSET($A$1, 992 - 1, 65 - 1) = "1" ), 1, IF( AND( OFFSET($A$1, 992 - 1, 64 - 1) = "1", OFFSET($A$1, 992 - 1, 65 - 1) = "0" ), 2, IF( AND( OFFSET($A$1, 992 - 1, 64 - 1) = "0", OFFSET($A$1, 992 - 1, 65 - 1) = "1" ), 3, 4 ) ) )</f>
        <v>4</v>
      </c>
    </row>
    <row r="993" spans="58:66" x14ac:dyDescent="0.2">
      <c r="BF993" s="3">
        <v>3.7037037037037042E-2</v>
      </c>
      <c r="BG993" s="3" t="str">
        <f t="shared" si="113"/>
        <v>0</v>
      </c>
      <c r="BH993" t="str">
        <f ca="1">IF((OFFSET($A$1, 993 - 1, 58 - 1)) &gt;= (OFFSET($A$1, 96 - 1, 7 - 1)), "1","0")</f>
        <v>0</v>
      </c>
      <c r="BI993">
        <f ca="1" xml:space="preserve"> IF( AND( OFFSET($A$1, 993 - 1, 59 - 1) = "1", OFFSET($A$1, 993 - 1, 60 - 1) = "1" ), 1, IF( AND( OFFSET($A$1, 993 - 1, 59 - 1) = "1", OFFSET($A$1, 993 - 1, 60 - 1) = "0" ), 2, IF( AND( OFFSET($A$1, 993 - 1, 59 - 1) = "0", OFFSET($A$1, 993 - 1, 60 - 1) = "1" ), 3, 4 ) ) )</f>
        <v>4</v>
      </c>
      <c r="BK993" s="3">
        <v>2.5316455696202531E-2</v>
      </c>
      <c r="BL993" s="3" t="str">
        <f t="shared" si="112"/>
        <v>0</v>
      </c>
      <c r="BM993" t="str">
        <f ca="1">IF((OFFSET($A$1, 993 - 1, 63 - 1)) &gt;= (OFFSET($A$1, 135 - 1, 7 - 1)), "1","0")</f>
        <v>0</v>
      </c>
      <c r="BN993">
        <f ca="1" xml:space="preserve"> IF( AND( OFFSET($A$1, 993 - 1, 64 - 1) = "1", OFFSET($A$1, 993 - 1, 65 - 1) = "1" ), 1, IF( AND( OFFSET($A$1, 993 - 1, 64 - 1) = "1", OFFSET($A$1, 993 - 1, 65 - 1) = "0" ), 2, IF( AND( OFFSET($A$1, 993 - 1, 64 - 1) = "0", OFFSET($A$1, 993 - 1, 65 - 1) = "1" ), 3, 4 ) ) )</f>
        <v>4</v>
      </c>
    </row>
    <row r="994" spans="58:66" x14ac:dyDescent="0.2">
      <c r="BF994" s="3">
        <v>0</v>
      </c>
      <c r="BG994" s="3" t="str">
        <f t="shared" si="113"/>
        <v>0</v>
      </c>
      <c r="BH994" t="str">
        <f ca="1">IF((OFFSET($A$1, 994 - 1, 58 - 1)) &gt;= (OFFSET($A$1, 96 - 1, 7 - 1)), "1","0")</f>
        <v>0</v>
      </c>
      <c r="BI994">
        <f ca="1" xml:space="preserve"> IF( AND( OFFSET($A$1, 994 - 1, 59 - 1) = "1", OFFSET($A$1, 994 - 1, 60 - 1) = "1" ), 1, IF( AND( OFFSET($A$1, 994 - 1, 59 - 1) = "1", OFFSET($A$1, 994 - 1, 60 - 1) = "0" ), 2, IF( AND( OFFSET($A$1, 994 - 1, 59 - 1) = "0", OFFSET($A$1, 994 - 1, 60 - 1) = "1" ), 3, 4 ) ) )</f>
        <v>4</v>
      </c>
      <c r="BK994" s="3">
        <v>2.5316455696202531E-2</v>
      </c>
      <c r="BL994" s="3" t="str">
        <f t="shared" si="112"/>
        <v>0</v>
      </c>
      <c r="BM994" t="str">
        <f ca="1">IF((OFFSET($A$1, 994 - 1, 63 - 1)) &gt;= (OFFSET($A$1, 135 - 1, 7 - 1)), "1","0")</f>
        <v>0</v>
      </c>
      <c r="BN994">
        <f ca="1" xml:space="preserve"> IF( AND( OFFSET($A$1, 994 - 1, 64 - 1) = "1", OFFSET($A$1, 994 - 1, 65 - 1) = "1" ), 1, IF( AND( OFFSET($A$1, 994 - 1, 64 - 1) = "1", OFFSET($A$1, 994 - 1, 65 - 1) = "0" ), 2, IF( AND( OFFSET($A$1, 994 - 1, 64 - 1) = "0", OFFSET($A$1, 994 - 1, 65 - 1) = "1" ), 3, 4 ) ) )</f>
        <v>4</v>
      </c>
    </row>
    <row r="995" spans="58:66" x14ac:dyDescent="0.2">
      <c r="BF995" s="3">
        <v>0.36</v>
      </c>
      <c r="BG995" s="3" t="str">
        <f t="shared" si="113"/>
        <v>0</v>
      </c>
      <c r="BH995" t="str">
        <f ca="1">IF((OFFSET($A$1, 995 - 1, 58 - 1)) &gt;= (OFFSET($A$1, 96 - 1, 7 - 1)), "1","0")</f>
        <v>0</v>
      </c>
      <c r="BI995">
        <f ca="1" xml:space="preserve"> IF( AND( OFFSET($A$1, 995 - 1, 59 - 1) = "1", OFFSET($A$1, 995 - 1, 60 - 1) = "1" ), 1, IF( AND( OFFSET($A$1, 995 - 1, 59 - 1) = "1", OFFSET($A$1, 995 - 1, 60 - 1) = "0" ), 2, IF( AND( OFFSET($A$1, 995 - 1, 59 - 1) = "0", OFFSET($A$1, 995 - 1, 60 - 1) = "1" ), 3, 4 ) ) )</f>
        <v>4</v>
      </c>
      <c r="BK995" s="3">
        <v>6.6350710900473939E-2</v>
      </c>
      <c r="BL995" s="3" t="str">
        <f t="shared" si="112"/>
        <v>0</v>
      </c>
      <c r="BM995" t="str">
        <f ca="1">IF((OFFSET($A$1, 995 - 1, 63 - 1)) &gt;= (OFFSET($A$1, 135 - 1, 7 - 1)), "1","0")</f>
        <v>0</v>
      </c>
      <c r="BN995">
        <f ca="1" xml:space="preserve"> IF( AND( OFFSET($A$1, 995 - 1, 64 - 1) = "1", OFFSET($A$1, 995 - 1, 65 - 1) = "1" ), 1, IF( AND( OFFSET($A$1, 995 - 1, 64 - 1) = "1", OFFSET($A$1, 995 - 1, 65 - 1) = "0" ), 2, IF( AND( OFFSET($A$1, 995 - 1, 64 - 1) = "0", OFFSET($A$1, 995 - 1, 65 - 1) = "1" ), 3, 4 ) ) )</f>
        <v>4</v>
      </c>
    </row>
    <row r="996" spans="58:66" x14ac:dyDescent="0.2">
      <c r="BF996" s="3">
        <v>0</v>
      </c>
      <c r="BG996" s="3" t="str">
        <f t="shared" si="113"/>
        <v>0</v>
      </c>
      <c r="BH996" t="str">
        <f ca="1">IF((OFFSET($A$1, 996 - 1, 58 - 1)) &gt;= (OFFSET($A$1, 96 - 1, 7 - 1)), "1","0")</f>
        <v>0</v>
      </c>
      <c r="BI996">
        <f ca="1" xml:space="preserve"> IF( AND( OFFSET($A$1, 996 - 1, 59 - 1) = "1", OFFSET($A$1, 996 - 1, 60 - 1) = "1" ), 1, IF( AND( OFFSET($A$1, 996 - 1, 59 - 1) = "1", OFFSET($A$1, 996 - 1, 60 - 1) = "0" ), 2, IF( AND( OFFSET($A$1, 996 - 1, 59 - 1) = "0", OFFSET($A$1, 996 - 1, 60 - 1) = "1" ), 3, 4 ) ) )</f>
        <v>4</v>
      </c>
      <c r="BK996" s="3">
        <v>6.6350710900473939E-2</v>
      </c>
      <c r="BL996" s="3" t="str">
        <f t="shared" si="112"/>
        <v>0</v>
      </c>
      <c r="BM996" t="str">
        <f ca="1">IF((OFFSET($A$1, 996 - 1, 63 - 1)) &gt;= (OFFSET($A$1, 135 - 1, 7 - 1)), "1","0")</f>
        <v>0</v>
      </c>
      <c r="BN996">
        <f ca="1" xml:space="preserve"> IF( AND( OFFSET($A$1, 996 - 1, 64 - 1) = "1", OFFSET($A$1, 996 - 1, 65 - 1) = "1" ), 1, IF( AND( OFFSET($A$1, 996 - 1, 64 - 1) = "1", OFFSET($A$1, 996 - 1, 65 - 1) = "0" ), 2, IF( AND( OFFSET($A$1, 996 - 1, 64 - 1) = "0", OFFSET($A$1, 996 - 1, 65 - 1) = "1" ), 3, 4 ) ) )</f>
        <v>4</v>
      </c>
    </row>
    <row r="997" spans="58:66" x14ac:dyDescent="0.2">
      <c r="BF997" s="3">
        <v>0.34722222222222221</v>
      </c>
      <c r="BG997" s="3" t="str">
        <f>"1"</f>
        <v>1</v>
      </c>
      <c r="BH997" t="str">
        <f ca="1">IF((OFFSET($A$1, 997 - 1, 58 - 1)) &gt;= (OFFSET($A$1, 96 - 1, 7 - 1)), "1","0")</f>
        <v>0</v>
      </c>
      <c r="BI997">
        <f ca="1" xml:space="preserve"> IF( AND( OFFSET($A$1, 997 - 1, 59 - 1) = "1", OFFSET($A$1, 997 - 1, 60 - 1) = "1" ), 1, IF( AND( OFFSET($A$1, 997 - 1, 59 - 1) = "1", OFFSET($A$1, 997 - 1, 60 - 1) = "0" ), 2, IF( AND( OFFSET($A$1, 997 - 1, 59 - 1) = "0", OFFSET($A$1, 997 - 1, 60 - 1) = "1" ), 3, 4 ) ) )</f>
        <v>2</v>
      </c>
      <c r="BK997" s="3">
        <v>6.6350710900473939E-2</v>
      </c>
      <c r="BL997" s="3" t="str">
        <f>"1"</f>
        <v>1</v>
      </c>
      <c r="BM997" t="str">
        <f ca="1">IF((OFFSET($A$1, 997 - 1, 63 - 1)) &gt;= (OFFSET($A$1, 135 - 1, 7 - 1)), "1","0")</f>
        <v>0</v>
      </c>
      <c r="BN997">
        <f ca="1" xml:space="preserve"> IF( AND( OFFSET($A$1, 997 - 1, 64 - 1) = "1", OFFSET($A$1, 997 - 1, 65 - 1) = "1" ), 1, IF( AND( OFFSET($A$1, 997 - 1, 64 - 1) = "1", OFFSET($A$1, 997 - 1, 65 - 1) = "0" ), 2, IF( AND( OFFSET($A$1, 997 - 1, 64 - 1) = "0", OFFSET($A$1, 997 - 1, 65 - 1) = "1" ), 3, 4 ) ) )</f>
        <v>2</v>
      </c>
    </row>
    <row r="998" spans="58:66" x14ac:dyDescent="0.2">
      <c r="BF998" s="3">
        <v>0</v>
      </c>
      <c r="BG998" s="3" t="str">
        <f>"0"</f>
        <v>0</v>
      </c>
      <c r="BH998" t="str">
        <f ca="1">IF((OFFSET($A$1, 998 - 1, 58 - 1)) &gt;= (OFFSET($A$1, 96 - 1, 7 - 1)), "1","0")</f>
        <v>0</v>
      </c>
      <c r="BI998">
        <f ca="1" xml:space="preserve"> IF( AND( OFFSET($A$1, 998 - 1, 59 - 1) = "1", OFFSET($A$1, 998 - 1, 60 - 1) = "1" ), 1, IF( AND( OFFSET($A$1, 998 - 1, 59 - 1) = "1", OFFSET($A$1, 998 - 1, 60 - 1) = "0" ), 2, IF( AND( OFFSET($A$1, 998 - 1, 59 - 1) = "0", OFFSET($A$1, 998 - 1, 60 - 1) = "1" ), 3, 4 ) ) )</f>
        <v>4</v>
      </c>
      <c r="BK998" s="3">
        <v>6.6350710900473939E-2</v>
      </c>
      <c r="BL998" s="3" t="str">
        <f>"0"</f>
        <v>0</v>
      </c>
      <c r="BM998" t="str">
        <f ca="1">IF((OFFSET($A$1, 998 - 1, 63 - 1)) &gt;= (OFFSET($A$1, 135 - 1, 7 - 1)), "1","0")</f>
        <v>0</v>
      </c>
      <c r="BN998">
        <f ca="1" xml:space="preserve"> IF( AND( OFFSET($A$1, 998 - 1, 64 - 1) = "1", OFFSET($A$1, 998 - 1, 65 - 1) = "1" ), 1, IF( AND( OFFSET($A$1, 998 - 1, 64 - 1) = "1", OFFSET($A$1, 998 - 1, 65 - 1) = "0" ), 2, IF( AND( OFFSET($A$1, 998 - 1, 64 - 1) = "0", OFFSET($A$1, 998 - 1, 65 - 1) = "1" ), 3, 4 ) ) )</f>
        <v>4</v>
      </c>
    </row>
    <row r="999" spans="58:66" x14ac:dyDescent="0.2">
      <c r="BF999" s="3">
        <v>0.36</v>
      </c>
      <c r="BG999" s="3" t="str">
        <f>"0"</f>
        <v>0</v>
      </c>
      <c r="BH999" t="str">
        <f ca="1">IF((OFFSET($A$1, 999 - 1, 58 - 1)) &gt;= (OFFSET($A$1, 96 - 1, 7 - 1)), "1","0")</f>
        <v>0</v>
      </c>
      <c r="BI999">
        <f ca="1" xml:space="preserve"> IF( AND( OFFSET($A$1, 999 - 1, 59 - 1) = "1", OFFSET($A$1, 999 - 1, 60 - 1) = "1" ), 1, IF( AND( OFFSET($A$1, 999 - 1, 59 - 1) = "1", OFFSET($A$1, 999 - 1, 60 - 1) = "0" ), 2, IF( AND( OFFSET($A$1, 999 - 1, 59 - 1) = "0", OFFSET($A$1, 999 - 1, 60 - 1) = "1" ), 3, 4 ) ) )</f>
        <v>4</v>
      </c>
      <c r="BK999" s="3">
        <v>6.6350710900473939E-2</v>
      </c>
      <c r="BL999" s="3" t="str">
        <f>"1"</f>
        <v>1</v>
      </c>
      <c r="BM999" t="str">
        <f ca="1">IF((OFFSET($A$1, 999 - 1, 63 - 1)) &gt;= (OFFSET($A$1, 135 - 1, 7 - 1)), "1","0")</f>
        <v>0</v>
      </c>
      <c r="BN999">
        <f ca="1" xml:space="preserve"> IF( AND( OFFSET($A$1, 999 - 1, 64 - 1) = "1", OFFSET($A$1, 999 - 1, 65 - 1) = "1" ), 1, IF( AND( OFFSET($A$1, 999 - 1, 64 - 1) = "1", OFFSET($A$1, 999 - 1, 65 - 1) = "0" ), 2, IF( AND( OFFSET($A$1, 999 - 1, 64 - 1) = "0", OFFSET($A$1, 999 - 1, 65 - 1) = "1" ), 3, 4 ) ) )</f>
        <v>2</v>
      </c>
    </row>
    <row r="1000" spans="58:66" x14ac:dyDescent="0.2">
      <c r="BF1000" s="3">
        <v>0.36</v>
      </c>
      <c r="BG1000" s="3" t="str">
        <f>"1"</f>
        <v>1</v>
      </c>
      <c r="BH1000" t="str">
        <f ca="1">IF((OFFSET($A$1, 1000 - 1, 58 - 1)) &gt;= (OFFSET($A$1, 96 - 1, 7 - 1)), "1","0")</f>
        <v>0</v>
      </c>
      <c r="BI1000">
        <f ca="1" xml:space="preserve"> IF( AND( OFFSET($A$1, 1000 - 1, 59 - 1) = "1", OFFSET($A$1, 1000 - 1, 60 - 1) = "1" ), 1, IF( AND( OFFSET($A$1, 1000 - 1, 59 - 1) = "1", OFFSET($A$1, 1000 - 1, 60 - 1) = "0" ), 2, IF( AND( OFFSET($A$1, 1000 - 1, 59 - 1) = "0", OFFSET($A$1, 1000 - 1, 60 - 1) = "1" ), 3, 4 ) ) )</f>
        <v>2</v>
      </c>
      <c r="BK1000" s="3">
        <v>0.36</v>
      </c>
      <c r="BL1000" s="3" t="str">
        <f>"0"</f>
        <v>0</v>
      </c>
      <c r="BM1000" t="str">
        <f ca="1">IF((OFFSET($A$1, 1000 - 1, 63 - 1)) &gt;= (OFFSET($A$1, 135 - 1, 7 - 1)), "1","0")</f>
        <v>0</v>
      </c>
      <c r="BN1000">
        <f ca="1" xml:space="preserve"> IF( AND( OFFSET($A$1, 1000 - 1, 64 - 1) = "1", OFFSET($A$1, 1000 - 1, 65 - 1) = "1" ), 1, IF( AND( OFFSET($A$1, 1000 - 1, 64 - 1) = "1", OFFSET($A$1, 1000 - 1, 65 - 1) = "0" ), 2, IF( AND( OFFSET($A$1, 1000 - 1, 64 - 1) = "0", OFFSET($A$1, 1000 - 1, 65 - 1) = "1" ), 3, 4 ) ) )</f>
        <v>4</v>
      </c>
    </row>
    <row r="1001" spans="58:66" x14ac:dyDescent="0.2">
      <c r="BF1001" s="3">
        <v>0</v>
      </c>
      <c r="BG1001" s="3" t="str">
        <f t="shared" ref="BG1001:BG1008" si="114">"0"</f>
        <v>0</v>
      </c>
      <c r="BH1001" t="str">
        <f ca="1">IF((OFFSET($A$1, 1001 - 1, 58 - 1)) &gt;= (OFFSET($A$1, 96 - 1, 7 - 1)), "1","0")</f>
        <v>0</v>
      </c>
      <c r="BI1001">
        <f ca="1" xml:space="preserve"> IF( AND( OFFSET($A$1, 1001 - 1, 59 - 1) = "1", OFFSET($A$1, 1001 - 1, 60 - 1) = "1" ), 1, IF( AND( OFFSET($A$1, 1001 - 1, 59 - 1) = "1", OFFSET($A$1, 1001 - 1, 60 - 1) = "0" ), 2, IF( AND( OFFSET($A$1, 1001 - 1, 59 - 1) = "0", OFFSET($A$1, 1001 - 1, 60 - 1) = "1" ), 3, 4 ) ) )</f>
        <v>4</v>
      </c>
    </row>
    <row r="1002" spans="58:66" x14ac:dyDescent="0.2">
      <c r="BF1002" s="3">
        <v>0</v>
      </c>
      <c r="BG1002" s="3" t="str">
        <f t="shared" si="114"/>
        <v>0</v>
      </c>
      <c r="BH1002" t="str">
        <f ca="1">IF((OFFSET($A$1, 1002 - 1, 58 - 1)) &gt;= (OFFSET($A$1, 96 - 1, 7 - 1)), "1","0")</f>
        <v>0</v>
      </c>
      <c r="BI1002">
        <f ca="1" xml:space="preserve"> IF( AND( OFFSET($A$1, 1002 - 1, 59 - 1) = "1", OFFSET($A$1, 1002 - 1, 60 - 1) = "1" ), 1, IF( AND( OFFSET($A$1, 1002 - 1, 59 - 1) = "1", OFFSET($A$1, 1002 - 1, 60 - 1) = "0" ), 2, IF( AND( OFFSET($A$1, 1002 - 1, 59 - 1) = "0", OFFSET($A$1, 1002 - 1, 60 - 1) = "1" ), 3, 4 ) ) )</f>
        <v>4</v>
      </c>
    </row>
    <row r="1003" spans="58:66" x14ac:dyDescent="0.2">
      <c r="BF1003" s="3">
        <v>0.08</v>
      </c>
      <c r="BG1003" s="3" t="str">
        <f t="shared" si="114"/>
        <v>0</v>
      </c>
      <c r="BH1003" t="str">
        <f ca="1">IF((OFFSET($A$1, 1003 - 1, 58 - 1)) &gt;= (OFFSET($A$1, 96 - 1, 7 - 1)), "1","0")</f>
        <v>0</v>
      </c>
      <c r="BI1003">
        <f ca="1" xml:space="preserve"> IF( AND( OFFSET($A$1, 1003 - 1, 59 - 1) = "1", OFFSET($A$1, 1003 - 1, 60 - 1) = "1" ), 1, IF( AND( OFFSET($A$1, 1003 - 1, 59 - 1) = "1", OFFSET($A$1, 1003 - 1, 60 - 1) = "0" ), 2, IF( AND( OFFSET($A$1, 1003 - 1, 59 - 1) = "0", OFFSET($A$1, 1003 - 1, 60 - 1) = "1" ), 3, 4 ) ) )</f>
        <v>4</v>
      </c>
    </row>
    <row r="1004" spans="58:66" x14ac:dyDescent="0.2">
      <c r="BF1004" s="3">
        <v>0</v>
      </c>
      <c r="BG1004" s="3" t="str">
        <f t="shared" si="114"/>
        <v>0</v>
      </c>
      <c r="BH1004" t="str">
        <f ca="1">IF((OFFSET($A$1, 1004 - 1, 58 - 1)) &gt;= (OFFSET($A$1, 96 - 1, 7 - 1)), "1","0")</f>
        <v>0</v>
      </c>
      <c r="BI1004">
        <f ca="1" xml:space="preserve"> IF( AND( OFFSET($A$1, 1004 - 1, 59 - 1) = "1", OFFSET($A$1, 1004 - 1, 60 - 1) = "1" ), 1, IF( AND( OFFSET($A$1, 1004 - 1, 59 - 1) = "1", OFFSET($A$1, 1004 - 1, 60 - 1) = "0" ), 2, IF( AND( OFFSET($A$1, 1004 - 1, 59 - 1) = "0", OFFSET($A$1, 1004 - 1, 60 - 1) = "1" ), 3, 4 ) ) )</f>
        <v>4</v>
      </c>
    </row>
    <row r="1005" spans="58:66" x14ac:dyDescent="0.2">
      <c r="BF1005" s="3">
        <v>0</v>
      </c>
      <c r="BG1005" s="3" t="str">
        <f t="shared" si="114"/>
        <v>0</v>
      </c>
      <c r="BH1005" t="str">
        <f ca="1">IF((OFFSET($A$1, 1005 - 1, 58 - 1)) &gt;= (OFFSET($A$1, 96 - 1, 7 - 1)), "1","0")</f>
        <v>0</v>
      </c>
      <c r="BI1005">
        <f ca="1" xml:space="preserve"> IF( AND( OFFSET($A$1, 1005 - 1, 59 - 1) = "1", OFFSET($A$1, 1005 - 1, 60 - 1) = "1" ), 1, IF( AND( OFFSET($A$1, 1005 - 1, 59 - 1) = "1", OFFSET($A$1, 1005 - 1, 60 - 1) = "0" ), 2, IF( AND( OFFSET($A$1, 1005 - 1, 59 - 1) = "0", OFFSET($A$1, 1005 - 1, 60 - 1) = "1" ), 3, 4 ) ) )</f>
        <v>4</v>
      </c>
    </row>
    <row r="1006" spans="58:66" x14ac:dyDescent="0.2">
      <c r="BF1006" s="3">
        <v>0.36</v>
      </c>
      <c r="BG1006" s="3" t="str">
        <f t="shared" si="114"/>
        <v>0</v>
      </c>
      <c r="BH1006" t="str">
        <f ca="1">IF((OFFSET($A$1, 1006 - 1, 58 - 1)) &gt;= (OFFSET($A$1, 96 - 1, 7 - 1)), "1","0")</f>
        <v>0</v>
      </c>
      <c r="BI1006">
        <f ca="1" xml:space="preserve"> IF( AND( OFFSET($A$1, 1006 - 1, 59 - 1) = "1", OFFSET($A$1, 1006 - 1, 60 - 1) = "1" ), 1, IF( AND( OFFSET($A$1, 1006 - 1, 59 - 1) = "1", OFFSET($A$1, 1006 - 1, 60 - 1) = "0" ), 2, IF( AND( OFFSET($A$1, 1006 - 1, 59 - 1) = "0", OFFSET($A$1, 1006 - 1, 60 - 1) = "1" ), 3, 4 ) ) )</f>
        <v>4</v>
      </c>
    </row>
    <row r="1007" spans="58:66" x14ac:dyDescent="0.2">
      <c r="BF1007" s="3">
        <v>0.90579710144927539</v>
      </c>
      <c r="BG1007" s="3" t="str">
        <f t="shared" si="114"/>
        <v>0</v>
      </c>
      <c r="BH1007" t="str">
        <f ca="1">IF((OFFSET($A$1, 1007 - 1, 58 - 1)) &gt;= (OFFSET($A$1, 96 - 1, 7 - 1)), "1","0")</f>
        <v>1</v>
      </c>
      <c r="BI1007">
        <f ca="1" xml:space="preserve"> IF( AND( OFFSET($A$1, 1007 - 1, 59 - 1) = "1", OFFSET($A$1, 1007 - 1, 60 - 1) = "1" ), 1, IF( AND( OFFSET($A$1, 1007 - 1, 59 - 1) = "1", OFFSET($A$1, 1007 - 1, 60 - 1) = "0" ), 2, IF( AND( OFFSET($A$1, 1007 - 1, 59 - 1) = "0", OFFSET($A$1, 1007 - 1, 60 - 1) = "1" ), 3, 4 ) ) )</f>
        <v>3</v>
      </c>
    </row>
    <row r="1008" spans="58:66" x14ac:dyDescent="0.2">
      <c r="BF1008" s="3">
        <v>0</v>
      </c>
      <c r="BG1008" s="3" t="str">
        <f t="shared" si="114"/>
        <v>0</v>
      </c>
      <c r="BH1008" t="str">
        <f ca="1">IF((OFFSET($A$1, 1008 - 1, 58 - 1)) &gt;= (OFFSET($A$1, 96 - 1, 7 - 1)), "1","0")</f>
        <v>0</v>
      </c>
      <c r="BI1008">
        <f ca="1" xml:space="preserve"> IF( AND( OFFSET($A$1, 1008 - 1, 59 - 1) = "1", OFFSET($A$1, 1008 - 1, 60 - 1) = "1" ), 1, IF( AND( OFFSET($A$1, 1008 - 1, 59 - 1) = "1", OFFSET($A$1, 1008 - 1, 60 - 1) = "0" ), 2, IF( AND( OFFSET($A$1, 1008 - 1, 59 - 1) = "0", OFFSET($A$1, 1008 - 1, 60 - 1) = "1" ), 3, 4 ) ) )</f>
        <v>4</v>
      </c>
    </row>
    <row r="1009" spans="58:61" x14ac:dyDescent="0.2">
      <c r="BF1009" s="3">
        <v>0.08</v>
      </c>
      <c r="BG1009" s="3" t="str">
        <f>"1"</f>
        <v>1</v>
      </c>
      <c r="BH1009" t="str">
        <f ca="1">IF((OFFSET($A$1, 1009 - 1, 58 - 1)) &gt;= (OFFSET($A$1, 96 - 1, 7 - 1)), "1","0")</f>
        <v>0</v>
      </c>
      <c r="BI1009">
        <f ca="1" xml:space="preserve"> IF( AND( OFFSET($A$1, 1009 - 1, 59 - 1) = "1", OFFSET($A$1, 1009 - 1, 60 - 1) = "1" ), 1, IF( AND( OFFSET($A$1, 1009 - 1, 59 - 1) = "1", OFFSET($A$1, 1009 - 1, 60 - 1) = "0" ), 2, IF( AND( OFFSET($A$1, 1009 - 1, 59 - 1) = "0", OFFSET($A$1, 1009 - 1, 60 - 1) = "1" ), 3, 4 ) ) )</f>
        <v>2</v>
      </c>
    </row>
    <row r="1010" spans="58:61" x14ac:dyDescent="0.2">
      <c r="BF1010" s="3">
        <v>0</v>
      </c>
      <c r="BG1010" s="3" t="str">
        <f>"0"</f>
        <v>0</v>
      </c>
      <c r="BH1010" t="str">
        <f ca="1">IF((OFFSET($A$1, 1010 - 1, 58 - 1)) &gt;= (OFFSET($A$1, 96 - 1, 7 - 1)), "1","0")</f>
        <v>0</v>
      </c>
      <c r="BI1010">
        <f ca="1" xml:space="preserve"> IF( AND( OFFSET($A$1, 1010 - 1, 59 - 1) = "1", OFFSET($A$1, 1010 - 1, 60 - 1) = "1" ), 1, IF( AND( OFFSET($A$1, 1010 - 1, 59 - 1) = "1", OFFSET($A$1, 1010 - 1, 60 - 1) = "0" ), 2, IF( AND( OFFSET($A$1, 1010 - 1, 59 - 1) = "0", OFFSET($A$1, 1010 - 1, 60 - 1) = "1" ), 3, 4 ) ) )</f>
        <v>4</v>
      </c>
    </row>
    <row r="1011" spans="58:61" x14ac:dyDescent="0.2">
      <c r="BF1011" s="3">
        <v>0.08</v>
      </c>
      <c r="BG1011" s="3" t="str">
        <f>"0"</f>
        <v>0</v>
      </c>
      <c r="BH1011" t="str">
        <f ca="1">IF((OFFSET($A$1, 1011 - 1, 58 - 1)) &gt;= (OFFSET($A$1, 96 - 1, 7 - 1)), "1","0")</f>
        <v>0</v>
      </c>
      <c r="BI1011">
        <f ca="1" xml:space="preserve"> IF( AND( OFFSET($A$1, 1011 - 1, 59 - 1) = "1", OFFSET($A$1, 1011 - 1, 60 - 1) = "1" ), 1, IF( AND( OFFSET($A$1, 1011 - 1, 59 - 1) = "1", OFFSET($A$1, 1011 - 1, 60 - 1) = "0" ), 2, IF( AND( OFFSET($A$1, 1011 - 1, 59 - 1) = "0", OFFSET($A$1, 1011 - 1, 60 - 1) = "1" ), 3, 4 ) ) )</f>
        <v>4</v>
      </c>
    </row>
    <row r="1012" spans="58:61" x14ac:dyDescent="0.2">
      <c r="BF1012" s="3">
        <v>0.47692307692307689</v>
      </c>
      <c r="BG1012" s="3" t="str">
        <f>"1"</f>
        <v>1</v>
      </c>
      <c r="BH1012" t="str">
        <f ca="1">IF((OFFSET($A$1, 1012 - 1, 58 - 1)) &gt;= (OFFSET($A$1, 96 - 1, 7 - 1)), "1","0")</f>
        <v>0</v>
      </c>
      <c r="BI1012">
        <f ca="1" xml:space="preserve"> IF( AND( OFFSET($A$1, 1012 - 1, 59 - 1) = "1", OFFSET($A$1, 1012 - 1, 60 - 1) = "1" ), 1, IF( AND( OFFSET($A$1, 1012 - 1, 59 - 1) = "1", OFFSET($A$1, 1012 - 1, 60 - 1) = "0" ), 2, IF( AND( OFFSET($A$1, 1012 - 1, 59 - 1) = "0", OFFSET($A$1, 1012 - 1, 60 - 1) = "1" ), 3, 4 ) ) )</f>
        <v>2</v>
      </c>
    </row>
    <row r="1013" spans="58:61" x14ac:dyDescent="0.2">
      <c r="BF1013" s="3">
        <v>0.36</v>
      </c>
      <c r="BG1013" s="3" t="str">
        <f>"0"</f>
        <v>0</v>
      </c>
      <c r="BH1013" t="str">
        <f ca="1">IF((OFFSET($A$1, 1013 - 1, 58 - 1)) &gt;= (OFFSET($A$1, 96 - 1, 7 - 1)), "1","0")</f>
        <v>0</v>
      </c>
      <c r="BI1013">
        <f ca="1" xml:space="preserve"> IF( AND( OFFSET($A$1, 1013 - 1, 59 - 1) = "1", OFFSET($A$1, 1013 - 1, 60 - 1) = "1" ), 1, IF( AND( OFFSET($A$1, 1013 - 1, 59 - 1) = "1", OFFSET($A$1, 1013 - 1, 60 - 1) = "0" ), 2, IF( AND( OFFSET($A$1, 1013 - 1, 59 - 1) = "0", OFFSET($A$1, 1013 - 1, 60 - 1) = "1" ), 3, 4 ) ) )</f>
        <v>4</v>
      </c>
    </row>
    <row r="1014" spans="58:61" x14ac:dyDescent="0.2">
      <c r="BF1014" s="3">
        <v>0</v>
      </c>
      <c r="BG1014" s="3" t="str">
        <f>"0"</f>
        <v>0</v>
      </c>
      <c r="BH1014" t="str">
        <f ca="1">IF((OFFSET($A$1, 1014 - 1, 58 - 1)) &gt;= (OFFSET($A$1, 96 - 1, 7 - 1)), "1","0")</f>
        <v>0</v>
      </c>
      <c r="BI1014">
        <f ca="1" xml:space="preserve"> IF( AND( OFFSET($A$1, 1014 - 1, 59 - 1) = "1", OFFSET($A$1, 1014 - 1, 60 - 1) = "1" ), 1, IF( AND( OFFSET($A$1, 1014 - 1, 59 - 1) = "1", OFFSET($A$1, 1014 - 1, 60 - 1) = "0" ), 2, IF( AND( OFFSET($A$1, 1014 - 1, 59 - 1) = "0", OFFSET($A$1, 1014 - 1, 60 - 1) = "1" ), 3, 4 ) ) )</f>
        <v>4</v>
      </c>
    </row>
    <row r="1015" spans="58:61" x14ac:dyDescent="0.2">
      <c r="BF1015" s="3">
        <v>0</v>
      </c>
      <c r="BG1015" s="3" t="str">
        <f>"0"</f>
        <v>0</v>
      </c>
      <c r="BH1015" t="str">
        <f ca="1">IF((OFFSET($A$1, 1015 - 1, 58 - 1)) &gt;= (OFFSET($A$1, 96 - 1, 7 - 1)), "1","0")</f>
        <v>0</v>
      </c>
      <c r="BI1015">
        <f ca="1" xml:space="preserve"> IF( AND( OFFSET($A$1, 1015 - 1, 59 - 1) = "1", OFFSET($A$1, 1015 - 1, 60 - 1) = "1" ), 1, IF( AND( OFFSET($A$1, 1015 - 1, 59 - 1) = "1", OFFSET($A$1, 1015 - 1, 60 - 1) = "0" ), 2, IF( AND( OFFSET($A$1, 1015 - 1, 59 - 1) = "0", OFFSET($A$1, 1015 - 1, 60 - 1) = "1" ), 3, 4 ) ) )</f>
        <v>4</v>
      </c>
    </row>
    <row r="1016" spans="58:61" x14ac:dyDescent="0.2">
      <c r="BF1016" s="3">
        <v>0</v>
      </c>
      <c r="BG1016" s="3" t="str">
        <f>"0"</f>
        <v>0</v>
      </c>
      <c r="BH1016" t="str">
        <f ca="1">IF((OFFSET($A$1, 1016 - 1, 58 - 1)) &gt;= (OFFSET($A$1, 96 - 1, 7 - 1)), "1","0")</f>
        <v>0</v>
      </c>
      <c r="BI1016">
        <f ca="1" xml:space="preserve"> IF( AND( OFFSET($A$1, 1016 - 1, 59 - 1) = "1", OFFSET($A$1, 1016 - 1, 60 - 1) = "1" ), 1, IF( AND( OFFSET($A$1, 1016 - 1, 59 - 1) = "1", OFFSET($A$1, 1016 - 1, 60 - 1) = "0" ), 2, IF( AND( OFFSET($A$1, 1016 - 1, 59 - 1) = "0", OFFSET($A$1, 1016 - 1, 60 - 1) = "1" ), 3, 4 ) ) )</f>
        <v>4</v>
      </c>
    </row>
    <row r="1017" spans="58:61" x14ac:dyDescent="0.2">
      <c r="BF1017" s="3">
        <v>0.1081081081081081</v>
      </c>
      <c r="BG1017" s="3" t="str">
        <f>"1"</f>
        <v>1</v>
      </c>
      <c r="BH1017" t="str">
        <f ca="1">IF((OFFSET($A$1, 1017 - 1, 58 - 1)) &gt;= (OFFSET($A$1, 96 - 1, 7 - 1)), "1","0")</f>
        <v>0</v>
      </c>
      <c r="BI1017">
        <f ca="1" xml:space="preserve"> IF( AND( OFFSET($A$1, 1017 - 1, 59 - 1) = "1", OFFSET($A$1, 1017 - 1, 60 - 1) = "1" ), 1, IF( AND( OFFSET($A$1, 1017 - 1, 59 - 1) = "1", OFFSET($A$1, 1017 - 1, 60 - 1) = "0" ), 2, IF( AND( OFFSET($A$1, 1017 - 1, 59 - 1) = "0", OFFSET($A$1, 1017 - 1, 60 - 1) = "1" ), 3, 4 ) ) )</f>
        <v>2</v>
      </c>
    </row>
    <row r="1018" spans="58:61" x14ac:dyDescent="0.2">
      <c r="BF1018" s="3">
        <v>0</v>
      </c>
      <c r="BG1018" s="3" t="str">
        <f>"0"</f>
        <v>0</v>
      </c>
      <c r="BH1018" t="str">
        <f ca="1">IF((OFFSET($A$1, 1018 - 1, 58 - 1)) &gt;= (OFFSET($A$1, 96 - 1, 7 - 1)), "1","0")</f>
        <v>0</v>
      </c>
      <c r="BI1018">
        <f ca="1" xml:space="preserve"> IF( AND( OFFSET($A$1, 1018 - 1, 59 - 1) = "1", OFFSET($A$1, 1018 - 1, 60 - 1) = "1" ), 1, IF( AND( OFFSET($A$1, 1018 - 1, 59 - 1) = "1", OFFSET($A$1, 1018 - 1, 60 - 1) = "0" ), 2, IF( AND( OFFSET($A$1, 1018 - 1, 59 - 1) = "0", OFFSET($A$1, 1018 - 1, 60 - 1) = "1" ), 3, 4 ) ) )</f>
        <v>4</v>
      </c>
    </row>
    <row r="1019" spans="58:61" x14ac:dyDescent="0.2">
      <c r="BF1019" s="3">
        <v>0.90579710144927539</v>
      </c>
      <c r="BG1019" s="3" t="str">
        <f>"1"</f>
        <v>1</v>
      </c>
      <c r="BH1019" t="str">
        <f ca="1">IF((OFFSET($A$1, 1019 - 1, 58 - 1)) &gt;= (OFFSET($A$1, 96 - 1, 7 - 1)), "1","0")</f>
        <v>1</v>
      </c>
      <c r="BI1019">
        <f ca="1" xml:space="preserve"> IF( AND( OFFSET($A$1, 1019 - 1, 59 - 1) = "1", OFFSET($A$1, 1019 - 1, 60 - 1) = "1" ), 1, IF( AND( OFFSET($A$1, 1019 - 1, 59 - 1) = "1", OFFSET($A$1, 1019 - 1, 60 - 1) = "0" ), 2, IF( AND( OFFSET($A$1, 1019 - 1, 59 - 1) = "0", OFFSET($A$1, 1019 - 1, 60 - 1) = "1" ), 3, 4 ) ) )</f>
        <v>1</v>
      </c>
    </row>
    <row r="1020" spans="58:61" x14ac:dyDescent="0.2">
      <c r="BF1020" s="3">
        <v>3.7037037037037042E-2</v>
      </c>
      <c r="BG1020" s="3" t="str">
        <f>"0"</f>
        <v>0</v>
      </c>
      <c r="BH1020" t="str">
        <f ca="1">IF((OFFSET($A$1, 1020 - 1, 58 - 1)) &gt;= (OFFSET($A$1, 96 - 1, 7 - 1)), "1","0")</f>
        <v>0</v>
      </c>
      <c r="BI1020">
        <f ca="1" xml:space="preserve"> IF( AND( OFFSET($A$1, 1020 - 1, 59 - 1) = "1", OFFSET($A$1, 1020 - 1, 60 - 1) = "1" ), 1, IF( AND( OFFSET($A$1, 1020 - 1, 59 - 1) = "1", OFFSET($A$1, 1020 - 1, 60 - 1) = "0" ), 2, IF( AND( OFFSET($A$1, 1020 - 1, 59 - 1) = "0", OFFSET($A$1, 1020 - 1, 60 - 1) = "1" ), 3, 4 ) ) )</f>
        <v>4</v>
      </c>
    </row>
    <row r="1021" spans="58:61" x14ac:dyDescent="0.2">
      <c r="BF1021" s="3">
        <v>3.7037037037037042E-2</v>
      </c>
      <c r="BG1021" s="3" t="str">
        <f>"0"</f>
        <v>0</v>
      </c>
      <c r="BH1021" t="str">
        <f ca="1">IF((OFFSET($A$1, 1021 - 1, 58 - 1)) &gt;= (OFFSET($A$1, 96 - 1, 7 - 1)), "1","0")</f>
        <v>0</v>
      </c>
      <c r="BI1021">
        <f ca="1" xml:space="preserve"> IF( AND( OFFSET($A$1, 1021 - 1, 59 - 1) = "1", OFFSET($A$1, 1021 - 1, 60 - 1) = "1" ), 1, IF( AND( OFFSET($A$1, 1021 - 1, 59 - 1) = "1", OFFSET($A$1, 1021 - 1, 60 - 1) = "0" ), 2, IF( AND( OFFSET($A$1, 1021 - 1, 59 - 1) = "0", OFFSET($A$1, 1021 - 1, 60 - 1) = "1" ), 3, 4 ) ) )</f>
        <v>4</v>
      </c>
    </row>
    <row r="1022" spans="58:61" x14ac:dyDescent="0.2">
      <c r="BF1022" s="3">
        <v>0.90579710144927539</v>
      </c>
      <c r="BG1022" s="3" t="str">
        <f>"1"</f>
        <v>1</v>
      </c>
      <c r="BH1022" t="str">
        <f ca="1">IF((OFFSET($A$1, 1022 - 1, 58 - 1)) &gt;= (OFFSET($A$1, 96 - 1, 7 - 1)), "1","0")</f>
        <v>1</v>
      </c>
      <c r="BI1022">
        <f ca="1" xml:space="preserve"> IF( AND( OFFSET($A$1, 1022 - 1, 59 - 1) = "1", OFFSET($A$1, 1022 - 1, 60 - 1) = "1" ), 1, IF( AND( OFFSET($A$1, 1022 - 1, 59 - 1) = "1", OFFSET($A$1, 1022 - 1, 60 - 1) = "0" ), 2, IF( AND( OFFSET($A$1, 1022 - 1, 59 - 1) = "0", OFFSET($A$1, 1022 - 1, 60 - 1) = "1" ), 3, 4 ) ) )</f>
        <v>1</v>
      </c>
    </row>
    <row r="1023" spans="58:61" x14ac:dyDescent="0.2">
      <c r="BF1023" s="3">
        <v>0.36</v>
      </c>
      <c r="BG1023" s="3" t="str">
        <f>"0"</f>
        <v>0</v>
      </c>
      <c r="BH1023" t="str">
        <f ca="1">IF((OFFSET($A$1, 1023 - 1, 58 - 1)) &gt;= (OFFSET($A$1, 96 - 1, 7 - 1)), "1","0")</f>
        <v>0</v>
      </c>
      <c r="BI1023">
        <f ca="1" xml:space="preserve"> IF( AND( OFFSET($A$1, 1023 - 1, 59 - 1) = "1", OFFSET($A$1, 1023 - 1, 60 - 1) = "1" ), 1, IF( AND( OFFSET($A$1, 1023 - 1, 59 - 1) = "1", OFFSET($A$1, 1023 - 1, 60 - 1) = "0" ), 2, IF( AND( OFFSET($A$1, 1023 - 1, 59 - 1) = "0", OFFSET($A$1, 1023 - 1, 60 - 1) = "1" ), 3, 4 ) ) )</f>
        <v>4</v>
      </c>
    </row>
    <row r="1024" spans="58:61" x14ac:dyDescent="0.2">
      <c r="BF1024" s="3">
        <v>0.90579710144927539</v>
      </c>
      <c r="BG1024" s="3" t="str">
        <f>"1"</f>
        <v>1</v>
      </c>
      <c r="BH1024" t="str">
        <f ca="1">IF((OFFSET($A$1, 1024 - 1, 58 - 1)) &gt;= (OFFSET($A$1, 96 - 1, 7 - 1)), "1","0")</f>
        <v>1</v>
      </c>
      <c r="BI1024">
        <f ca="1" xml:space="preserve"> IF( AND( OFFSET($A$1, 1024 - 1, 59 - 1) = "1", OFFSET($A$1, 1024 - 1, 60 - 1) = "1" ), 1, IF( AND( OFFSET($A$1, 1024 - 1, 59 - 1) = "1", OFFSET($A$1, 1024 - 1, 60 - 1) = "0" ), 2, IF( AND( OFFSET($A$1, 1024 - 1, 59 - 1) = "0", OFFSET($A$1, 1024 - 1, 60 - 1) = "1" ), 3, 4 ) ) )</f>
        <v>1</v>
      </c>
    </row>
    <row r="1025" spans="58:61" x14ac:dyDescent="0.2">
      <c r="BF1025" s="3">
        <v>0</v>
      </c>
      <c r="BG1025" s="3" t="str">
        <f>"0"</f>
        <v>0</v>
      </c>
      <c r="BH1025" t="str">
        <f ca="1">IF((OFFSET($A$1, 1025 - 1, 58 - 1)) &gt;= (OFFSET($A$1, 96 - 1, 7 - 1)), "1","0")</f>
        <v>0</v>
      </c>
      <c r="BI1025">
        <f ca="1" xml:space="preserve"> IF( AND( OFFSET($A$1, 1025 - 1, 59 - 1) = "1", OFFSET($A$1, 1025 - 1, 60 - 1) = "1" ), 1, IF( AND( OFFSET($A$1, 1025 - 1, 59 - 1) = "1", OFFSET($A$1, 1025 - 1, 60 - 1) = "0" ), 2, IF( AND( OFFSET($A$1, 1025 - 1, 59 - 1) = "0", OFFSET($A$1, 1025 - 1, 60 - 1) = "1" ), 3, 4 ) ) )</f>
        <v>4</v>
      </c>
    </row>
    <row r="1026" spans="58:61" x14ac:dyDescent="0.2">
      <c r="BF1026" s="3">
        <v>0.36</v>
      </c>
      <c r="BG1026" s="3" t="str">
        <f>"1"</f>
        <v>1</v>
      </c>
      <c r="BH1026" t="str">
        <f ca="1">IF((OFFSET($A$1, 1026 - 1, 58 - 1)) &gt;= (OFFSET($A$1, 96 - 1, 7 - 1)), "1","0")</f>
        <v>0</v>
      </c>
      <c r="BI1026">
        <f ca="1" xml:space="preserve"> IF( AND( OFFSET($A$1, 1026 - 1, 59 - 1) = "1", OFFSET($A$1, 1026 - 1, 60 - 1) = "1" ), 1, IF( AND( OFFSET($A$1, 1026 - 1, 59 - 1) = "1", OFFSET($A$1, 1026 - 1, 60 - 1) = "0" ), 2, IF( AND( OFFSET($A$1, 1026 - 1, 59 - 1) = "0", OFFSET($A$1, 1026 - 1, 60 - 1) = "1" ), 3, 4 ) ) )</f>
        <v>2</v>
      </c>
    </row>
    <row r="1027" spans="58:61" x14ac:dyDescent="0.2">
      <c r="BF1027" s="3">
        <v>0.08</v>
      </c>
      <c r="BG1027" s="3" t="str">
        <f>"0"</f>
        <v>0</v>
      </c>
      <c r="BH1027" t="str">
        <f ca="1">IF((OFFSET($A$1, 1027 - 1, 58 - 1)) &gt;= (OFFSET($A$1, 96 - 1, 7 - 1)), "1","0")</f>
        <v>0</v>
      </c>
      <c r="BI1027">
        <f ca="1" xml:space="preserve"> IF( AND( OFFSET($A$1, 1027 - 1, 59 - 1) = "1", OFFSET($A$1, 1027 - 1, 60 - 1) = "1" ), 1, IF( AND( OFFSET($A$1, 1027 - 1, 59 - 1) = "1", OFFSET($A$1, 1027 - 1, 60 - 1) = "0" ), 2, IF( AND( OFFSET($A$1, 1027 - 1, 59 - 1) = "0", OFFSET($A$1, 1027 - 1, 60 - 1) = "1" ), 3, 4 ) ) )</f>
        <v>4</v>
      </c>
    </row>
    <row r="1028" spans="58:61" x14ac:dyDescent="0.2">
      <c r="BF1028" s="3">
        <v>0.90579710144927539</v>
      </c>
      <c r="BG1028" s="3" t="str">
        <f>"1"</f>
        <v>1</v>
      </c>
      <c r="BH1028" t="str">
        <f ca="1">IF((OFFSET($A$1, 1028 - 1, 58 - 1)) &gt;= (OFFSET($A$1, 96 - 1, 7 - 1)), "1","0")</f>
        <v>1</v>
      </c>
      <c r="BI1028">
        <f ca="1" xml:space="preserve"> IF( AND( OFFSET($A$1, 1028 - 1, 59 - 1) = "1", OFFSET($A$1, 1028 - 1, 60 - 1) = "1" ), 1, IF( AND( OFFSET($A$1, 1028 - 1, 59 - 1) = "1", OFFSET($A$1, 1028 - 1, 60 - 1) = "0" ), 2, IF( AND( OFFSET($A$1, 1028 - 1, 59 - 1) = "0", OFFSET($A$1, 1028 - 1, 60 - 1) = "1" ), 3, 4 ) ) )</f>
        <v>1</v>
      </c>
    </row>
    <row r="1029" spans="58:61" x14ac:dyDescent="0.2">
      <c r="BF1029" s="3">
        <v>0</v>
      </c>
      <c r="BG1029" s="3" t="str">
        <f>"0"</f>
        <v>0</v>
      </c>
      <c r="BH1029" t="str">
        <f ca="1">IF((OFFSET($A$1, 1029 - 1, 58 - 1)) &gt;= (OFFSET($A$1, 96 - 1, 7 - 1)), "1","0")</f>
        <v>0</v>
      </c>
      <c r="BI1029">
        <f ca="1" xml:space="preserve"> IF( AND( OFFSET($A$1, 1029 - 1, 59 - 1) = "1", OFFSET($A$1, 1029 - 1, 60 - 1) = "1" ), 1, IF( AND( OFFSET($A$1, 1029 - 1, 59 - 1) = "1", OFFSET($A$1, 1029 - 1, 60 - 1) = "0" ), 2, IF( AND( OFFSET($A$1, 1029 - 1, 59 - 1) = "0", OFFSET($A$1, 1029 - 1, 60 - 1) = "1" ), 3, 4 ) ) )</f>
        <v>4</v>
      </c>
    </row>
    <row r="1030" spans="58:61" x14ac:dyDescent="0.2">
      <c r="BF1030" s="3">
        <v>0</v>
      </c>
      <c r="BG1030" s="3" t="str">
        <f>"0"</f>
        <v>0</v>
      </c>
      <c r="BH1030" t="str">
        <f ca="1">IF((OFFSET($A$1, 1030 - 1, 58 - 1)) &gt;= (OFFSET($A$1, 96 - 1, 7 - 1)), "1","0")</f>
        <v>0</v>
      </c>
      <c r="BI1030">
        <f ca="1" xml:space="preserve"> IF( AND( OFFSET($A$1, 1030 - 1, 59 - 1) = "1", OFFSET($A$1, 1030 - 1, 60 - 1) = "1" ), 1, IF( AND( OFFSET($A$1, 1030 - 1, 59 - 1) = "1", OFFSET($A$1, 1030 - 1, 60 - 1) = "0" ), 2, IF( AND( OFFSET($A$1, 1030 - 1, 59 - 1) = "0", OFFSET($A$1, 1030 - 1, 60 - 1) = "1" ), 3, 4 ) ) )</f>
        <v>4</v>
      </c>
    </row>
    <row r="1031" spans="58:61" x14ac:dyDescent="0.2">
      <c r="BF1031" s="3">
        <v>0.90579710144927539</v>
      </c>
      <c r="BG1031" s="3" t="str">
        <f>"1"</f>
        <v>1</v>
      </c>
      <c r="BH1031" t="str">
        <f ca="1">IF((OFFSET($A$1, 1031 - 1, 58 - 1)) &gt;= (OFFSET($A$1, 96 - 1, 7 - 1)), "1","0")</f>
        <v>1</v>
      </c>
      <c r="BI1031">
        <f ca="1" xml:space="preserve"> IF( AND( OFFSET($A$1, 1031 - 1, 59 - 1) = "1", OFFSET($A$1, 1031 - 1, 60 - 1) = "1" ), 1, IF( AND( OFFSET($A$1, 1031 - 1, 59 - 1) = "1", OFFSET($A$1, 1031 - 1, 60 - 1) = "0" ), 2, IF( AND( OFFSET($A$1, 1031 - 1, 59 - 1) = "0", OFFSET($A$1, 1031 - 1, 60 - 1) = "1" ), 3, 4 ) ) )</f>
        <v>1</v>
      </c>
    </row>
    <row r="1032" spans="58:61" x14ac:dyDescent="0.2">
      <c r="BF1032" s="3">
        <v>0</v>
      </c>
      <c r="BG1032" s="3" t="str">
        <f t="shared" ref="BG1032:BG1046" si="115">"0"</f>
        <v>0</v>
      </c>
      <c r="BH1032" t="str">
        <f ca="1">IF((OFFSET($A$1, 1032 - 1, 58 - 1)) &gt;= (OFFSET($A$1, 96 - 1, 7 - 1)), "1","0")</f>
        <v>0</v>
      </c>
      <c r="BI1032">
        <f ca="1" xml:space="preserve"> IF( AND( OFFSET($A$1, 1032 - 1, 59 - 1) = "1", OFFSET($A$1, 1032 - 1, 60 - 1) = "1" ), 1, IF( AND( OFFSET($A$1, 1032 - 1, 59 - 1) = "1", OFFSET($A$1, 1032 - 1, 60 - 1) = "0" ), 2, IF( AND( OFFSET($A$1, 1032 - 1, 59 - 1) = "0", OFFSET($A$1, 1032 - 1, 60 - 1) = "1" ), 3, 4 ) ) )</f>
        <v>4</v>
      </c>
    </row>
    <row r="1033" spans="58:61" x14ac:dyDescent="0.2">
      <c r="BF1033" s="3">
        <v>0.36</v>
      </c>
      <c r="BG1033" s="3" t="str">
        <f t="shared" si="115"/>
        <v>0</v>
      </c>
      <c r="BH1033" t="str">
        <f ca="1">IF((OFFSET($A$1, 1033 - 1, 58 - 1)) &gt;= (OFFSET($A$1, 96 - 1, 7 - 1)), "1","0")</f>
        <v>0</v>
      </c>
      <c r="BI1033">
        <f ca="1" xml:space="preserve"> IF( AND( OFFSET($A$1, 1033 - 1, 59 - 1) = "1", OFFSET($A$1, 1033 - 1, 60 - 1) = "1" ), 1, IF( AND( OFFSET($A$1, 1033 - 1, 59 - 1) = "1", OFFSET($A$1, 1033 - 1, 60 - 1) = "0" ), 2, IF( AND( OFFSET($A$1, 1033 - 1, 59 - 1) = "0", OFFSET($A$1, 1033 - 1, 60 - 1) = "1" ), 3, 4 ) ) )</f>
        <v>4</v>
      </c>
    </row>
    <row r="1034" spans="58:61" x14ac:dyDescent="0.2">
      <c r="BF1034" s="3">
        <v>0</v>
      </c>
      <c r="BG1034" s="3" t="str">
        <f t="shared" si="115"/>
        <v>0</v>
      </c>
      <c r="BH1034" t="str">
        <f ca="1">IF((OFFSET($A$1, 1034 - 1, 58 - 1)) &gt;= (OFFSET($A$1, 96 - 1, 7 - 1)), "1","0")</f>
        <v>0</v>
      </c>
      <c r="BI1034">
        <f ca="1" xml:space="preserve"> IF( AND( OFFSET($A$1, 1034 - 1, 59 - 1) = "1", OFFSET($A$1, 1034 - 1, 60 - 1) = "1" ), 1, IF( AND( OFFSET($A$1, 1034 - 1, 59 - 1) = "1", OFFSET($A$1, 1034 - 1, 60 - 1) = "0" ), 2, IF( AND( OFFSET($A$1, 1034 - 1, 59 - 1) = "0", OFFSET($A$1, 1034 - 1, 60 - 1) = "1" ), 3, 4 ) ) )</f>
        <v>4</v>
      </c>
    </row>
    <row r="1035" spans="58:61" x14ac:dyDescent="0.2">
      <c r="BF1035" s="3">
        <v>0</v>
      </c>
      <c r="BG1035" s="3" t="str">
        <f t="shared" si="115"/>
        <v>0</v>
      </c>
      <c r="BH1035" t="str">
        <f ca="1">IF((OFFSET($A$1, 1035 - 1, 58 - 1)) &gt;= (OFFSET($A$1, 96 - 1, 7 - 1)), "1","0")</f>
        <v>0</v>
      </c>
      <c r="BI1035">
        <f ca="1" xml:space="preserve"> IF( AND( OFFSET($A$1, 1035 - 1, 59 - 1) = "1", OFFSET($A$1, 1035 - 1, 60 - 1) = "1" ), 1, IF( AND( OFFSET($A$1, 1035 - 1, 59 - 1) = "1", OFFSET($A$1, 1035 - 1, 60 - 1) = "0" ), 2, IF( AND( OFFSET($A$1, 1035 - 1, 59 - 1) = "0", OFFSET($A$1, 1035 - 1, 60 - 1) = "1" ), 3, 4 ) ) )</f>
        <v>4</v>
      </c>
    </row>
    <row r="1036" spans="58:61" x14ac:dyDescent="0.2">
      <c r="BF1036" s="3">
        <v>0.90579710144927539</v>
      </c>
      <c r="BG1036" s="3" t="str">
        <f t="shared" si="115"/>
        <v>0</v>
      </c>
      <c r="BH1036" t="str">
        <f ca="1">IF((OFFSET($A$1, 1036 - 1, 58 - 1)) &gt;= (OFFSET($A$1, 96 - 1, 7 - 1)), "1","0")</f>
        <v>1</v>
      </c>
      <c r="BI1036">
        <f ca="1" xml:space="preserve"> IF( AND( OFFSET($A$1, 1036 - 1, 59 - 1) = "1", OFFSET($A$1, 1036 - 1, 60 - 1) = "1" ), 1, IF( AND( OFFSET($A$1, 1036 - 1, 59 - 1) = "1", OFFSET($A$1, 1036 - 1, 60 - 1) = "0" ), 2, IF( AND( OFFSET($A$1, 1036 - 1, 59 - 1) = "0", OFFSET($A$1, 1036 - 1, 60 - 1) = "1" ), 3, 4 ) ) )</f>
        <v>3</v>
      </c>
    </row>
    <row r="1037" spans="58:61" x14ac:dyDescent="0.2">
      <c r="BF1037" s="3">
        <v>0.08</v>
      </c>
      <c r="BG1037" s="3" t="str">
        <f t="shared" si="115"/>
        <v>0</v>
      </c>
      <c r="BH1037" t="str">
        <f ca="1">IF((OFFSET($A$1, 1037 - 1, 58 - 1)) &gt;= (OFFSET($A$1, 96 - 1, 7 - 1)), "1","0")</f>
        <v>0</v>
      </c>
      <c r="BI1037">
        <f ca="1" xml:space="preserve"> IF( AND( OFFSET($A$1, 1037 - 1, 59 - 1) = "1", OFFSET($A$1, 1037 - 1, 60 - 1) = "1" ), 1, IF( AND( OFFSET($A$1, 1037 - 1, 59 - 1) = "1", OFFSET($A$1, 1037 - 1, 60 - 1) = "0" ), 2, IF( AND( OFFSET($A$1, 1037 - 1, 59 - 1) = "0", OFFSET($A$1, 1037 - 1, 60 - 1) = "1" ), 3, 4 ) ) )</f>
        <v>4</v>
      </c>
    </row>
    <row r="1038" spans="58:61" x14ac:dyDescent="0.2">
      <c r="BF1038" s="3">
        <v>0</v>
      </c>
      <c r="BG1038" s="3" t="str">
        <f t="shared" si="115"/>
        <v>0</v>
      </c>
      <c r="BH1038" t="str">
        <f ca="1">IF((OFFSET($A$1, 1038 - 1, 58 - 1)) &gt;= (OFFSET($A$1, 96 - 1, 7 - 1)), "1","0")</f>
        <v>0</v>
      </c>
      <c r="BI1038">
        <f ca="1" xml:space="preserve"> IF( AND( OFFSET($A$1, 1038 - 1, 59 - 1) = "1", OFFSET($A$1, 1038 - 1, 60 - 1) = "1" ), 1, IF( AND( OFFSET($A$1, 1038 - 1, 59 - 1) = "1", OFFSET($A$1, 1038 - 1, 60 - 1) = "0" ), 2, IF( AND( OFFSET($A$1, 1038 - 1, 59 - 1) = "0", OFFSET($A$1, 1038 - 1, 60 - 1) = "1" ), 3, 4 ) ) )</f>
        <v>4</v>
      </c>
    </row>
    <row r="1039" spans="58:61" x14ac:dyDescent="0.2">
      <c r="BF1039" s="3">
        <v>3.7037037037037042E-2</v>
      </c>
      <c r="BG1039" s="3" t="str">
        <f t="shared" si="115"/>
        <v>0</v>
      </c>
      <c r="BH1039" t="str">
        <f ca="1">IF((OFFSET($A$1, 1039 - 1, 58 - 1)) &gt;= (OFFSET($A$1, 96 - 1, 7 - 1)), "1","0")</f>
        <v>0</v>
      </c>
      <c r="BI1039">
        <f ca="1" xml:space="preserve"> IF( AND( OFFSET($A$1, 1039 - 1, 59 - 1) = "1", OFFSET($A$1, 1039 - 1, 60 - 1) = "1" ), 1, IF( AND( OFFSET($A$1, 1039 - 1, 59 - 1) = "1", OFFSET($A$1, 1039 - 1, 60 - 1) = "0" ), 2, IF( AND( OFFSET($A$1, 1039 - 1, 59 - 1) = "0", OFFSET($A$1, 1039 - 1, 60 - 1) = "1" ), 3, 4 ) ) )</f>
        <v>4</v>
      </c>
    </row>
    <row r="1040" spans="58:61" x14ac:dyDescent="0.2">
      <c r="BF1040" s="3">
        <v>0.08</v>
      </c>
      <c r="BG1040" s="3" t="str">
        <f t="shared" si="115"/>
        <v>0</v>
      </c>
      <c r="BH1040" t="str">
        <f ca="1">IF((OFFSET($A$1, 1040 - 1, 58 - 1)) &gt;= (OFFSET($A$1, 96 - 1, 7 - 1)), "1","0")</f>
        <v>0</v>
      </c>
      <c r="BI1040">
        <f ca="1" xml:space="preserve"> IF( AND( OFFSET($A$1, 1040 - 1, 59 - 1) = "1", OFFSET($A$1, 1040 - 1, 60 - 1) = "1" ), 1, IF( AND( OFFSET($A$1, 1040 - 1, 59 - 1) = "1", OFFSET($A$1, 1040 - 1, 60 - 1) = "0" ), 2, IF( AND( OFFSET($A$1, 1040 - 1, 59 - 1) = "0", OFFSET($A$1, 1040 - 1, 60 - 1) = "1" ), 3, 4 ) ) )</f>
        <v>4</v>
      </c>
    </row>
    <row r="1041" spans="58:61" x14ac:dyDescent="0.2">
      <c r="BF1041" s="3">
        <v>0</v>
      </c>
      <c r="BG1041" s="3" t="str">
        <f t="shared" si="115"/>
        <v>0</v>
      </c>
      <c r="BH1041" t="str">
        <f ca="1">IF((OFFSET($A$1, 1041 - 1, 58 - 1)) &gt;= (OFFSET($A$1, 96 - 1, 7 - 1)), "1","0")</f>
        <v>0</v>
      </c>
      <c r="BI1041">
        <f ca="1" xml:space="preserve"> IF( AND( OFFSET($A$1, 1041 - 1, 59 - 1) = "1", OFFSET($A$1, 1041 - 1, 60 - 1) = "1" ), 1, IF( AND( OFFSET($A$1, 1041 - 1, 59 - 1) = "1", OFFSET($A$1, 1041 - 1, 60 - 1) = "0" ), 2, IF( AND( OFFSET($A$1, 1041 - 1, 59 - 1) = "0", OFFSET($A$1, 1041 - 1, 60 - 1) = "1" ), 3, 4 ) ) )</f>
        <v>4</v>
      </c>
    </row>
    <row r="1042" spans="58:61" x14ac:dyDescent="0.2">
      <c r="BF1042" s="3">
        <v>0.36</v>
      </c>
      <c r="BG1042" s="3" t="str">
        <f t="shared" si="115"/>
        <v>0</v>
      </c>
      <c r="BH1042" t="str">
        <f ca="1">IF((OFFSET($A$1, 1042 - 1, 58 - 1)) &gt;= (OFFSET($A$1, 96 - 1, 7 - 1)), "1","0")</f>
        <v>0</v>
      </c>
      <c r="BI1042">
        <f ca="1" xml:space="preserve"> IF( AND( OFFSET($A$1, 1042 - 1, 59 - 1) = "1", OFFSET($A$1, 1042 - 1, 60 - 1) = "1" ), 1, IF( AND( OFFSET($A$1, 1042 - 1, 59 - 1) = "1", OFFSET($A$1, 1042 - 1, 60 - 1) = "0" ), 2, IF( AND( OFFSET($A$1, 1042 - 1, 59 - 1) = "0", OFFSET($A$1, 1042 - 1, 60 - 1) = "1" ), 3, 4 ) ) )</f>
        <v>4</v>
      </c>
    </row>
    <row r="1043" spans="58:61" x14ac:dyDescent="0.2">
      <c r="BF1043" s="3">
        <v>3.7037037037037042E-2</v>
      </c>
      <c r="BG1043" s="3" t="str">
        <f t="shared" si="115"/>
        <v>0</v>
      </c>
      <c r="BH1043" t="str">
        <f ca="1">IF((OFFSET($A$1, 1043 - 1, 58 - 1)) &gt;= (OFFSET($A$1, 96 - 1, 7 - 1)), "1","0")</f>
        <v>0</v>
      </c>
      <c r="BI1043">
        <f ca="1" xml:space="preserve"> IF( AND( OFFSET($A$1, 1043 - 1, 59 - 1) = "1", OFFSET($A$1, 1043 - 1, 60 - 1) = "1" ), 1, IF( AND( OFFSET($A$1, 1043 - 1, 59 - 1) = "1", OFFSET($A$1, 1043 - 1, 60 - 1) = "0" ), 2, IF( AND( OFFSET($A$1, 1043 - 1, 59 - 1) = "0", OFFSET($A$1, 1043 - 1, 60 - 1) = "1" ), 3, 4 ) ) )</f>
        <v>4</v>
      </c>
    </row>
    <row r="1044" spans="58:61" x14ac:dyDescent="0.2">
      <c r="BF1044" s="3">
        <v>0</v>
      </c>
      <c r="BG1044" s="3" t="str">
        <f t="shared" si="115"/>
        <v>0</v>
      </c>
      <c r="BH1044" t="str">
        <f ca="1">IF((OFFSET($A$1, 1044 - 1, 58 - 1)) &gt;= (OFFSET($A$1, 96 - 1, 7 - 1)), "1","0")</f>
        <v>0</v>
      </c>
      <c r="BI1044">
        <f ca="1" xml:space="preserve"> IF( AND( OFFSET($A$1, 1044 - 1, 59 - 1) = "1", OFFSET($A$1, 1044 - 1, 60 - 1) = "1" ), 1, IF( AND( OFFSET($A$1, 1044 - 1, 59 - 1) = "1", OFFSET($A$1, 1044 - 1, 60 - 1) = "0" ), 2, IF( AND( OFFSET($A$1, 1044 - 1, 59 - 1) = "0", OFFSET($A$1, 1044 - 1, 60 - 1) = "1" ), 3, 4 ) ) )</f>
        <v>4</v>
      </c>
    </row>
    <row r="1045" spans="58:61" x14ac:dyDescent="0.2">
      <c r="BF1045" s="3">
        <v>0</v>
      </c>
      <c r="BG1045" s="3" t="str">
        <f t="shared" si="115"/>
        <v>0</v>
      </c>
      <c r="BH1045" t="str">
        <f ca="1">IF((OFFSET($A$1, 1045 - 1, 58 - 1)) &gt;= (OFFSET($A$1, 96 - 1, 7 - 1)), "1","0")</f>
        <v>0</v>
      </c>
      <c r="BI1045">
        <f ca="1" xml:space="preserve"> IF( AND( OFFSET($A$1, 1045 - 1, 59 - 1) = "1", OFFSET($A$1, 1045 - 1, 60 - 1) = "1" ), 1, IF( AND( OFFSET($A$1, 1045 - 1, 59 - 1) = "1", OFFSET($A$1, 1045 - 1, 60 - 1) = "0" ), 2, IF( AND( OFFSET($A$1, 1045 - 1, 59 - 1) = "0", OFFSET($A$1, 1045 - 1, 60 - 1) = "1" ), 3, 4 ) ) )</f>
        <v>4</v>
      </c>
    </row>
    <row r="1046" spans="58:61" x14ac:dyDescent="0.2">
      <c r="BF1046" s="3">
        <v>0</v>
      </c>
      <c r="BG1046" s="3" t="str">
        <f t="shared" si="115"/>
        <v>0</v>
      </c>
      <c r="BH1046" t="str">
        <f ca="1">IF((OFFSET($A$1, 1046 - 1, 58 - 1)) &gt;= (OFFSET($A$1, 96 - 1, 7 - 1)), "1","0")</f>
        <v>0</v>
      </c>
      <c r="BI1046">
        <f ca="1" xml:space="preserve"> IF( AND( OFFSET($A$1, 1046 - 1, 59 - 1) = "1", OFFSET($A$1, 1046 - 1, 60 - 1) = "1" ), 1, IF( AND( OFFSET($A$1, 1046 - 1, 59 - 1) = "1", OFFSET($A$1, 1046 - 1, 60 - 1) = "0" ), 2, IF( AND( OFFSET($A$1, 1046 - 1, 59 - 1) = "0", OFFSET($A$1, 1046 - 1, 60 - 1) = "1" ), 3, 4 ) ) )</f>
        <v>4</v>
      </c>
    </row>
    <row r="1047" spans="58:61" x14ac:dyDescent="0.2">
      <c r="BF1047" s="3">
        <v>0.90579710144927539</v>
      </c>
      <c r="BG1047" s="3" t="str">
        <f>"1"</f>
        <v>1</v>
      </c>
      <c r="BH1047" t="str">
        <f ca="1">IF((OFFSET($A$1, 1047 - 1, 58 - 1)) &gt;= (OFFSET($A$1, 96 - 1, 7 - 1)), "1","0")</f>
        <v>1</v>
      </c>
      <c r="BI1047">
        <f ca="1" xml:space="preserve"> IF( AND( OFFSET($A$1, 1047 - 1, 59 - 1) = "1", OFFSET($A$1, 1047 - 1, 60 - 1) = "1" ), 1, IF( AND( OFFSET($A$1, 1047 - 1, 59 - 1) = "1", OFFSET($A$1, 1047 - 1, 60 - 1) = "0" ), 2, IF( AND( OFFSET($A$1, 1047 - 1, 59 - 1) = "0", OFFSET($A$1, 1047 - 1, 60 - 1) = "1" ), 3, 4 ) ) )</f>
        <v>1</v>
      </c>
    </row>
    <row r="1048" spans="58:61" x14ac:dyDescent="0.2">
      <c r="BF1048" s="3">
        <v>0.34722222222222221</v>
      </c>
      <c r="BG1048" s="3" t="str">
        <f t="shared" ref="BG1048:BG1054" si="116">"0"</f>
        <v>0</v>
      </c>
      <c r="BH1048" t="str">
        <f ca="1">IF((OFFSET($A$1, 1048 - 1, 58 - 1)) &gt;= (OFFSET($A$1, 96 - 1, 7 - 1)), "1","0")</f>
        <v>0</v>
      </c>
      <c r="BI1048">
        <f ca="1" xml:space="preserve"> IF( AND( OFFSET($A$1, 1048 - 1, 59 - 1) = "1", OFFSET($A$1, 1048 - 1, 60 - 1) = "1" ), 1, IF( AND( OFFSET($A$1, 1048 - 1, 59 - 1) = "1", OFFSET($A$1, 1048 - 1, 60 - 1) = "0" ), 2, IF( AND( OFFSET($A$1, 1048 - 1, 59 - 1) = "0", OFFSET($A$1, 1048 - 1, 60 - 1) = "1" ), 3, 4 ) ) )</f>
        <v>4</v>
      </c>
    </row>
    <row r="1049" spans="58:61" x14ac:dyDescent="0.2">
      <c r="BF1049" s="3">
        <v>0</v>
      </c>
      <c r="BG1049" s="3" t="str">
        <f t="shared" si="116"/>
        <v>0</v>
      </c>
      <c r="BH1049" t="str">
        <f ca="1">IF((OFFSET($A$1, 1049 - 1, 58 - 1)) &gt;= (OFFSET($A$1, 96 - 1, 7 - 1)), "1","0")</f>
        <v>0</v>
      </c>
      <c r="BI1049">
        <f ca="1" xml:space="preserve"> IF( AND( OFFSET($A$1, 1049 - 1, 59 - 1) = "1", OFFSET($A$1, 1049 - 1, 60 - 1) = "1" ), 1, IF( AND( OFFSET($A$1, 1049 - 1, 59 - 1) = "1", OFFSET($A$1, 1049 - 1, 60 - 1) = "0" ), 2, IF( AND( OFFSET($A$1, 1049 - 1, 59 - 1) = "0", OFFSET($A$1, 1049 - 1, 60 - 1) = "1" ), 3, 4 ) ) )</f>
        <v>4</v>
      </c>
    </row>
    <row r="1050" spans="58:61" x14ac:dyDescent="0.2">
      <c r="BF1050" s="3">
        <v>0</v>
      </c>
      <c r="BG1050" s="3" t="str">
        <f t="shared" si="116"/>
        <v>0</v>
      </c>
      <c r="BH1050" t="str">
        <f ca="1">IF((OFFSET($A$1, 1050 - 1, 58 - 1)) &gt;= (OFFSET($A$1, 96 - 1, 7 - 1)), "1","0")</f>
        <v>0</v>
      </c>
      <c r="BI1050">
        <f ca="1" xml:space="preserve"> IF( AND( OFFSET($A$1, 1050 - 1, 59 - 1) = "1", OFFSET($A$1, 1050 - 1, 60 - 1) = "1" ), 1, IF( AND( OFFSET($A$1, 1050 - 1, 59 - 1) = "1", OFFSET($A$1, 1050 - 1, 60 - 1) = "0" ), 2, IF( AND( OFFSET($A$1, 1050 - 1, 59 - 1) = "0", OFFSET($A$1, 1050 - 1, 60 - 1) = "1" ), 3, 4 ) ) )</f>
        <v>4</v>
      </c>
    </row>
    <row r="1051" spans="58:61" x14ac:dyDescent="0.2">
      <c r="BF1051" s="3">
        <v>0</v>
      </c>
      <c r="BG1051" s="3" t="str">
        <f t="shared" si="116"/>
        <v>0</v>
      </c>
      <c r="BH1051" t="str">
        <f ca="1">IF((OFFSET($A$1, 1051 - 1, 58 - 1)) &gt;= (OFFSET($A$1, 96 - 1, 7 - 1)), "1","0")</f>
        <v>0</v>
      </c>
      <c r="BI1051">
        <f ca="1" xml:space="preserve"> IF( AND( OFFSET($A$1, 1051 - 1, 59 - 1) = "1", OFFSET($A$1, 1051 - 1, 60 - 1) = "1" ), 1, IF( AND( OFFSET($A$1, 1051 - 1, 59 - 1) = "1", OFFSET($A$1, 1051 - 1, 60 - 1) = "0" ), 2, IF( AND( OFFSET($A$1, 1051 - 1, 59 - 1) = "0", OFFSET($A$1, 1051 - 1, 60 - 1) = "1" ), 3, 4 ) ) )</f>
        <v>4</v>
      </c>
    </row>
    <row r="1052" spans="58:61" x14ac:dyDescent="0.2">
      <c r="BF1052" s="3">
        <v>0.08</v>
      </c>
      <c r="BG1052" s="3" t="str">
        <f t="shared" si="116"/>
        <v>0</v>
      </c>
      <c r="BH1052" t="str">
        <f ca="1">IF((OFFSET($A$1, 1052 - 1, 58 - 1)) &gt;= (OFFSET($A$1, 96 - 1, 7 - 1)), "1","0")</f>
        <v>0</v>
      </c>
      <c r="BI1052">
        <f ca="1" xml:space="preserve"> IF( AND( OFFSET($A$1, 1052 - 1, 59 - 1) = "1", OFFSET($A$1, 1052 - 1, 60 - 1) = "1" ), 1, IF( AND( OFFSET($A$1, 1052 - 1, 59 - 1) = "1", OFFSET($A$1, 1052 - 1, 60 - 1) = "0" ), 2, IF( AND( OFFSET($A$1, 1052 - 1, 59 - 1) = "0", OFFSET($A$1, 1052 - 1, 60 - 1) = "1" ), 3, 4 ) ) )</f>
        <v>4</v>
      </c>
    </row>
    <row r="1053" spans="58:61" x14ac:dyDescent="0.2">
      <c r="BF1053" s="3">
        <v>0.38775510204081637</v>
      </c>
      <c r="BG1053" s="3" t="str">
        <f t="shared" si="116"/>
        <v>0</v>
      </c>
      <c r="BH1053" t="str">
        <f ca="1">IF((OFFSET($A$1, 1053 - 1, 58 - 1)) &gt;= (OFFSET($A$1, 96 - 1, 7 - 1)), "1","0")</f>
        <v>0</v>
      </c>
      <c r="BI1053">
        <f ca="1" xml:space="preserve"> IF( AND( OFFSET($A$1, 1053 - 1, 59 - 1) = "1", OFFSET($A$1, 1053 - 1, 60 - 1) = "1" ), 1, IF( AND( OFFSET($A$1, 1053 - 1, 59 - 1) = "1", OFFSET($A$1, 1053 - 1, 60 - 1) = "0" ), 2, IF( AND( OFFSET($A$1, 1053 - 1, 59 - 1) = "0", OFFSET($A$1, 1053 - 1, 60 - 1) = "1" ), 3, 4 ) ) )</f>
        <v>4</v>
      </c>
    </row>
    <row r="1054" spans="58:61" x14ac:dyDescent="0.2">
      <c r="BF1054" s="3">
        <v>0</v>
      </c>
      <c r="BG1054" s="3" t="str">
        <f t="shared" si="116"/>
        <v>0</v>
      </c>
      <c r="BH1054" t="str">
        <f ca="1">IF((OFFSET($A$1, 1054 - 1, 58 - 1)) &gt;= (OFFSET($A$1, 96 - 1, 7 - 1)), "1","0")</f>
        <v>0</v>
      </c>
      <c r="BI1054">
        <f ca="1" xml:space="preserve"> IF( AND( OFFSET($A$1, 1054 - 1, 59 - 1) = "1", OFFSET($A$1, 1054 - 1, 60 - 1) = "1" ), 1, IF( AND( OFFSET($A$1, 1054 - 1, 59 - 1) = "1", OFFSET($A$1, 1054 - 1, 60 - 1) = "0" ), 2, IF( AND( OFFSET($A$1, 1054 - 1, 59 - 1) = "0", OFFSET($A$1, 1054 - 1, 60 - 1) = "1" ), 3, 4 ) ) )</f>
        <v>4</v>
      </c>
    </row>
    <row r="1055" spans="58:61" x14ac:dyDescent="0.2">
      <c r="BF1055" s="3">
        <v>0.34722222222222221</v>
      </c>
      <c r="BG1055" s="3" t="str">
        <f>"1"</f>
        <v>1</v>
      </c>
      <c r="BH1055" t="str">
        <f ca="1">IF((OFFSET($A$1, 1055 - 1, 58 - 1)) &gt;= (OFFSET($A$1, 96 - 1, 7 - 1)), "1","0")</f>
        <v>0</v>
      </c>
      <c r="BI1055">
        <f ca="1" xml:space="preserve"> IF( AND( OFFSET($A$1, 1055 - 1, 59 - 1) = "1", OFFSET($A$1, 1055 - 1, 60 - 1) = "1" ), 1, IF( AND( OFFSET($A$1, 1055 - 1, 59 - 1) = "1", OFFSET($A$1, 1055 - 1, 60 - 1) = "0" ), 2, IF( AND( OFFSET($A$1, 1055 - 1, 59 - 1) = "0", OFFSET($A$1, 1055 - 1, 60 - 1) = "1" ), 3, 4 ) ) )</f>
        <v>2</v>
      </c>
    </row>
    <row r="1056" spans="58:61" x14ac:dyDescent="0.2">
      <c r="BF1056" s="3">
        <v>0</v>
      </c>
      <c r="BG1056" s="3" t="str">
        <f>"0"</f>
        <v>0</v>
      </c>
      <c r="BH1056" t="str">
        <f ca="1">IF((OFFSET($A$1, 1056 - 1, 58 - 1)) &gt;= (OFFSET($A$1, 96 - 1, 7 - 1)), "1","0")</f>
        <v>0</v>
      </c>
      <c r="BI1056">
        <f ca="1" xml:space="preserve"> IF( AND( OFFSET($A$1, 1056 - 1, 59 - 1) = "1", OFFSET($A$1, 1056 - 1, 60 - 1) = "1" ), 1, IF( AND( OFFSET($A$1, 1056 - 1, 59 - 1) = "1", OFFSET($A$1, 1056 - 1, 60 - 1) = "0" ), 2, IF( AND( OFFSET($A$1, 1056 - 1, 59 - 1) = "0", OFFSET($A$1, 1056 - 1, 60 - 1) = "1" ), 3, 4 ) ) )</f>
        <v>4</v>
      </c>
    </row>
    <row r="1057" spans="58:61" x14ac:dyDescent="0.2">
      <c r="BF1057" s="3">
        <v>0</v>
      </c>
      <c r="BG1057" s="3" t="str">
        <f>"0"</f>
        <v>0</v>
      </c>
      <c r="BH1057" t="str">
        <f ca="1">IF((OFFSET($A$1, 1057 - 1, 58 - 1)) &gt;= (OFFSET($A$1, 96 - 1, 7 - 1)), "1","0")</f>
        <v>0</v>
      </c>
      <c r="BI1057">
        <f ca="1" xml:space="preserve"> IF( AND( OFFSET($A$1, 1057 - 1, 59 - 1) = "1", OFFSET($A$1, 1057 - 1, 60 - 1) = "1" ), 1, IF( AND( OFFSET($A$1, 1057 - 1, 59 - 1) = "1", OFFSET($A$1, 1057 - 1, 60 - 1) = "0" ), 2, IF( AND( OFFSET($A$1, 1057 - 1, 59 - 1) = "0", OFFSET($A$1, 1057 - 1, 60 - 1) = "1" ), 3, 4 ) ) )</f>
        <v>4</v>
      </c>
    </row>
    <row r="1058" spans="58:61" x14ac:dyDescent="0.2">
      <c r="BF1058" s="3">
        <v>0</v>
      </c>
      <c r="BG1058" s="3" t="str">
        <f>"0"</f>
        <v>0</v>
      </c>
      <c r="BH1058" t="str">
        <f ca="1">IF((OFFSET($A$1, 1058 - 1, 58 - 1)) &gt;= (OFFSET($A$1, 96 - 1, 7 - 1)), "1","0")</f>
        <v>0</v>
      </c>
      <c r="BI1058">
        <f ca="1" xml:space="preserve"> IF( AND( OFFSET($A$1, 1058 - 1, 59 - 1) = "1", OFFSET($A$1, 1058 - 1, 60 - 1) = "1" ), 1, IF( AND( OFFSET($A$1, 1058 - 1, 59 - 1) = "1", OFFSET($A$1, 1058 - 1, 60 - 1) = "0" ), 2, IF( AND( OFFSET($A$1, 1058 - 1, 59 - 1) = "0", OFFSET($A$1, 1058 - 1, 60 - 1) = "1" ), 3, 4 ) ) )</f>
        <v>4</v>
      </c>
    </row>
    <row r="1059" spans="58:61" x14ac:dyDescent="0.2">
      <c r="BF1059" s="3">
        <v>0.36</v>
      </c>
      <c r="BG1059" s="3" t="str">
        <f>"1"</f>
        <v>1</v>
      </c>
      <c r="BH1059" t="str">
        <f ca="1">IF((OFFSET($A$1, 1059 - 1, 58 - 1)) &gt;= (OFFSET($A$1, 96 - 1, 7 - 1)), "1","0")</f>
        <v>0</v>
      </c>
      <c r="BI1059">
        <f ca="1" xml:space="preserve"> IF( AND( OFFSET($A$1, 1059 - 1, 59 - 1) = "1", OFFSET($A$1, 1059 - 1, 60 - 1) = "1" ), 1, IF( AND( OFFSET($A$1, 1059 - 1, 59 - 1) = "1", OFFSET($A$1, 1059 - 1, 60 - 1) = "0" ), 2, IF( AND( OFFSET($A$1, 1059 - 1, 59 - 1) = "0", OFFSET($A$1, 1059 - 1, 60 - 1) = "1" ), 3, 4 ) ) )</f>
        <v>2</v>
      </c>
    </row>
    <row r="1060" spans="58:61" x14ac:dyDescent="0.2">
      <c r="BF1060" s="3">
        <v>0</v>
      </c>
      <c r="BG1060" s="3" t="str">
        <f t="shared" ref="BG1060:BG1075" si="117">"0"</f>
        <v>0</v>
      </c>
      <c r="BH1060" t="str">
        <f ca="1">IF((OFFSET($A$1, 1060 - 1, 58 - 1)) &gt;= (OFFSET($A$1, 96 - 1, 7 - 1)), "1","0")</f>
        <v>0</v>
      </c>
      <c r="BI1060">
        <f ca="1" xml:space="preserve"> IF( AND( OFFSET($A$1, 1060 - 1, 59 - 1) = "1", OFFSET($A$1, 1060 - 1, 60 - 1) = "1" ), 1, IF( AND( OFFSET($A$1, 1060 - 1, 59 - 1) = "1", OFFSET($A$1, 1060 - 1, 60 - 1) = "0" ), 2, IF( AND( OFFSET($A$1, 1060 - 1, 59 - 1) = "0", OFFSET($A$1, 1060 - 1, 60 - 1) = "1" ), 3, 4 ) ) )</f>
        <v>4</v>
      </c>
    </row>
    <row r="1061" spans="58:61" x14ac:dyDescent="0.2">
      <c r="BF1061" s="3">
        <v>0</v>
      </c>
      <c r="BG1061" s="3" t="str">
        <f t="shared" si="117"/>
        <v>0</v>
      </c>
      <c r="BH1061" t="str">
        <f ca="1">IF((OFFSET($A$1, 1061 - 1, 58 - 1)) &gt;= (OFFSET($A$1, 96 - 1, 7 - 1)), "1","0")</f>
        <v>0</v>
      </c>
      <c r="BI1061">
        <f ca="1" xml:space="preserve"> IF( AND( OFFSET($A$1, 1061 - 1, 59 - 1) = "1", OFFSET($A$1, 1061 - 1, 60 - 1) = "1" ), 1, IF( AND( OFFSET($A$1, 1061 - 1, 59 - 1) = "1", OFFSET($A$1, 1061 - 1, 60 - 1) = "0" ), 2, IF( AND( OFFSET($A$1, 1061 - 1, 59 - 1) = "0", OFFSET($A$1, 1061 - 1, 60 - 1) = "1" ), 3, 4 ) ) )</f>
        <v>4</v>
      </c>
    </row>
    <row r="1062" spans="58:61" x14ac:dyDescent="0.2">
      <c r="BF1062" s="3">
        <v>0</v>
      </c>
      <c r="BG1062" s="3" t="str">
        <f t="shared" si="117"/>
        <v>0</v>
      </c>
      <c r="BH1062" t="str">
        <f ca="1">IF((OFFSET($A$1, 1062 - 1, 58 - 1)) &gt;= (OFFSET($A$1, 96 - 1, 7 - 1)), "1","0")</f>
        <v>0</v>
      </c>
      <c r="BI1062">
        <f ca="1" xml:space="preserve"> IF( AND( OFFSET($A$1, 1062 - 1, 59 - 1) = "1", OFFSET($A$1, 1062 - 1, 60 - 1) = "1" ), 1, IF( AND( OFFSET($A$1, 1062 - 1, 59 - 1) = "1", OFFSET($A$1, 1062 - 1, 60 - 1) = "0" ), 2, IF( AND( OFFSET($A$1, 1062 - 1, 59 - 1) = "0", OFFSET($A$1, 1062 - 1, 60 - 1) = "1" ), 3, 4 ) ) )</f>
        <v>4</v>
      </c>
    </row>
    <row r="1063" spans="58:61" x14ac:dyDescent="0.2">
      <c r="BF1063" s="3">
        <v>0</v>
      </c>
      <c r="BG1063" s="3" t="str">
        <f t="shared" si="117"/>
        <v>0</v>
      </c>
      <c r="BH1063" t="str">
        <f ca="1">IF((OFFSET($A$1, 1063 - 1, 58 - 1)) &gt;= (OFFSET($A$1, 96 - 1, 7 - 1)), "1","0")</f>
        <v>0</v>
      </c>
      <c r="BI1063">
        <f ca="1" xml:space="preserve"> IF( AND( OFFSET($A$1, 1063 - 1, 59 - 1) = "1", OFFSET($A$1, 1063 - 1, 60 - 1) = "1" ), 1, IF( AND( OFFSET($A$1, 1063 - 1, 59 - 1) = "1", OFFSET($A$1, 1063 - 1, 60 - 1) = "0" ), 2, IF( AND( OFFSET($A$1, 1063 - 1, 59 - 1) = "0", OFFSET($A$1, 1063 - 1, 60 - 1) = "1" ), 3, 4 ) ) )</f>
        <v>4</v>
      </c>
    </row>
    <row r="1064" spans="58:61" x14ac:dyDescent="0.2">
      <c r="BF1064" s="3">
        <v>0</v>
      </c>
      <c r="BG1064" s="3" t="str">
        <f t="shared" si="117"/>
        <v>0</v>
      </c>
      <c r="BH1064" t="str">
        <f ca="1">IF((OFFSET($A$1, 1064 - 1, 58 - 1)) &gt;= (OFFSET($A$1, 96 - 1, 7 - 1)), "1","0")</f>
        <v>0</v>
      </c>
      <c r="BI1064">
        <f ca="1" xml:space="preserve"> IF( AND( OFFSET($A$1, 1064 - 1, 59 - 1) = "1", OFFSET($A$1, 1064 - 1, 60 - 1) = "1" ), 1, IF( AND( OFFSET($A$1, 1064 - 1, 59 - 1) = "1", OFFSET($A$1, 1064 - 1, 60 - 1) = "0" ), 2, IF( AND( OFFSET($A$1, 1064 - 1, 59 - 1) = "0", OFFSET($A$1, 1064 - 1, 60 - 1) = "1" ), 3, 4 ) ) )</f>
        <v>4</v>
      </c>
    </row>
    <row r="1065" spans="58:61" x14ac:dyDescent="0.2">
      <c r="BF1065" s="3">
        <v>4.3478260869565216E-2</v>
      </c>
      <c r="BG1065" s="3" t="str">
        <f t="shared" si="117"/>
        <v>0</v>
      </c>
      <c r="BH1065" t="str">
        <f ca="1">IF((OFFSET($A$1, 1065 - 1, 58 - 1)) &gt;= (OFFSET($A$1, 96 - 1, 7 - 1)), "1","0")</f>
        <v>0</v>
      </c>
      <c r="BI1065">
        <f ca="1" xml:space="preserve"> IF( AND( OFFSET($A$1, 1065 - 1, 59 - 1) = "1", OFFSET($A$1, 1065 - 1, 60 - 1) = "1" ), 1, IF( AND( OFFSET($A$1, 1065 - 1, 59 - 1) = "1", OFFSET($A$1, 1065 - 1, 60 - 1) = "0" ), 2, IF( AND( OFFSET($A$1, 1065 - 1, 59 - 1) = "0", OFFSET($A$1, 1065 - 1, 60 - 1) = "1" ), 3, 4 ) ) )</f>
        <v>4</v>
      </c>
    </row>
    <row r="1066" spans="58:61" x14ac:dyDescent="0.2">
      <c r="BF1066" s="3">
        <v>0</v>
      </c>
      <c r="BG1066" s="3" t="str">
        <f t="shared" si="117"/>
        <v>0</v>
      </c>
      <c r="BH1066" t="str">
        <f ca="1">IF((OFFSET($A$1, 1066 - 1, 58 - 1)) &gt;= (OFFSET($A$1, 96 - 1, 7 - 1)), "1","0")</f>
        <v>0</v>
      </c>
      <c r="BI1066">
        <f ca="1" xml:space="preserve"> IF( AND( OFFSET($A$1, 1066 - 1, 59 - 1) = "1", OFFSET($A$1, 1066 - 1, 60 - 1) = "1" ), 1, IF( AND( OFFSET($A$1, 1066 - 1, 59 - 1) = "1", OFFSET($A$1, 1066 - 1, 60 - 1) = "0" ), 2, IF( AND( OFFSET($A$1, 1066 - 1, 59 - 1) = "0", OFFSET($A$1, 1066 - 1, 60 - 1) = "1" ), 3, 4 ) ) )</f>
        <v>4</v>
      </c>
    </row>
    <row r="1067" spans="58:61" x14ac:dyDescent="0.2">
      <c r="BF1067" s="3">
        <v>0</v>
      </c>
      <c r="BG1067" s="3" t="str">
        <f t="shared" si="117"/>
        <v>0</v>
      </c>
      <c r="BH1067" t="str">
        <f ca="1">IF((OFFSET($A$1, 1067 - 1, 58 - 1)) &gt;= (OFFSET($A$1, 96 - 1, 7 - 1)), "1","0")</f>
        <v>0</v>
      </c>
      <c r="BI1067">
        <f ca="1" xml:space="preserve"> IF( AND( OFFSET($A$1, 1067 - 1, 59 - 1) = "1", OFFSET($A$1, 1067 - 1, 60 - 1) = "1" ), 1, IF( AND( OFFSET($A$1, 1067 - 1, 59 - 1) = "1", OFFSET($A$1, 1067 - 1, 60 - 1) = "0" ), 2, IF( AND( OFFSET($A$1, 1067 - 1, 59 - 1) = "0", OFFSET($A$1, 1067 - 1, 60 - 1) = "1" ), 3, 4 ) ) )</f>
        <v>4</v>
      </c>
    </row>
    <row r="1068" spans="58:61" x14ac:dyDescent="0.2">
      <c r="BF1068" s="3">
        <v>0.08</v>
      </c>
      <c r="BG1068" s="3" t="str">
        <f t="shared" si="117"/>
        <v>0</v>
      </c>
      <c r="BH1068" t="str">
        <f ca="1">IF((OFFSET($A$1, 1068 - 1, 58 - 1)) &gt;= (OFFSET($A$1, 96 - 1, 7 - 1)), "1","0")</f>
        <v>0</v>
      </c>
      <c r="BI1068">
        <f ca="1" xml:space="preserve"> IF( AND( OFFSET($A$1, 1068 - 1, 59 - 1) = "1", OFFSET($A$1, 1068 - 1, 60 - 1) = "1" ), 1, IF( AND( OFFSET($A$1, 1068 - 1, 59 - 1) = "1", OFFSET($A$1, 1068 - 1, 60 - 1) = "0" ), 2, IF( AND( OFFSET($A$1, 1068 - 1, 59 - 1) = "0", OFFSET($A$1, 1068 - 1, 60 - 1) = "1" ), 3, 4 ) ) )</f>
        <v>4</v>
      </c>
    </row>
    <row r="1069" spans="58:61" x14ac:dyDescent="0.2">
      <c r="BF1069" s="3">
        <v>0.36</v>
      </c>
      <c r="BG1069" s="3" t="str">
        <f t="shared" si="117"/>
        <v>0</v>
      </c>
      <c r="BH1069" t="str">
        <f ca="1">IF((OFFSET($A$1, 1069 - 1, 58 - 1)) &gt;= (OFFSET($A$1, 96 - 1, 7 - 1)), "1","0")</f>
        <v>0</v>
      </c>
      <c r="BI1069">
        <f ca="1" xml:space="preserve"> IF( AND( OFFSET($A$1, 1069 - 1, 59 - 1) = "1", OFFSET($A$1, 1069 - 1, 60 - 1) = "1" ), 1, IF( AND( OFFSET($A$1, 1069 - 1, 59 - 1) = "1", OFFSET($A$1, 1069 - 1, 60 - 1) = "0" ), 2, IF( AND( OFFSET($A$1, 1069 - 1, 59 - 1) = "0", OFFSET($A$1, 1069 - 1, 60 - 1) = "1" ), 3, 4 ) ) )</f>
        <v>4</v>
      </c>
    </row>
    <row r="1070" spans="58:61" x14ac:dyDescent="0.2">
      <c r="BF1070" s="3">
        <v>0.1081081081081081</v>
      </c>
      <c r="BG1070" s="3" t="str">
        <f t="shared" si="117"/>
        <v>0</v>
      </c>
      <c r="BH1070" t="str">
        <f ca="1">IF((OFFSET($A$1, 1070 - 1, 58 - 1)) &gt;= (OFFSET($A$1, 96 - 1, 7 - 1)), "1","0")</f>
        <v>0</v>
      </c>
      <c r="BI1070">
        <f ca="1" xml:space="preserve"> IF( AND( OFFSET($A$1, 1070 - 1, 59 - 1) = "1", OFFSET($A$1, 1070 - 1, 60 - 1) = "1" ), 1, IF( AND( OFFSET($A$1, 1070 - 1, 59 - 1) = "1", OFFSET($A$1, 1070 - 1, 60 - 1) = "0" ), 2, IF( AND( OFFSET($A$1, 1070 - 1, 59 - 1) = "0", OFFSET($A$1, 1070 - 1, 60 - 1) = "1" ), 3, 4 ) ) )</f>
        <v>4</v>
      </c>
    </row>
    <row r="1071" spans="58:61" x14ac:dyDescent="0.2">
      <c r="BF1071" s="3">
        <v>0</v>
      </c>
      <c r="BG1071" s="3" t="str">
        <f t="shared" si="117"/>
        <v>0</v>
      </c>
      <c r="BH1071" t="str">
        <f ca="1">IF((OFFSET($A$1, 1071 - 1, 58 - 1)) &gt;= (OFFSET($A$1, 96 - 1, 7 - 1)), "1","0")</f>
        <v>0</v>
      </c>
      <c r="BI1071">
        <f ca="1" xml:space="preserve"> IF( AND( OFFSET($A$1, 1071 - 1, 59 - 1) = "1", OFFSET($A$1, 1071 - 1, 60 - 1) = "1" ), 1, IF( AND( OFFSET($A$1, 1071 - 1, 59 - 1) = "1", OFFSET($A$1, 1071 - 1, 60 - 1) = "0" ), 2, IF( AND( OFFSET($A$1, 1071 - 1, 59 - 1) = "0", OFFSET($A$1, 1071 - 1, 60 - 1) = "1" ), 3, 4 ) ) )</f>
        <v>4</v>
      </c>
    </row>
    <row r="1072" spans="58:61" x14ac:dyDescent="0.2">
      <c r="BF1072" s="3">
        <v>0</v>
      </c>
      <c r="BG1072" s="3" t="str">
        <f t="shared" si="117"/>
        <v>0</v>
      </c>
      <c r="BH1072" t="str">
        <f ca="1">IF((OFFSET($A$1, 1072 - 1, 58 - 1)) &gt;= (OFFSET($A$1, 96 - 1, 7 - 1)), "1","0")</f>
        <v>0</v>
      </c>
      <c r="BI1072">
        <f ca="1" xml:space="preserve"> IF( AND( OFFSET($A$1, 1072 - 1, 59 - 1) = "1", OFFSET($A$1, 1072 - 1, 60 - 1) = "1" ), 1, IF( AND( OFFSET($A$1, 1072 - 1, 59 - 1) = "1", OFFSET($A$1, 1072 - 1, 60 - 1) = "0" ), 2, IF( AND( OFFSET($A$1, 1072 - 1, 59 - 1) = "0", OFFSET($A$1, 1072 - 1, 60 - 1) = "1" ), 3, 4 ) ) )</f>
        <v>4</v>
      </c>
    </row>
    <row r="1073" spans="58:61" x14ac:dyDescent="0.2">
      <c r="BF1073" s="3">
        <v>0</v>
      </c>
      <c r="BG1073" s="3" t="str">
        <f t="shared" si="117"/>
        <v>0</v>
      </c>
      <c r="BH1073" t="str">
        <f ca="1">IF((OFFSET($A$1, 1073 - 1, 58 - 1)) &gt;= (OFFSET($A$1, 96 - 1, 7 - 1)), "1","0")</f>
        <v>0</v>
      </c>
      <c r="BI1073">
        <f ca="1" xml:space="preserve"> IF( AND( OFFSET($A$1, 1073 - 1, 59 - 1) = "1", OFFSET($A$1, 1073 - 1, 60 - 1) = "1" ), 1, IF( AND( OFFSET($A$1, 1073 - 1, 59 - 1) = "1", OFFSET($A$1, 1073 - 1, 60 - 1) = "0" ), 2, IF( AND( OFFSET($A$1, 1073 - 1, 59 - 1) = "0", OFFSET($A$1, 1073 - 1, 60 - 1) = "1" ), 3, 4 ) ) )</f>
        <v>4</v>
      </c>
    </row>
    <row r="1074" spans="58:61" x14ac:dyDescent="0.2">
      <c r="BF1074" s="3">
        <v>3.7037037037037042E-2</v>
      </c>
      <c r="BG1074" s="3" t="str">
        <f t="shared" si="117"/>
        <v>0</v>
      </c>
      <c r="BH1074" t="str">
        <f ca="1">IF((OFFSET($A$1, 1074 - 1, 58 - 1)) &gt;= (OFFSET($A$1, 96 - 1, 7 - 1)), "1","0")</f>
        <v>0</v>
      </c>
      <c r="BI1074">
        <f ca="1" xml:space="preserve"> IF( AND( OFFSET($A$1, 1074 - 1, 59 - 1) = "1", OFFSET($A$1, 1074 - 1, 60 - 1) = "1" ), 1, IF( AND( OFFSET($A$1, 1074 - 1, 59 - 1) = "1", OFFSET($A$1, 1074 - 1, 60 - 1) = "0" ), 2, IF( AND( OFFSET($A$1, 1074 - 1, 59 - 1) = "0", OFFSET($A$1, 1074 - 1, 60 - 1) = "1" ), 3, 4 ) ) )</f>
        <v>4</v>
      </c>
    </row>
    <row r="1075" spans="58:61" x14ac:dyDescent="0.2">
      <c r="BF1075" s="3">
        <v>0</v>
      </c>
      <c r="BG1075" s="3" t="str">
        <f t="shared" si="117"/>
        <v>0</v>
      </c>
      <c r="BH1075" t="str">
        <f ca="1">IF((OFFSET($A$1, 1075 - 1, 58 - 1)) &gt;= (OFFSET($A$1, 96 - 1, 7 - 1)), "1","0")</f>
        <v>0</v>
      </c>
      <c r="BI1075">
        <f ca="1" xml:space="preserve"> IF( AND( OFFSET($A$1, 1075 - 1, 59 - 1) = "1", OFFSET($A$1, 1075 - 1, 60 - 1) = "1" ), 1, IF( AND( OFFSET($A$1, 1075 - 1, 59 - 1) = "1", OFFSET($A$1, 1075 - 1, 60 - 1) = "0" ), 2, IF( AND( OFFSET($A$1, 1075 - 1, 59 - 1) = "0", OFFSET($A$1, 1075 - 1, 60 - 1) = "1" ), 3, 4 ) ) )</f>
        <v>4</v>
      </c>
    </row>
    <row r="1076" spans="58:61" x14ac:dyDescent="0.2">
      <c r="BF1076" s="3">
        <v>0.90579710144927539</v>
      </c>
      <c r="BG1076" s="3" t="str">
        <f>"1"</f>
        <v>1</v>
      </c>
      <c r="BH1076" t="str">
        <f ca="1">IF((OFFSET($A$1, 1076 - 1, 58 - 1)) &gt;= (OFFSET($A$1, 96 - 1, 7 - 1)), "1","0")</f>
        <v>1</v>
      </c>
      <c r="BI1076">
        <f ca="1" xml:space="preserve"> IF( AND( OFFSET($A$1, 1076 - 1, 59 - 1) = "1", OFFSET($A$1, 1076 - 1, 60 - 1) = "1" ), 1, IF( AND( OFFSET($A$1, 1076 - 1, 59 - 1) = "1", OFFSET($A$1, 1076 - 1, 60 - 1) = "0" ), 2, IF( AND( OFFSET($A$1, 1076 - 1, 59 - 1) = "0", OFFSET($A$1, 1076 - 1, 60 - 1) = "1" ), 3, 4 ) ) )</f>
        <v>1</v>
      </c>
    </row>
    <row r="1077" spans="58:61" x14ac:dyDescent="0.2">
      <c r="BF1077" s="3">
        <v>0.38775510204081637</v>
      </c>
      <c r="BG1077" s="3" t="str">
        <f t="shared" ref="BG1077:BG1091" si="118">"0"</f>
        <v>0</v>
      </c>
      <c r="BH1077" t="str">
        <f ca="1">IF((OFFSET($A$1, 1077 - 1, 58 - 1)) &gt;= (OFFSET($A$1, 96 - 1, 7 - 1)), "1","0")</f>
        <v>0</v>
      </c>
      <c r="BI1077">
        <f ca="1" xml:space="preserve"> IF( AND( OFFSET($A$1, 1077 - 1, 59 - 1) = "1", OFFSET($A$1, 1077 - 1, 60 - 1) = "1" ), 1, IF( AND( OFFSET($A$1, 1077 - 1, 59 - 1) = "1", OFFSET($A$1, 1077 - 1, 60 - 1) = "0" ), 2, IF( AND( OFFSET($A$1, 1077 - 1, 59 - 1) = "0", OFFSET($A$1, 1077 - 1, 60 - 1) = "1" ), 3, 4 ) ) )</f>
        <v>4</v>
      </c>
    </row>
    <row r="1078" spans="58:61" x14ac:dyDescent="0.2">
      <c r="BF1078" s="3">
        <v>3.7037037037037042E-2</v>
      </c>
      <c r="BG1078" s="3" t="str">
        <f t="shared" si="118"/>
        <v>0</v>
      </c>
      <c r="BH1078" t="str">
        <f ca="1">IF((OFFSET($A$1, 1078 - 1, 58 - 1)) &gt;= (OFFSET($A$1, 96 - 1, 7 - 1)), "1","0")</f>
        <v>0</v>
      </c>
      <c r="BI1078">
        <f ca="1" xml:space="preserve"> IF( AND( OFFSET($A$1, 1078 - 1, 59 - 1) = "1", OFFSET($A$1, 1078 - 1, 60 - 1) = "1" ), 1, IF( AND( OFFSET($A$1, 1078 - 1, 59 - 1) = "1", OFFSET($A$1, 1078 - 1, 60 - 1) = "0" ), 2, IF( AND( OFFSET($A$1, 1078 - 1, 59 - 1) = "0", OFFSET($A$1, 1078 - 1, 60 - 1) = "1" ), 3, 4 ) ) )</f>
        <v>4</v>
      </c>
    </row>
    <row r="1079" spans="58:61" x14ac:dyDescent="0.2">
      <c r="BF1079" s="3">
        <v>0</v>
      </c>
      <c r="BG1079" s="3" t="str">
        <f t="shared" si="118"/>
        <v>0</v>
      </c>
      <c r="BH1079" t="str">
        <f ca="1">IF((OFFSET($A$1, 1079 - 1, 58 - 1)) &gt;= (OFFSET($A$1, 96 - 1, 7 - 1)), "1","0")</f>
        <v>0</v>
      </c>
      <c r="BI1079">
        <f ca="1" xml:space="preserve"> IF( AND( OFFSET($A$1, 1079 - 1, 59 - 1) = "1", OFFSET($A$1, 1079 - 1, 60 - 1) = "1" ), 1, IF( AND( OFFSET($A$1, 1079 - 1, 59 - 1) = "1", OFFSET($A$1, 1079 - 1, 60 - 1) = "0" ), 2, IF( AND( OFFSET($A$1, 1079 - 1, 59 - 1) = "0", OFFSET($A$1, 1079 - 1, 60 - 1) = "1" ), 3, 4 ) ) )</f>
        <v>4</v>
      </c>
    </row>
    <row r="1080" spans="58:61" x14ac:dyDescent="0.2">
      <c r="BF1080" s="3">
        <v>0</v>
      </c>
      <c r="BG1080" s="3" t="str">
        <f t="shared" si="118"/>
        <v>0</v>
      </c>
      <c r="BH1080" t="str">
        <f ca="1">IF((OFFSET($A$1, 1080 - 1, 58 - 1)) &gt;= (OFFSET($A$1, 96 - 1, 7 - 1)), "1","0")</f>
        <v>0</v>
      </c>
      <c r="BI1080">
        <f ca="1" xml:space="preserve"> IF( AND( OFFSET($A$1, 1080 - 1, 59 - 1) = "1", OFFSET($A$1, 1080 - 1, 60 - 1) = "1" ), 1, IF( AND( OFFSET($A$1, 1080 - 1, 59 - 1) = "1", OFFSET($A$1, 1080 - 1, 60 - 1) = "0" ), 2, IF( AND( OFFSET($A$1, 1080 - 1, 59 - 1) = "0", OFFSET($A$1, 1080 - 1, 60 - 1) = "1" ), 3, 4 ) ) )</f>
        <v>4</v>
      </c>
    </row>
    <row r="1081" spans="58:61" x14ac:dyDescent="0.2">
      <c r="BF1081" s="3">
        <v>0</v>
      </c>
      <c r="BG1081" s="3" t="str">
        <f t="shared" si="118"/>
        <v>0</v>
      </c>
      <c r="BH1081" t="str">
        <f ca="1">IF((OFFSET($A$1, 1081 - 1, 58 - 1)) &gt;= (OFFSET($A$1, 96 - 1, 7 - 1)), "1","0")</f>
        <v>0</v>
      </c>
      <c r="BI1081">
        <f ca="1" xml:space="preserve"> IF( AND( OFFSET($A$1, 1081 - 1, 59 - 1) = "1", OFFSET($A$1, 1081 - 1, 60 - 1) = "1" ), 1, IF( AND( OFFSET($A$1, 1081 - 1, 59 - 1) = "1", OFFSET($A$1, 1081 - 1, 60 - 1) = "0" ), 2, IF( AND( OFFSET($A$1, 1081 - 1, 59 - 1) = "0", OFFSET($A$1, 1081 - 1, 60 - 1) = "1" ), 3, 4 ) ) )</f>
        <v>4</v>
      </c>
    </row>
    <row r="1082" spans="58:61" x14ac:dyDescent="0.2">
      <c r="BF1082" s="3">
        <v>0</v>
      </c>
      <c r="BG1082" s="3" t="str">
        <f t="shared" si="118"/>
        <v>0</v>
      </c>
      <c r="BH1082" t="str">
        <f ca="1">IF((OFFSET($A$1, 1082 - 1, 58 - 1)) &gt;= (OFFSET($A$1, 96 - 1, 7 - 1)), "1","0")</f>
        <v>0</v>
      </c>
      <c r="BI1082">
        <f ca="1" xml:space="preserve"> IF( AND( OFFSET($A$1, 1082 - 1, 59 - 1) = "1", OFFSET($A$1, 1082 - 1, 60 - 1) = "1" ), 1, IF( AND( OFFSET($A$1, 1082 - 1, 59 - 1) = "1", OFFSET($A$1, 1082 - 1, 60 - 1) = "0" ), 2, IF( AND( OFFSET($A$1, 1082 - 1, 59 - 1) = "0", OFFSET($A$1, 1082 - 1, 60 - 1) = "1" ), 3, 4 ) ) )</f>
        <v>4</v>
      </c>
    </row>
    <row r="1083" spans="58:61" x14ac:dyDescent="0.2">
      <c r="BF1083" s="3">
        <v>0</v>
      </c>
      <c r="BG1083" s="3" t="str">
        <f t="shared" si="118"/>
        <v>0</v>
      </c>
      <c r="BH1083" t="str">
        <f ca="1">IF((OFFSET($A$1, 1083 - 1, 58 - 1)) &gt;= (OFFSET($A$1, 96 - 1, 7 - 1)), "1","0")</f>
        <v>0</v>
      </c>
      <c r="BI1083">
        <f ca="1" xml:space="preserve"> IF( AND( OFFSET($A$1, 1083 - 1, 59 - 1) = "1", OFFSET($A$1, 1083 - 1, 60 - 1) = "1" ), 1, IF( AND( OFFSET($A$1, 1083 - 1, 59 - 1) = "1", OFFSET($A$1, 1083 - 1, 60 - 1) = "0" ), 2, IF( AND( OFFSET($A$1, 1083 - 1, 59 - 1) = "0", OFFSET($A$1, 1083 - 1, 60 - 1) = "1" ), 3, 4 ) ) )</f>
        <v>4</v>
      </c>
    </row>
    <row r="1084" spans="58:61" x14ac:dyDescent="0.2">
      <c r="BF1084" s="3">
        <v>0</v>
      </c>
      <c r="BG1084" s="3" t="str">
        <f t="shared" si="118"/>
        <v>0</v>
      </c>
      <c r="BH1084" t="str">
        <f ca="1">IF((OFFSET($A$1, 1084 - 1, 58 - 1)) &gt;= (OFFSET($A$1, 96 - 1, 7 - 1)), "1","0")</f>
        <v>0</v>
      </c>
      <c r="BI1084">
        <f ca="1" xml:space="preserve"> IF( AND( OFFSET($A$1, 1084 - 1, 59 - 1) = "1", OFFSET($A$1, 1084 - 1, 60 - 1) = "1" ), 1, IF( AND( OFFSET($A$1, 1084 - 1, 59 - 1) = "1", OFFSET($A$1, 1084 - 1, 60 - 1) = "0" ), 2, IF( AND( OFFSET($A$1, 1084 - 1, 59 - 1) = "0", OFFSET($A$1, 1084 - 1, 60 - 1) = "1" ), 3, 4 ) ) )</f>
        <v>4</v>
      </c>
    </row>
    <row r="1085" spans="58:61" x14ac:dyDescent="0.2">
      <c r="BF1085" s="3">
        <v>0.36</v>
      </c>
      <c r="BG1085" s="3" t="str">
        <f t="shared" si="118"/>
        <v>0</v>
      </c>
      <c r="BH1085" t="str">
        <f ca="1">IF((OFFSET($A$1, 1085 - 1, 58 - 1)) &gt;= (OFFSET($A$1, 96 - 1, 7 - 1)), "1","0")</f>
        <v>0</v>
      </c>
      <c r="BI1085">
        <f ca="1" xml:space="preserve"> IF( AND( OFFSET($A$1, 1085 - 1, 59 - 1) = "1", OFFSET($A$1, 1085 - 1, 60 - 1) = "1" ), 1, IF( AND( OFFSET($A$1, 1085 - 1, 59 - 1) = "1", OFFSET($A$1, 1085 - 1, 60 - 1) = "0" ), 2, IF( AND( OFFSET($A$1, 1085 - 1, 59 - 1) = "0", OFFSET($A$1, 1085 - 1, 60 - 1) = "1" ), 3, 4 ) ) )</f>
        <v>4</v>
      </c>
    </row>
    <row r="1086" spans="58:61" x14ac:dyDescent="0.2">
      <c r="BF1086" s="3">
        <v>0.08</v>
      </c>
      <c r="BG1086" s="3" t="str">
        <f t="shared" si="118"/>
        <v>0</v>
      </c>
      <c r="BH1086" t="str">
        <f ca="1">IF((OFFSET($A$1, 1086 - 1, 58 - 1)) &gt;= (OFFSET($A$1, 96 - 1, 7 - 1)), "1","0")</f>
        <v>0</v>
      </c>
      <c r="BI1086">
        <f ca="1" xml:space="preserve"> IF( AND( OFFSET($A$1, 1086 - 1, 59 - 1) = "1", OFFSET($A$1, 1086 - 1, 60 - 1) = "1" ), 1, IF( AND( OFFSET($A$1, 1086 - 1, 59 - 1) = "1", OFFSET($A$1, 1086 - 1, 60 - 1) = "0" ), 2, IF( AND( OFFSET($A$1, 1086 - 1, 59 - 1) = "0", OFFSET($A$1, 1086 - 1, 60 - 1) = "1" ), 3, 4 ) ) )</f>
        <v>4</v>
      </c>
    </row>
    <row r="1087" spans="58:61" x14ac:dyDescent="0.2">
      <c r="BF1087" s="3">
        <v>0</v>
      </c>
      <c r="BG1087" s="3" t="str">
        <f t="shared" si="118"/>
        <v>0</v>
      </c>
      <c r="BH1087" t="str">
        <f ca="1">IF((OFFSET($A$1, 1087 - 1, 58 - 1)) &gt;= (OFFSET($A$1, 96 - 1, 7 - 1)), "1","0")</f>
        <v>0</v>
      </c>
      <c r="BI1087">
        <f ca="1" xml:space="preserve"> IF( AND( OFFSET($A$1, 1087 - 1, 59 - 1) = "1", OFFSET($A$1, 1087 - 1, 60 - 1) = "1" ), 1, IF( AND( OFFSET($A$1, 1087 - 1, 59 - 1) = "1", OFFSET($A$1, 1087 - 1, 60 - 1) = "0" ), 2, IF( AND( OFFSET($A$1, 1087 - 1, 59 - 1) = "0", OFFSET($A$1, 1087 - 1, 60 - 1) = "1" ), 3, 4 ) ) )</f>
        <v>4</v>
      </c>
    </row>
    <row r="1088" spans="58:61" x14ac:dyDescent="0.2">
      <c r="BF1088" s="3">
        <v>0.34722222222222221</v>
      </c>
      <c r="BG1088" s="3" t="str">
        <f t="shared" si="118"/>
        <v>0</v>
      </c>
      <c r="BH1088" t="str">
        <f ca="1">IF((OFFSET($A$1, 1088 - 1, 58 - 1)) &gt;= (OFFSET($A$1, 96 - 1, 7 - 1)), "1","0")</f>
        <v>0</v>
      </c>
      <c r="BI1088">
        <f ca="1" xml:space="preserve"> IF( AND( OFFSET($A$1, 1088 - 1, 59 - 1) = "1", OFFSET($A$1, 1088 - 1, 60 - 1) = "1" ), 1, IF( AND( OFFSET($A$1, 1088 - 1, 59 - 1) = "1", OFFSET($A$1, 1088 - 1, 60 - 1) = "0" ), 2, IF( AND( OFFSET($A$1, 1088 - 1, 59 - 1) = "0", OFFSET($A$1, 1088 - 1, 60 - 1) = "1" ), 3, 4 ) ) )</f>
        <v>4</v>
      </c>
    </row>
    <row r="1089" spans="58:61" x14ac:dyDescent="0.2">
      <c r="BF1089" s="3">
        <v>0</v>
      </c>
      <c r="BG1089" s="3" t="str">
        <f t="shared" si="118"/>
        <v>0</v>
      </c>
      <c r="BH1089" t="str">
        <f ca="1">IF((OFFSET($A$1, 1089 - 1, 58 - 1)) &gt;= (OFFSET($A$1, 96 - 1, 7 - 1)), "1","0")</f>
        <v>0</v>
      </c>
      <c r="BI1089">
        <f ca="1" xml:space="preserve"> IF( AND( OFFSET($A$1, 1089 - 1, 59 - 1) = "1", OFFSET($A$1, 1089 - 1, 60 - 1) = "1" ), 1, IF( AND( OFFSET($A$1, 1089 - 1, 59 - 1) = "1", OFFSET($A$1, 1089 - 1, 60 - 1) = "0" ), 2, IF( AND( OFFSET($A$1, 1089 - 1, 59 - 1) = "0", OFFSET($A$1, 1089 - 1, 60 - 1) = "1" ), 3, 4 ) ) )</f>
        <v>4</v>
      </c>
    </row>
    <row r="1090" spans="58:61" x14ac:dyDescent="0.2">
      <c r="BF1090" s="3">
        <v>0</v>
      </c>
      <c r="BG1090" s="3" t="str">
        <f t="shared" si="118"/>
        <v>0</v>
      </c>
      <c r="BH1090" t="str">
        <f ca="1">IF((OFFSET($A$1, 1090 - 1, 58 - 1)) &gt;= (OFFSET($A$1, 96 - 1, 7 - 1)), "1","0")</f>
        <v>0</v>
      </c>
      <c r="BI1090">
        <f ca="1" xml:space="preserve"> IF( AND( OFFSET($A$1, 1090 - 1, 59 - 1) = "1", OFFSET($A$1, 1090 - 1, 60 - 1) = "1" ), 1, IF( AND( OFFSET($A$1, 1090 - 1, 59 - 1) = "1", OFFSET($A$1, 1090 - 1, 60 - 1) = "0" ), 2, IF( AND( OFFSET($A$1, 1090 - 1, 59 - 1) = "0", OFFSET($A$1, 1090 - 1, 60 - 1) = "1" ), 3, 4 ) ) )</f>
        <v>4</v>
      </c>
    </row>
    <row r="1091" spans="58:61" x14ac:dyDescent="0.2">
      <c r="BF1091" s="3">
        <v>3.7037037037037042E-2</v>
      </c>
      <c r="BG1091" s="3" t="str">
        <f t="shared" si="118"/>
        <v>0</v>
      </c>
      <c r="BH1091" t="str">
        <f ca="1">IF((OFFSET($A$1, 1091 - 1, 58 - 1)) &gt;= (OFFSET($A$1, 96 - 1, 7 - 1)), "1","0")</f>
        <v>0</v>
      </c>
      <c r="BI1091">
        <f ca="1" xml:space="preserve"> IF( AND( OFFSET($A$1, 1091 - 1, 59 - 1) = "1", OFFSET($A$1, 1091 - 1, 60 - 1) = "1" ), 1, IF( AND( OFFSET($A$1, 1091 - 1, 59 - 1) = "1", OFFSET($A$1, 1091 - 1, 60 - 1) = "0" ), 2, IF( AND( OFFSET($A$1, 1091 - 1, 59 - 1) = "0", OFFSET($A$1, 1091 - 1, 60 - 1) = "1" ), 3, 4 ) ) )</f>
        <v>4</v>
      </c>
    </row>
    <row r="1092" spans="58:61" x14ac:dyDescent="0.2">
      <c r="BF1092" s="3">
        <v>0.47692307692307689</v>
      </c>
      <c r="BG1092" s="3" t="str">
        <f>"1"</f>
        <v>1</v>
      </c>
      <c r="BH1092" t="str">
        <f ca="1">IF((OFFSET($A$1, 1092 - 1, 58 - 1)) &gt;= (OFFSET($A$1, 96 - 1, 7 - 1)), "1","0")</f>
        <v>0</v>
      </c>
      <c r="BI1092">
        <f ca="1" xml:space="preserve"> IF( AND( OFFSET($A$1, 1092 - 1, 59 - 1) = "1", OFFSET($A$1, 1092 - 1, 60 - 1) = "1" ), 1, IF( AND( OFFSET($A$1, 1092 - 1, 59 - 1) = "1", OFFSET($A$1, 1092 - 1, 60 - 1) = "0" ), 2, IF( AND( OFFSET($A$1, 1092 - 1, 59 - 1) = "0", OFFSET($A$1, 1092 - 1, 60 - 1) = "1" ), 3, 4 ) ) )</f>
        <v>2</v>
      </c>
    </row>
    <row r="1093" spans="58:61" x14ac:dyDescent="0.2">
      <c r="BF1093" s="3">
        <v>0</v>
      </c>
      <c r="BG1093" s="3" t="str">
        <f>"0"</f>
        <v>0</v>
      </c>
      <c r="BH1093" t="str">
        <f ca="1">IF((OFFSET($A$1, 1093 - 1, 58 - 1)) &gt;= (OFFSET($A$1, 96 - 1, 7 - 1)), "1","0")</f>
        <v>0</v>
      </c>
      <c r="BI1093">
        <f ca="1" xml:space="preserve"> IF( AND( OFFSET($A$1, 1093 - 1, 59 - 1) = "1", OFFSET($A$1, 1093 - 1, 60 - 1) = "1" ), 1, IF( AND( OFFSET($A$1, 1093 - 1, 59 - 1) = "1", OFFSET($A$1, 1093 - 1, 60 - 1) = "0" ), 2, IF( AND( OFFSET($A$1, 1093 - 1, 59 - 1) = "0", OFFSET($A$1, 1093 - 1, 60 - 1) = "1" ), 3, 4 ) ) )</f>
        <v>4</v>
      </c>
    </row>
    <row r="1094" spans="58:61" x14ac:dyDescent="0.2">
      <c r="BF1094" s="3">
        <v>0</v>
      </c>
      <c r="BG1094" s="3" t="str">
        <f>"0"</f>
        <v>0</v>
      </c>
      <c r="BH1094" t="str">
        <f ca="1">IF((OFFSET($A$1, 1094 - 1, 58 - 1)) &gt;= (OFFSET($A$1, 96 - 1, 7 - 1)), "1","0")</f>
        <v>0</v>
      </c>
      <c r="BI1094">
        <f ca="1" xml:space="preserve"> IF( AND( OFFSET($A$1, 1094 - 1, 59 - 1) = "1", OFFSET($A$1, 1094 - 1, 60 - 1) = "1" ), 1, IF( AND( OFFSET($A$1, 1094 - 1, 59 - 1) = "1", OFFSET($A$1, 1094 - 1, 60 - 1) = "0" ), 2, IF( AND( OFFSET($A$1, 1094 - 1, 59 - 1) = "0", OFFSET($A$1, 1094 - 1, 60 - 1) = "1" ), 3, 4 ) ) )</f>
        <v>4</v>
      </c>
    </row>
    <row r="1095" spans="58:61" x14ac:dyDescent="0.2">
      <c r="BF1095" s="3">
        <v>4.3478260869565216E-2</v>
      </c>
      <c r="BG1095" s="3" t="str">
        <f>"0"</f>
        <v>0</v>
      </c>
      <c r="BH1095" t="str">
        <f ca="1">IF((OFFSET($A$1, 1095 - 1, 58 - 1)) &gt;= (OFFSET($A$1, 96 - 1, 7 - 1)), "1","0")</f>
        <v>0</v>
      </c>
      <c r="BI1095">
        <f ca="1" xml:space="preserve"> IF( AND( OFFSET($A$1, 1095 - 1, 59 - 1) = "1", OFFSET($A$1, 1095 - 1, 60 - 1) = "1" ), 1, IF( AND( OFFSET($A$1, 1095 - 1, 59 - 1) = "1", OFFSET($A$1, 1095 - 1, 60 - 1) = "0" ), 2, IF( AND( OFFSET($A$1, 1095 - 1, 59 - 1) = "0", OFFSET($A$1, 1095 - 1, 60 - 1) = "1" ), 3, 4 ) ) )</f>
        <v>4</v>
      </c>
    </row>
    <row r="1096" spans="58:61" x14ac:dyDescent="0.2">
      <c r="BF1096" s="3">
        <v>0.36</v>
      </c>
      <c r="BG1096" s="3" t="str">
        <f>"1"</f>
        <v>1</v>
      </c>
      <c r="BH1096" t="str">
        <f ca="1">IF((OFFSET($A$1, 1096 - 1, 58 - 1)) &gt;= (OFFSET($A$1, 96 - 1, 7 - 1)), "1","0")</f>
        <v>0</v>
      </c>
      <c r="BI1096">
        <f ca="1" xml:space="preserve"> IF( AND( OFFSET($A$1, 1096 - 1, 59 - 1) = "1", OFFSET($A$1, 1096 - 1, 60 - 1) = "1" ), 1, IF( AND( OFFSET($A$1, 1096 - 1, 59 - 1) = "1", OFFSET($A$1, 1096 - 1, 60 - 1) = "0" ), 2, IF( AND( OFFSET($A$1, 1096 - 1, 59 - 1) = "0", OFFSET($A$1, 1096 - 1, 60 - 1) = "1" ), 3, 4 ) ) )</f>
        <v>2</v>
      </c>
    </row>
    <row r="1097" spans="58:61" x14ac:dyDescent="0.2">
      <c r="BF1097" s="3">
        <v>0</v>
      </c>
      <c r="BG1097" s="3" t="str">
        <f>"0"</f>
        <v>0</v>
      </c>
      <c r="BH1097" t="str">
        <f ca="1">IF((OFFSET($A$1, 1097 - 1, 58 - 1)) &gt;= (OFFSET($A$1, 96 - 1, 7 - 1)), "1","0")</f>
        <v>0</v>
      </c>
      <c r="BI1097">
        <f ca="1" xml:space="preserve"> IF( AND( OFFSET($A$1, 1097 - 1, 59 - 1) = "1", OFFSET($A$1, 1097 - 1, 60 - 1) = "1" ), 1, IF( AND( OFFSET($A$1, 1097 - 1, 59 - 1) = "1", OFFSET($A$1, 1097 - 1, 60 - 1) = "0" ), 2, IF( AND( OFFSET($A$1, 1097 - 1, 59 - 1) = "0", OFFSET($A$1, 1097 - 1, 60 - 1) = "1" ), 3, 4 ) ) )</f>
        <v>4</v>
      </c>
    </row>
    <row r="1098" spans="58:61" x14ac:dyDescent="0.2">
      <c r="BF1098" s="3">
        <v>0.36</v>
      </c>
      <c r="BG1098" s="3" t="str">
        <f>"0"</f>
        <v>0</v>
      </c>
      <c r="BH1098" t="str">
        <f ca="1">IF((OFFSET($A$1, 1098 - 1, 58 - 1)) &gt;= (OFFSET($A$1, 96 - 1, 7 - 1)), "1","0")</f>
        <v>0</v>
      </c>
      <c r="BI1098">
        <f ca="1" xml:space="preserve"> IF( AND( OFFSET($A$1, 1098 - 1, 59 - 1) = "1", OFFSET($A$1, 1098 - 1, 60 - 1) = "1" ), 1, IF( AND( OFFSET($A$1, 1098 - 1, 59 - 1) = "1", OFFSET($A$1, 1098 - 1, 60 - 1) = "0" ), 2, IF( AND( OFFSET($A$1, 1098 - 1, 59 - 1) = "0", OFFSET($A$1, 1098 - 1, 60 - 1) = "1" ), 3, 4 ) ) )</f>
        <v>4</v>
      </c>
    </row>
    <row r="1099" spans="58:61" x14ac:dyDescent="0.2">
      <c r="BF1099" s="3">
        <v>0</v>
      </c>
      <c r="BG1099" s="3" t="str">
        <f>"0"</f>
        <v>0</v>
      </c>
      <c r="BH1099" t="str">
        <f ca="1">IF((OFFSET($A$1, 1099 - 1, 58 - 1)) &gt;= (OFFSET($A$1, 96 - 1, 7 - 1)), "1","0")</f>
        <v>0</v>
      </c>
      <c r="BI1099">
        <f ca="1" xml:space="preserve"> IF( AND( OFFSET($A$1, 1099 - 1, 59 - 1) = "1", OFFSET($A$1, 1099 - 1, 60 - 1) = "1" ), 1, IF( AND( OFFSET($A$1, 1099 - 1, 59 - 1) = "1", OFFSET($A$1, 1099 - 1, 60 - 1) = "0" ), 2, IF( AND( OFFSET($A$1, 1099 - 1, 59 - 1) = "0", OFFSET($A$1, 1099 - 1, 60 - 1) = "1" ), 3, 4 ) ) )</f>
        <v>4</v>
      </c>
    </row>
    <row r="1100" spans="58:61" x14ac:dyDescent="0.2">
      <c r="BF1100" s="3">
        <v>0.36</v>
      </c>
      <c r="BG1100" s="3" t="str">
        <f>"1"</f>
        <v>1</v>
      </c>
      <c r="BH1100" t="str">
        <f ca="1">IF((OFFSET($A$1, 1100 - 1, 58 - 1)) &gt;= (OFFSET($A$1, 96 - 1, 7 - 1)), "1","0")</f>
        <v>0</v>
      </c>
      <c r="BI1100">
        <f ca="1" xml:space="preserve"> IF( AND( OFFSET($A$1, 1100 - 1, 59 - 1) = "1", OFFSET($A$1, 1100 - 1, 60 - 1) = "1" ), 1, IF( AND( OFFSET($A$1, 1100 - 1, 59 - 1) = "1", OFFSET($A$1, 1100 - 1, 60 - 1) = "0" ), 2, IF( AND( OFFSET($A$1, 1100 - 1, 59 - 1) = "0", OFFSET($A$1, 1100 - 1, 60 - 1) = "1" ), 3, 4 ) ) )</f>
        <v>2</v>
      </c>
    </row>
    <row r="1101" spans="58:61" x14ac:dyDescent="0.2">
      <c r="BF1101" s="3">
        <v>0.90579710144927539</v>
      </c>
      <c r="BG1101" s="3" t="str">
        <f>"1"</f>
        <v>1</v>
      </c>
      <c r="BH1101" t="str">
        <f ca="1">IF((OFFSET($A$1, 1101 - 1, 58 - 1)) &gt;= (OFFSET($A$1, 96 - 1, 7 - 1)), "1","0")</f>
        <v>1</v>
      </c>
      <c r="BI1101">
        <f ca="1" xml:space="preserve"> IF( AND( OFFSET($A$1, 1101 - 1, 59 - 1) = "1", OFFSET($A$1, 1101 - 1, 60 - 1) = "1" ), 1, IF( AND( OFFSET($A$1, 1101 - 1, 59 - 1) = "1", OFFSET($A$1, 1101 - 1, 60 - 1) = "0" ), 2, IF( AND( OFFSET($A$1, 1101 - 1, 59 - 1) = "0", OFFSET($A$1, 1101 - 1, 60 - 1) = "1" ), 3, 4 ) ) )</f>
        <v>1</v>
      </c>
    </row>
    <row r="1102" spans="58:61" x14ac:dyDescent="0.2">
      <c r="BF1102" s="3">
        <v>3.7037037037037042E-2</v>
      </c>
      <c r="BG1102" s="3" t="str">
        <f>"0"</f>
        <v>0</v>
      </c>
      <c r="BH1102" t="str">
        <f ca="1">IF((OFFSET($A$1, 1102 - 1, 58 - 1)) &gt;= (OFFSET($A$1, 96 - 1, 7 - 1)), "1","0")</f>
        <v>0</v>
      </c>
      <c r="BI1102">
        <f ca="1" xml:space="preserve"> IF( AND( OFFSET($A$1, 1102 - 1, 59 - 1) = "1", OFFSET($A$1, 1102 - 1, 60 - 1) = "1" ), 1, IF( AND( OFFSET($A$1, 1102 - 1, 59 - 1) = "1", OFFSET($A$1, 1102 - 1, 60 - 1) = "0" ), 2, IF( AND( OFFSET($A$1, 1102 - 1, 59 - 1) = "0", OFFSET($A$1, 1102 - 1, 60 - 1) = "1" ), 3, 4 ) ) )</f>
        <v>4</v>
      </c>
    </row>
    <row r="1103" spans="58:61" x14ac:dyDescent="0.2">
      <c r="BF1103" s="3">
        <v>0.47692307692307689</v>
      </c>
      <c r="BG1103" s="3" t="str">
        <f>"1"</f>
        <v>1</v>
      </c>
      <c r="BH1103" t="str">
        <f ca="1">IF((OFFSET($A$1, 1103 - 1, 58 - 1)) &gt;= (OFFSET($A$1, 96 - 1, 7 - 1)), "1","0")</f>
        <v>0</v>
      </c>
      <c r="BI1103">
        <f ca="1" xml:space="preserve"> IF( AND( OFFSET($A$1, 1103 - 1, 59 - 1) = "1", OFFSET($A$1, 1103 - 1, 60 - 1) = "1" ), 1, IF( AND( OFFSET($A$1, 1103 - 1, 59 - 1) = "1", OFFSET($A$1, 1103 - 1, 60 - 1) = "0" ), 2, IF( AND( OFFSET($A$1, 1103 - 1, 59 - 1) = "0", OFFSET($A$1, 1103 - 1, 60 - 1) = "1" ), 3, 4 ) ) )</f>
        <v>2</v>
      </c>
    </row>
    <row r="1104" spans="58:61" x14ac:dyDescent="0.2">
      <c r="BF1104" s="3">
        <v>0.38775510204081637</v>
      </c>
      <c r="BG1104" s="3" t="str">
        <f t="shared" ref="BG1104:BG1109" si="119">"0"</f>
        <v>0</v>
      </c>
      <c r="BH1104" t="str">
        <f ca="1">IF((OFFSET($A$1, 1104 - 1, 58 - 1)) &gt;= (OFFSET($A$1, 96 - 1, 7 - 1)), "1","0")</f>
        <v>0</v>
      </c>
      <c r="BI1104">
        <f ca="1" xml:space="preserve"> IF( AND( OFFSET($A$1, 1104 - 1, 59 - 1) = "1", OFFSET($A$1, 1104 - 1, 60 - 1) = "1" ), 1, IF( AND( OFFSET($A$1, 1104 - 1, 59 - 1) = "1", OFFSET($A$1, 1104 - 1, 60 - 1) = "0" ), 2, IF( AND( OFFSET($A$1, 1104 - 1, 59 - 1) = "0", OFFSET($A$1, 1104 - 1, 60 - 1) = "1" ), 3, 4 ) ) )</f>
        <v>4</v>
      </c>
    </row>
    <row r="1105" spans="58:61" x14ac:dyDescent="0.2">
      <c r="BF1105" s="3">
        <v>3.7037037037037042E-2</v>
      </c>
      <c r="BG1105" s="3" t="str">
        <f t="shared" si="119"/>
        <v>0</v>
      </c>
      <c r="BH1105" t="str">
        <f ca="1">IF((OFFSET($A$1, 1105 - 1, 58 - 1)) &gt;= (OFFSET($A$1, 96 - 1, 7 - 1)), "1","0")</f>
        <v>0</v>
      </c>
      <c r="BI1105">
        <f ca="1" xml:space="preserve"> IF( AND( OFFSET($A$1, 1105 - 1, 59 - 1) = "1", OFFSET($A$1, 1105 - 1, 60 - 1) = "1" ), 1, IF( AND( OFFSET($A$1, 1105 - 1, 59 - 1) = "1", OFFSET($A$1, 1105 - 1, 60 - 1) = "0" ), 2, IF( AND( OFFSET($A$1, 1105 - 1, 59 - 1) = "0", OFFSET($A$1, 1105 - 1, 60 - 1) = "1" ), 3, 4 ) ) )</f>
        <v>4</v>
      </c>
    </row>
    <row r="1106" spans="58:61" x14ac:dyDescent="0.2">
      <c r="BF1106" s="3">
        <v>0</v>
      </c>
      <c r="BG1106" s="3" t="str">
        <f t="shared" si="119"/>
        <v>0</v>
      </c>
      <c r="BH1106" t="str">
        <f ca="1">IF((OFFSET($A$1, 1106 - 1, 58 - 1)) &gt;= (OFFSET($A$1, 96 - 1, 7 - 1)), "1","0")</f>
        <v>0</v>
      </c>
      <c r="BI1106">
        <f ca="1" xml:space="preserve"> IF( AND( OFFSET($A$1, 1106 - 1, 59 - 1) = "1", OFFSET($A$1, 1106 - 1, 60 - 1) = "1" ), 1, IF( AND( OFFSET($A$1, 1106 - 1, 59 - 1) = "1", OFFSET($A$1, 1106 - 1, 60 - 1) = "0" ), 2, IF( AND( OFFSET($A$1, 1106 - 1, 59 - 1) = "0", OFFSET($A$1, 1106 - 1, 60 - 1) = "1" ), 3, 4 ) ) )</f>
        <v>4</v>
      </c>
    </row>
    <row r="1107" spans="58:61" x14ac:dyDescent="0.2">
      <c r="BF1107" s="3">
        <v>0</v>
      </c>
      <c r="BG1107" s="3" t="str">
        <f t="shared" si="119"/>
        <v>0</v>
      </c>
      <c r="BH1107" t="str">
        <f ca="1">IF((OFFSET($A$1, 1107 - 1, 58 - 1)) &gt;= (OFFSET($A$1, 96 - 1, 7 - 1)), "1","0")</f>
        <v>0</v>
      </c>
      <c r="BI1107">
        <f ca="1" xml:space="preserve"> IF( AND( OFFSET($A$1, 1107 - 1, 59 - 1) = "1", OFFSET($A$1, 1107 - 1, 60 - 1) = "1" ), 1, IF( AND( OFFSET($A$1, 1107 - 1, 59 - 1) = "1", OFFSET($A$1, 1107 - 1, 60 - 1) = "0" ), 2, IF( AND( OFFSET($A$1, 1107 - 1, 59 - 1) = "0", OFFSET($A$1, 1107 - 1, 60 - 1) = "1" ), 3, 4 ) ) )</f>
        <v>4</v>
      </c>
    </row>
    <row r="1108" spans="58:61" x14ac:dyDescent="0.2">
      <c r="BF1108" s="3">
        <v>0</v>
      </c>
      <c r="BG1108" s="3" t="str">
        <f t="shared" si="119"/>
        <v>0</v>
      </c>
      <c r="BH1108" t="str">
        <f ca="1">IF((OFFSET($A$1, 1108 - 1, 58 - 1)) &gt;= (OFFSET($A$1, 96 - 1, 7 - 1)), "1","0")</f>
        <v>0</v>
      </c>
      <c r="BI1108">
        <f ca="1" xml:space="preserve"> IF( AND( OFFSET($A$1, 1108 - 1, 59 - 1) = "1", OFFSET($A$1, 1108 - 1, 60 - 1) = "1" ), 1, IF( AND( OFFSET($A$1, 1108 - 1, 59 - 1) = "1", OFFSET($A$1, 1108 - 1, 60 - 1) = "0" ), 2, IF( AND( OFFSET($A$1, 1108 - 1, 59 - 1) = "0", OFFSET($A$1, 1108 - 1, 60 - 1) = "1" ), 3, 4 ) ) )</f>
        <v>4</v>
      </c>
    </row>
    <row r="1109" spans="58:61" x14ac:dyDescent="0.2">
      <c r="BF1109" s="3">
        <v>4.3478260869565216E-2</v>
      </c>
      <c r="BG1109" s="3" t="str">
        <f t="shared" si="119"/>
        <v>0</v>
      </c>
      <c r="BH1109" t="str">
        <f ca="1">IF((OFFSET($A$1, 1109 - 1, 58 - 1)) &gt;= (OFFSET($A$1, 96 - 1, 7 - 1)), "1","0")</f>
        <v>0</v>
      </c>
      <c r="BI1109">
        <f ca="1" xml:space="preserve"> IF( AND( OFFSET($A$1, 1109 - 1, 59 - 1) = "1", OFFSET($A$1, 1109 - 1, 60 - 1) = "1" ), 1, IF( AND( OFFSET($A$1, 1109 - 1, 59 - 1) = "1", OFFSET($A$1, 1109 - 1, 60 - 1) = "0" ), 2, IF( AND( OFFSET($A$1, 1109 - 1, 59 - 1) = "0", OFFSET($A$1, 1109 - 1, 60 - 1) = "1" ), 3, 4 ) ) )</f>
        <v>4</v>
      </c>
    </row>
    <row r="1110" spans="58:61" x14ac:dyDescent="0.2">
      <c r="BF1110" s="3">
        <v>0.38775510204081637</v>
      </c>
      <c r="BG1110" s="3" t="str">
        <f>"1"</f>
        <v>1</v>
      </c>
      <c r="BH1110" t="str">
        <f ca="1">IF((OFFSET($A$1, 1110 - 1, 58 - 1)) &gt;= (OFFSET($A$1, 96 - 1, 7 - 1)), "1","0")</f>
        <v>0</v>
      </c>
      <c r="BI1110">
        <f ca="1" xml:space="preserve"> IF( AND( OFFSET($A$1, 1110 - 1, 59 - 1) = "1", OFFSET($A$1, 1110 - 1, 60 - 1) = "1" ), 1, IF( AND( OFFSET($A$1, 1110 - 1, 59 - 1) = "1", OFFSET($A$1, 1110 - 1, 60 - 1) = "0" ), 2, IF( AND( OFFSET($A$1, 1110 - 1, 59 - 1) = "0", OFFSET($A$1, 1110 - 1, 60 - 1) = "1" ), 3, 4 ) ) )</f>
        <v>2</v>
      </c>
    </row>
    <row r="1111" spans="58:61" x14ac:dyDescent="0.2">
      <c r="BF1111" s="3">
        <v>0</v>
      </c>
      <c r="BG1111" s="3" t="str">
        <f>"0"</f>
        <v>0</v>
      </c>
      <c r="BH1111" t="str">
        <f ca="1">IF((OFFSET($A$1, 1111 - 1, 58 - 1)) &gt;= (OFFSET($A$1, 96 - 1, 7 - 1)), "1","0")</f>
        <v>0</v>
      </c>
      <c r="BI1111">
        <f ca="1" xml:space="preserve"> IF( AND( OFFSET($A$1, 1111 - 1, 59 - 1) = "1", OFFSET($A$1, 1111 - 1, 60 - 1) = "1" ), 1, IF( AND( OFFSET($A$1, 1111 - 1, 59 - 1) = "1", OFFSET($A$1, 1111 - 1, 60 - 1) = "0" ), 2, IF( AND( OFFSET($A$1, 1111 - 1, 59 - 1) = "0", OFFSET($A$1, 1111 - 1, 60 - 1) = "1" ), 3, 4 ) ) )</f>
        <v>4</v>
      </c>
    </row>
    <row r="1112" spans="58:61" x14ac:dyDescent="0.2">
      <c r="BF1112" s="3">
        <v>0.90579710144927539</v>
      </c>
      <c r="BG1112" s="3" t="str">
        <f>"1"</f>
        <v>1</v>
      </c>
      <c r="BH1112" t="str">
        <f ca="1">IF((OFFSET($A$1, 1112 - 1, 58 - 1)) &gt;= (OFFSET($A$1, 96 - 1, 7 - 1)), "1","0")</f>
        <v>1</v>
      </c>
      <c r="BI1112">
        <f ca="1" xml:space="preserve"> IF( AND( OFFSET($A$1, 1112 - 1, 59 - 1) = "1", OFFSET($A$1, 1112 - 1, 60 - 1) = "1" ), 1, IF( AND( OFFSET($A$1, 1112 - 1, 59 - 1) = "1", OFFSET($A$1, 1112 - 1, 60 - 1) = "0" ), 2, IF( AND( OFFSET($A$1, 1112 - 1, 59 - 1) = "0", OFFSET($A$1, 1112 - 1, 60 - 1) = "1" ), 3, 4 ) ) )</f>
        <v>1</v>
      </c>
    </row>
    <row r="1113" spans="58:61" x14ac:dyDescent="0.2">
      <c r="BF1113" s="3">
        <v>0</v>
      </c>
      <c r="BG1113" s="3" t="str">
        <f>"0"</f>
        <v>0</v>
      </c>
      <c r="BH1113" t="str">
        <f ca="1">IF((OFFSET($A$1, 1113 - 1, 58 - 1)) &gt;= (OFFSET($A$1, 96 - 1, 7 - 1)), "1","0")</f>
        <v>0</v>
      </c>
      <c r="BI1113">
        <f ca="1" xml:space="preserve"> IF( AND( OFFSET($A$1, 1113 - 1, 59 - 1) = "1", OFFSET($A$1, 1113 - 1, 60 - 1) = "1" ), 1, IF( AND( OFFSET($A$1, 1113 - 1, 59 - 1) = "1", OFFSET($A$1, 1113 - 1, 60 - 1) = "0" ), 2, IF( AND( OFFSET($A$1, 1113 - 1, 59 - 1) = "0", OFFSET($A$1, 1113 - 1, 60 - 1) = "1" ), 3, 4 ) ) )</f>
        <v>4</v>
      </c>
    </row>
    <row r="1114" spans="58:61" x14ac:dyDescent="0.2">
      <c r="BF1114" s="3">
        <v>0.47692307692307689</v>
      </c>
      <c r="BG1114" s="3" t="str">
        <f>"1"</f>
        <v>1</v>
      </c>
      <c r="BH1114" t="str">
        <f ca="1">IF((OFFSET($A$1, 1114 - 1, 58 - 1)) &gt;= (OFFSET($A$1, 96 - 1, 7 - 1)), "1","0")</f>
        <v>0</v>
      </c>
      <c r="BI1114">
        <f ca="1" xml:space="preserve"> IF( AND( OFFSET($A$1, 1114 - 1, 59 - 1) = "1", OFFSET($A$1, 1114 - 1, 60 - 1) = "1" ), 1, IF( AND( OFFSET($A$1, 1114 - 1, 59 - 1) = "1", OFFSET($A$1, 1114 - 1, 60 - 1) = "0" ), 2, IF( AND( OFFSET($A$1, 1114 - 1, 59 - 1) = "0", OFFSET($A$1, 1114 - 1, 60 - 1) = "1" ), 3, 4 ) ) )</f>
        <v>2</v>
      </c>
    </row>
    <row r="1115" spans="58:61" x14ac:dyDescent="0.2">
      <c r="BF1115" s="3">
        <v>3.7037037037037042E-2</v>
      </c>
      <c r="BG1115" s="3" t="str">
        <f t="shared" ref="BG1115:BG1131" si="120">"0"</f>
        <v>0</v>
      </c>
      <c r="BH1115" t="str">
        <f ca="1">IF((OFFSET($A$1, 1115 - 1, 58 - 1)) &gt;= (OFFSET($A$1, 96 - 1, 7 - 1)), "1","0")</f>
        <v>0</v>
      </c>
      <c r="BI1115">
        <f ca="1" xml:space="preserve"> IF( AND( OFFSET($A$1, 1115 - 1, 59 - 1) = "1", OFFSET($A$1, 1115 - 1, 60 - 1) = "1" ), 1, IF( AND( OFFSET($A$1, 1115 - 1, 59 - 1) = "1", OFFSET($A$1, 1115 - 1, 60 - 1) = "0" ), 2, IF( AND( OFFSET($A$1, 1115 - 1, 59 - 1) = "0", OFFSET($A$1, 1115 - 1, 60 - 1) = "1" ), 3, 4 ) ) )</f>
        <v>4</v>
      </c>
    </row>
    <row r="1116" spans="58:61" x14ac:dyDescent="0.2">
      <c r="BF1116" s="3">
        <v>3.7037037037037042E-2</v>
      </c>
      <c r="BG1116" s="3" t="str">
        <f t="shared" si="120"/>
        <v>0</v>
      </c>
      <c r="BH1116" t="str">
        <f ca="1">IF((OFFSET($A$1, 1116 - 1, 58 - 1)) &gt;= (OFFSET($A$1, 96 - 1, 7 - 1)), "1","0")</f>
        <v>0</v>
      </c>
      <c r="BI1116">
        <f ca="1" xml:space="preserve"> IF( AND( OFFSET($A$1, 1116 - 1, 59 - 1) = "1", OFFSET($A$1, 1116 - 1, 60 - 1) = "1" ), 1, IF( AND( OFFSET($A$1, 1116 - 1, 59 - 1) = "1", OFFSET($A$1, 1116 - 1, 60 - 1) = "0" ), 2, IF( AND( OFFSET($A$1, 1116 - 1, 59 - 1) = "0", OFFSET($A$1, 1116 - 1, 60 - 1) = "1" ), 3, 4 ) ) )</f>
        <v>4</v>
      </c>
    </row>
    <row r="1117" spans="58:61" x14ac:dyDescent="0.2">
      <c r="BF1117" s="3">
        <v>0.38775510204081637</v>
      </c>
      <c r="BG1117" s="3" t="str">
        <f t="shared" si="120"/>
        <v>0</v>
      </c>
      <c r="BH1117" t="str">
        <f ca="1">IF((OFFSET($A$1, 1117 - 1, 58 - 1)) &gt;= (OFFSET($A$1, 96 - 1, 7 - 1)), "1","0")</f>
        <v>0</v>
      </c>
      <c r="BI1117">
        <f ca="1" xml:space="preserve"> IF( AND( OFFSET($A$1, 1117 - 1, 59 - 1) = "1", OFFSET($A$1, 1117 - 1, 60 - 1) = "1" ), 1, IF( AND( OFFSET($A$1, 1117 - 1, 59 - 1) = "1", OFFSET($A$1, 1117 - 1, 60 - 1) = "0" ), 2, IF( AND( OFFSET($A$1, 1117 - 1, 59 - 1) = "0", OFFSET($A$1, 1117 - 1, 60 - 1) = "1" ), 3, 4 ) ) )</f>
        <v>4</v>
      </c>
    </row>
    <row r="1118" spans="58:61" x14ac:dyDescent="0.2">
      <c r="BF1118" s="3">
        <v>0</v>
      </c>
      <c r="BG1118" s="3" t="str">
        <f t="shared" si="120"/>
        <v>0</v>
      </c>
      <c r="BH1118" t="str">
        <f ca="1">IF((OFFSET($A$1, 1118 - 1, 58 - 1)) &gt;= (OFFSET($A$1, 96 - 1, 7 - 1)), "1","0")</f>
        <v>0</v>
      </c>
      <c r="BI1118">
        <f ca="1" xml:space="preserve"> IF( AND( OFFSET($A$1, 1118 - 1, 59 - 1) = "1", OFFSET($A$1, 1118 - 1, 60 - 1) = "1" ), 1, IF( AND( OFFSET($A$1, 1118 - 1, 59 - 1) = "1", OFFSET($A$1, 1118 - 1, 60 - 1) = "0" ), 2, IF( AND( OFFSET($A$1, 1118 - 1, 59 - 1) = "0", OFFSET($A$1, 1118 - 1, 60 - 1) = "1" ), 3, 4 ) ) )</f>
        <v>4</v>
      </c>
    </row>
    <row r="1119" spans="58:61" x14ac:dyDescent="0.2">
      <c r="BF1119" s="3">
        <v>3.7037037037037042E-2</v>
      </c>
      <c r="BG1119" s="3" t="str">
        <f t="shared" si="120"/>
        <v>0</v>
      </c>
      <c r="BH1119" t="str">
        <f ca="1">IF((OFFSET($A$1, 1119 - 1, 58 - 1)) &gt;= (OFFSET($A$1, 96 - 1, 7 - 1)), "1","0")</f>
        <v>0</v>
      </c>
      <c r="BI1119">
        <f ca="1" xml:space="preserve"> IF( AND( OFFSET($A$1, 1119 - 1, 59 - 1) = "1", OFFSET($A$1, 1119 - 1, 60 - 1) = "1" ), 1, IF( AND( OFFSET($A$1, 1119 - 1, 59 - 1) = "1", OFFSET($A$1, 1119 - 1, 60 - 1) = "0" ), 2, IF( AND( OFFSET($A$1, 1119 - 1, 59 - 1) = "0", OFFSET($A$1, 1119 - 1, 60 - 1) = "1" ), 3, 4 ) ) )</f>
        <v>4</v>
      </c>
    </row>
    <row r="1120" spans="58:61" x14ac:dyDescent="0.2">
      <c r="BF1120" s="3">
        <v>3.7037037037037042E-2</v>
      </c>
      <c r="BG1120" s="3" t="str">
        <f t="shared" si="120"/>
        <v>0</v>
      </c>
      <c r="BH1120" t="str">
        <f ca="1">IF((OFFSET($A$1, 1120 - 1, 58 - 1)) &gt;= (OFFSET($A$1, 96 - 1, 7 - 1)), "1","0")</f>
        <v>0</v>
      </c>
      <c r="BI1120">
        <f ca="1" xml:space="preserve"> IF( AND( OFFSET($A$1, 1120 - 1, 59 - 1) = "1", OFFSET($A$1, 1120 - 1, 60 - 1) = "1" ), 1, IF( AND( OFFSET($A$1, 1120 - 1, 59 - 1) = "1", OFFSET($A$1, 1120 - 1, 60 - 1) = "0" ), 2, IF( AND( OFFSET($A$1, 1120 - 1, 59 - 1) = "0", OFFSET($A$1, 1120 - 1, 60 - 1) = "1" ), 3, 4 ) ) )</f>
        <v>4</v>
      </c>
    </row>
    <row r="1121" spans="58:61" x14ac:dyDescent="0.2">
      <c r="BF1121" s="3">
        <v>0.38775510204081637</v>
      </c>
      <c r="BG1121" s="3" t="str">
        <f t="shared" si="120"/>
        <v>0</v>
      </c>
      <c r="BH1121" t="str">
        <f ca="1">IF((OFFSET($A$1, 1121 - 1, 58 - 1)) &gt;= (OFFSET($A$1, 96 - 1, 7 - 1)), "1","0")</f>
        <v>0</v>
      </c>
      <c r="BI1121">
        <f ca="1" xml:space="preserve"> IF( AND( OFFSET($A$1, 1121 - 1, 59 - 1) = "1", OFFSET($A$1, 1121 - 1, 60 - 1) = "1" ), 1, IF( AND( OFFSET($A$1, 1121 - 1, 59 - 1) = "1", OFFSET($A$1, 1121 - 1, 60 - 1) = "0" ), 2, IF( AND( OFFSET($A$1, 1121 - 1, 59 - 1) = "0", OFFSET($A$1, 1121 - 1, 60 - 1) = "1" ), 3, 4 ) ) )</f>
        <v>4</v>
      </c>
    </row>
    <row r="1122" spans="58:61" x14ac:dyDescent="0.2">
      <c r="BF1122" s="3">
        <v>0.36</v>
      </c>
      <c r="BG1122" s="3" t="str">
        <f t="shared" si="120"/>
        <v>0</v>
      </c>
      <c r="BH1122" t="str">
        <f ca="1">IF((OFFSET($A$1, 1122 - 1, 58 - 1)) &gt;= (OFFSET($A$1, 96 - 1, 7 - 1)), "1","0")</f>
        <v>0</v>
      </c>
      <c r="BI1122">
        <f ca="1" xml:space="preserve"> IF( AND( OFFSET($A$1, 1122 - 1, 59 - 1) = "1", OFFSET($A$1, 1122 - 1, 60 - 1) = "1" ), 1, IF( AND( OFFSET($A$1, 1122 - 1, 59 - 1) = "1", OFFSET($A$1, 1122 - 1, 60 - 1) = "0" ), 2, IF( AND( OFFSET($A$1, 1122 - 1, 59 - 1) = "0", OFFSET($A$1, 1122 - 1, 60 - 1) = "1" ), 3, 4 ) ) )</f>
        <v>4</v>
      </c>
    </row>
    <row r="1123" spans="58:61" x14ac:dyDescent="0.2">
      <c r="BF1123" s="3">
        <v>3.7037037037037042E-2</v>
      </c>
      <c r="BG1123" s="3" t="str">
        <f t="shared" si="120"/>
        <v>0</v>
      </c>
      <c r="BH1123" t="str">
        <f ca="1">IF((OFFSET($A$1, 1123 - 1, 58 - 1)) &gt;= (OFFSET($A$1, 96 - 1, 7 - 1)), "1","0")</f>
        <v>0</v>
      </c>
      <c r="BI1123">
        <f ca="1" xml:space="preserve"> IF( AND( OFFSET($A$1, 1123 - 1, 59 - 1) = "1", OFFSET($A$1, 1123 - 1, 60 - 1) = "1" ), 1, IF( AND( OFFSET($A$1, 1123 - 1, 59 - 1) = "1", OFFSET($A$1, 1123 - 1, 60 - 1) = "0" ), 2, IF( AND( OFFSET($A$1, 1123 - 1, 59 - 1) = "0", OFFSET($A$1, 1123 - 1, 60 - 1) = "1" ), 3, 4 ) ) )</f>
        <v>4</v>
      </c>
    </row>
    <row r="1124" spans="58:61" x14ac:dyDescent="0.2">
      <c r="BF1124" s="3">
        <v>0</v>
      </c>
      <c r="BG1124" s="3" t="str">
        <f t="shared" si="120"/>
        <v>0</v>
      </c>
      <c r="BH1124" t="str">
        <f ca="1">IF((OFFSET($A$1, 1124 - 1, 58 - 1)) &gt;= (OFFSET($A$1, 96 - 1, 7 - 1)), "1","0")</f>
        <v>0</v>
      </c>
      <c r="BI1124">
        <f ca="1" xml:space="preserve"> IF( AND( OFFSET($A$1, 1124 - 1, 59 - 1) = "1", OFFSET($A$1, 1124 - 1, 60 - 1) = "1" ), 1, IF( AND( OFFSET($A$1, 1124 - 1, 59 - 1) = "1", OFFSET($A$1, 1124 - 1, 60 - 1) = "0" ), 2, IF( AND( OFFSET($A$1, 1124 - 1, 59 - 1) = "0", OFFSET($A$1, 1124 - 1, 60 - 1) = "1" ), 3, 4 ) ) )</f>
        <v>4</v>
      </c>
    </row>
    <row r="1125" spans="58:61" x14ac:dyDescent="0.2">
      <c r="BF1125" s="3">
        <v>0</v>
      </c>
      <c r="BG1125" s="3" t="str">
        <f t="shared" si="120"/>
        <v>0</v>
      </c>
      <c r="BH1125" t="str">
        <f ca="1">IF((OFFSET($A$1, 1125 - 1, 58 - 1)) &gt;= (OFFSET($A$1, 96 - 1, 7 - 1)), "1","0")</f>
        <v>0</v>
      </c>
      <c r="BI1125">
        <f ca="1" xml:space="preserve"> IF( AND( OFFSET($A$1, 1125 - 1, 59 - 1) = "1", OFFSET($A$1, 1125 - 1, 60 - 1) = "1" ), 1, IF( AND( OFFSET($A$1, 1125 - 1, 59 - 1) = "1", OFFSET($A$1, 1125 - 1, 60 - 1) = "0" ), 2, IF( AND( OFFSET($A$1, 1125 - 1, 59 - 1) = "0", OFFSET($A$1, 1125 - 1, 60 - 1) = "1" ), 3, 4 ) ) )</f>
        <v>4</v>
      </c>
    </row>
    <row r="1126" spans="58:61" x14ac:dyDescent="0.2">
      <c r="BF1126" s="3">
        <v>0.34722222222222221</v>
      </c>
      <c r="BG1126" s="3" t="str">
        <f t="shared" si="120"/>
        <v>0</v>
      </c>
      <c r="BH1126" t="str">
        <f ca="1">IF((OFFSET($A$1, 1126 - 1, 58 - 1)) &gt;= (OFFSET($A$1, 96 - 1, 7 - 1)), "1","0")</f>
        <v>0</v>
      </c>
      <c r="BI1126">
        <f ca="1" xml:space="preserve"> IF( AND( OFFSET($A$1, 1126 - 1, 59 - 1) = "1", OFFSET($A$1, 1126 - 1, 60 - 1) = "1" ), 1, IF( AND( OFFSET($A$1, 1126 - 1, 59 - 1) = "1", OFFSET($A$1, 1126 - 1, 60 - 1) = "0" ), 2, IF( AND( OFFSET($A$1, 1126 - 1, 59 - 1) = "0", OFFSET($A$1, 1126 - 1, 60 - 1) = "1" ), 3, 4 ) ) )</f>
        <v>4</v>
      </c>
    </row>
    <row r="1127" spans="58:61" x14ac:dyDescent="0.2">
      <c r="BF1127" s="3">
        <v>0</v>
      </c>
      <c r="BG1127" s="3" t="str">
        <f t="shared" si="120"/>
        <v>0</v>
      </c>
      <c r="BH1127" t="str">
        <f ca="1">IF((OFFSET($A$1, 1127 - 1, 58 - 1)) &gt;= (OFFSET($A$1, 96 - 1, 7 - 1)), "1","0")</f>
        <v>0</v>
      </c>
      <c r="BI1127">
        <f ca="1" xml:space="preserve"> IF( AND( OFFSET($A$1, 1127 - 1, 59 - 1) = "1", OFFSET($A$1, 1127 - 1, 60 - 1) = "1" ), 1, IF( AND( OFFSET($A$1, 1127 - 1, 59 - 1) = "1", OFFSET($A$1, 1127 - 1, 60 - 1) = "0" ), 2, IF( AND( OFFSET($A$1, 1127 - 1, 59 - 1) = "0", OFFSET($A$1, 1127 - 1, 60 - 1) = "1" ), 3, 4 ) ) )</f>
        <v>4</v>
      </c>
    </row>
    <row r="1128" spans="58:61" x14ac:dyDescent="0.2">
      <c r="BF1128" s="3">
        <v>0.08</v>
      </c>
      <c r="BG1128" s="3" t="str">
        <f t="shared" si="120"/>
        <v>0</v>
      </c>
      <c r="BH1128" t="str">
        <f ca="1">IF((OFFSET($A$1, 1128 - 1, 58 - 1)) &gt;= (OFFSET($A$1, 96 - 1, 7 - 1)), "1","0")</f>
        <v>0</v>
      </c>
      <c r="BI1128">
        <f ca="1" xml:space="preserve"> IF( AND( OFFSET($A$1, 1128 - 1, 59 - 1) = "1", OFFSET($A$1, 1128 - 1, 60 - 1) = "1" ), 1, IF( AND( OFFSET($A$1, 1128 - 1, 59 - 1) = "1", OFFSET($A$1, 1128 - 1, 60 - 1) = "0" ), 2, IF( AND( OFFSET($A$1, 1128 - 1, 59 - 1) = "0", OFFSET($A$1, 1128 - 1, 60 - 1) = "1" ), 3, 4 ) ) )</f>
        <v>4</v>
      </c>
    </row>
    <row r="1129" spans="58:61" x14ac:dyDescent="0.2">
      <c r="BF1129" s="3">
        <v>3.7037037037037042E-2</v>
      </c>
      <c r="BG1129" s="3" t="str">
        <f t="shared" si="120"/>
        <v>0</v>
      </c>
      <c r="BH1129" t="str">
        <f ca="1">IF((OFFSET($A$1, 1129 - 1, 58 - 1)) &gt;= (OFFSET($A$1, 96 - 1, 7 - 1)), "1","0")</f>
        <v>0</v>
      </c>
      <c r="BI1129">
        <f ca="1" xml:space="preserve"> IF( AND( OFFSET($A$1, 1129 - 1, 59 - 1) = "1", OFFSET($A$1, 1129 - 1, 60 - 1) = "1" ), 1, IF( AND( OFFSET($A$1, 1129 - 1, 59 - 1) = "1", OFFSET($A$1, 1129 - 1, 60 - 1) = "0" ), 2, IF( AND( OFFSET($A$1, 1129 - 1, 59 - 1) = "0", OFFSET($A$1, 1129 - 1, 60 - 1) = "1" ), 3, 4 ) ) )</f>
        <v>4</v>
      </c>
    </row>
    <row r="1130" spans="58:61" x14ac:dyDescent="0.2">
      <c r="BF1130" s="3">
        <v>0.36</v>
      </c>
      <c r="BG1130" s="3" t="str">
        <f t="shared" si="120"/>
        <v>0</v>
      </c>
      <c r="BH1130" t="str">
        <f ca="1">IF((OFFSET($A$1, 1130 - 1, 58 - 1)) &gt;= (OFFSET($A$1, 96 - 1, 7 - 1)), "1","0")</f>
        <v>0</v>
      </c>
      <c r="BI1130">
        <f ca="1" xml:space="preserve"> IF( AND( OFFSET($A$1, 1130 - 1, 59 - 1) = "1", OFFSET($A$1, 1130 - 1, 60 - 1) = "1" ), 1, IF( AND( OFFSET($A$1, 1130 - 1, 59 - 1) = "1", OFFSET($A$1, 1130 - 1, 60 - 1) = "0" ), 2, IF( AND( OFFSET($A$1, 1130 - 1, 59 - 1) = "0", OFFSET($A$1, 1130 - 1, 60 - 1) = "1" ), 3, 4 ) ) )</f>
        <v>4</v>
      </c>
    </row>
    <row r="1131" spans="58:61" x14ac:dyDescent="0.2">
      <c r="BF1131" s="3">
        <v>0</v>
      </c>
      <c r="BG1131" s="3" t="str">
        <f t="shared" si="120"/>
        <v>0</v>
      </c>
      <c r="BH1131" t="str">
        <f ca="1">IF((OFFSET($A$1, 1131 - 1, 58 - 1)) &gt;= (OFFSET($A$1, 96 - 1, 7 - 1)), "1","0")</f>
        <v>0</v>
      </c>
      <c r="BI1131">
        <f ca="1" xml:space="preserve"> IF( AND( OFFSET($A$1, 1131 - 1, 59 - 1) = "1", OFFSET($A$1, 1131 - 1, 60 - 1) = "1" ), 1, IF( AND( OFFSET($A$1, 1131 - 1, 59 - 1) = "1", OFFSET($A$1, 1131 - 1, 60 - 1) = "0" ), 2, IF( AND( OFFSET($A$1, 1131 - 1, 59 - 1) = "0", OFFSET($A$1, 1131 - 1, 60 - 1) = "1" ), 3, 4 ) ) )</f>
        <v>4</v>
      </c>
    </row>
    <row r="1132" spans="58:61" x14ac:dyDescent="0.2">
      <c r="BF1132" s="3">
        <v>0.90579710144927539</v>
      </c>
      <c r="BG1132" s="3" t="str">
        <f>"1"</f>
        <v>1</v>
      </c>
      <c r="BH1132" t="str">
        <f ca="1">IF((OFFSET($A$1, 1132 - 1, 58 - 1)) &gt;= (OFFSET($A$1, 96 - 1, 7 - 1)), "1","0")</f>
        <v>1</v>
      </c>
      <c r="BI1132">
        <f ca="1" xml:space="preserve"> IF( AND( OFFSET($A$1, 1132 - 1, 59 - 1) = "1", OFFSET($A$1, 1132 - 1, 60 - 1) = "1" ), 1, IF( AND( OFFSET($A$1, 1132 - 1, 59 - 1) = "1", OFFSET($A$1, 1132 - 1, 60 - 1) = "0" ), 2, IF( AND( OFFSET($A$1, 1132 - 1, 59 - 1) = "0", OFFSET($A$1, 1132 - 1, 60 - 1) = "1" ), 3, 4 ) ) )</f>
        <v>1</v>
      </c>
    </row>
    <row r="1133" spans="58:61" x14ac:dyDescent="0.2">
      <c r="BF1133" s="3">
        <v>0</v>
      </c>
      <c r="BG1133" s="3" t="str">
        <f>"0"</f>
        <v>0</v>
      </c>
      <c r="BH1133" t="str">
        <f ca="1">IF((OFFSET($A$1, 1133 - 1, 58 - 1)) &gt;= (OFFSET($A$1, 96 - 1, 7 - 1)), "1","0")</f>
        <v>0</v>
      </c>
      <c r="BI1133">
        <f ca="1" xml:space="preserve"> IF( AND( OFFSET($A$1, 1133 - 1, 59 - 1) = "1", OFFSET($A$1, 1133 - 1, 60 - 1) = "1" ), 1, IF( AND( OFFSET($A$1, 1133 - 1, 59 - 1) = "1", OFFSET($A$1, 1133 - 1, 60 - 1) = "0" ), 2, IF( AND( OFFSET($A$1, 1133 - 1, 59 - 1) = "0", OFFSET($A$1, 1133 - 1, 60 - 1) = "1" ), 3, 4 ) ) )</f>
        <v>4</v>
      </c>
    </row>
    <row r="1134" spans="58:61" x14ac:dyDescent="0.2">
      <c r="BF1134" s="3">
        <v>0</v>
      </c>
      <c r="BG1134" s="3" t="str">
        <f>"0"</f>
        <v>0</v>
      </c>
      <c r="BH1134" t="str">
        <f ca="1">IF((OFFSET($A$1, 1134 - 1, 58 - 1)) &gt;= (OFFSET($A$1, 96 - 1, 7 - 1)), "1","0")</f>
        <v>0</v>
      </c>
      <c r="BI1134">
        <f ca="1" xml:space="preserve"> IF( AND( OFFSET($A$1, 1134 - 1, 59 - 1) = "1", OFFSET($A$1, 1134 - 1, 60 - 1) = "1" ), 1, IF( AND( OFFSET($A$1, 1134 - 1, 59 - 1) = "1", OFFSET($A$1, 1134 - 1, 60 - 1) = "0" ), 2, IF( AND( OFFSET($A$1, 1134 - 1, 59 - 1) = "0", OFFSET($A$1, 1134 - 1, 60 - 1) = "1" ), 3, 4 ) ) )</f>
        <v>4</v>
      </c>
    </row>
    <row r="1135" spans="58:61" x14ac:dyDescent="0.2">
      <c r="BF1135" s="3">
        <v>0</v>
      </c>
      <c r="BG1135" s="3" t="str">
        <f>"0"</f>
        <v>0</v>
      </c>
      <c r="BH1135" t="str">
        <f ca="1">IF((OFFSET($A$1, 1135 - 1, 58 - 1)) &gt;= (OFFSET($A$1, 96 - 1, 7 - 1)), "1","0")</f>
        <v>0</v>
      </c>
      <c r="BI1135">
        <f ca="1" xml:space="preserve"> IF( AND( OFFSET($A$1, 1135 - 1, 59 - 1) = "1", OFFSET($A$1, 1135 - 1, 60 - 1) = "1" ), 1, IF( AND( OFFSET($A$1, 1135 - 1, 59 - 1) = "1", OFFSET($A$1, 1135 - 1, 60 - 1) = "0" ), 2, IF( AND( OFFSET($A$1, 1135 - 1, 59 - 1) = "0", OFFSET($A$1, 1135 - 1, 60 - 1) = "1" ), 3, 4 ) ) )</f>
        <v>4</v>
      </c>
    </row>
    <row r="1136" spans="58:61" x14ac:dyDescent="0.2">
      <c r="BF1136" s="3">
        <v>0.90579710144927539</v>
      </c>
      <c r="BG1136" s="3" t="str">
        <f>"1"</f>
        <v>1</v>
      </c>
      <c r="BH1136" t="str">
        <f ca="1">IF((OFFSET($A$1, 1136 - 1, 58 - 1)) &gt;= (OFFSET($A$1, 96 - 1, 7 - 1)), "1","0")</f>
        <v>1</v>
      </c>
      <c r="BI1136">
        <f ca="1" xml:space="preserve"> IF( AND( OFFSET($A$1, 1136 - 1, 59 - 1) = "1", OFFSET($A$1, 1136 - 1, 60 - 1) = "1" ), 1, IF( AND( OFFSET($A$1, 1136 - 1, 59 - 1) = "1", OFFSET($A$1, 1136 - 1, 60 - 1) = "0" ), 2, IF( AND( OFFSET($A$1, 1136 - 1, 59 - 1) = "0", OFFSET($A$1, 1136 - 1, 60 - 1) = "1" ), 3, 4 ) ) )</f>
        <v>1</v>
      </c>
    </row>
    <row r="1137" spans="58:61" x14ac:dyDescent="0.2">
      <c r="BF1137" s="3">
        <v>0</v>
      </c>
      <c r="BG1137" s="3" t="str">
        <f>"0"</f>
        <v>0</v>
      </c>
      <c r="BH1137" t="str">
        <f ca="1">IF((OFFSET($A$1, 1137 - 1, 58 - 1)) &gt;= (OFFSET($A$1, 96 - 1, 7 - 1)), "1","0")</f>
        <v>0</v>
      </c>
      <c r="BI1137">
        <f ca="1" xml:space="preserve"> IF( AND( OFFSET($A$1, 1137 - 1, 59 - 1) = "1", OFFSET($A$1, 1137 - 1, 60 - 1) = "1" ), 1, IF( AND( OFFSET($A$1, 1137 - 1, 59 - 1) = "1", OFFSET($A$1, 1137 - 1, 60 - 1) = "0" ), 2, IF( AND( OFFSET($A$1, 1137 - 1, 59 - 1) = "0", OFFSET($A$1, 1137 - 1, 60 - 1) = "1" ), 3, 4 ) ) )</f>
        <v>4</v>
      </c>
    </row>
    <row r="1138" spans="58:61" x14ac:dyDescent="0.2">
      <c r="BF1138" s="3">
        <v>0.36</v>
      </c>
      <c r="BG1138" s="3" t="str">
        <f>"1"</f>
        <v>1</v>
      </c>
      <c r="BH1138" t="str">
        <f ca="1">IF((OFFSET($A$1, 1138 - 1, 58 - 1)) &gt;= (OFFSET($A$1, 96 - 1, 7 - 1)), "1","0")</f>
        <v>0</v>
      </c>
      <c r="BI1138">
        <f ca="1" xml:space="preserve"> IF( AND( OFFSET($A$1, 1138 - 1, 59 - 1) = "1", OFFSET($A$1, 1138 - 1, 60 - 1) = "1" ), 1, IF( AND( OFFSET($A$1, 1138 - 1, 59 - 1) = "1", OFFSET($A$1, 1138 - 1, 60 - 1) = "0" ), 2, IF( AND( OFFSET($A$1, 1138 - 1, 59 - 1) = "0", OFFSET($A$1, 1138 - 1, 60 - 1) = "1" ), 3, 4 ) ) )</f>
        <v>2</v>
      </c>
    </row>
    <row r="1139" spans="58:61" x14ac:dyDescent="0.2">
      <c r="BF1139" s="3">
        <v>0.47692307692307689</v>
      </c>
      <c r="BG1139" s="3" t="str">
        <f>"0"</f>
        <v>0</v>
      </c>
      <c r="BH1139" t="str">
        <f ca="1">IF((OFFSET($A$1, 1139 - 1, 58 - 1)) &gt;= (OFFSET($A$1, 96 - 1, 7 - 1)), "1","0")</f>
        <v>0</v>
      </c>
      <c r="BI1139">
        <f ca="1" xml:space="preserve"> IF( AND( OFFSET($A$1, 1139 - 1, 59 - 1) = "1", OFFSET($A$1, 1139 - 1, 60 - 1) = "1" ), 1, IF( AND( OFFSET($A$1, 1139 - 1, 59 - 1) = "1", OFFSET($A$1, 1139 - 1, 60 - 1) = "0" ), 2, IF( AND( OFFSET($A$1, 1139 - 1, 59 - 1) = "0", OFFSET($A$1, 1139 - 1, 60 - 1) = "1" ), 3, 4 ) ) )</f>
        <v>4</v>
      </c>
    </row>
    <row r="1140" spans="58:61" x14ac:dyDescent="0.2">
      <c r="BF1140" s="3">
        <v>0.36</v>
      </c>
      <c r="BG1140" s="3" t="str">
        <f>"0"</f>
        <v>0</v>
      </c>
      <c r="BH1140" t="str">
        <f ca="1">IF((OFFSET($A$1, 1140 - 1, 58 - 1)) &gt;= (OFFSET($A$1, 96 - 1, 7 - 1)), "1","0")</f>
        <v>0</v>
      </c>
      <c r="BI1140">
        <f ca="1" xml:space="preserve"> IF( AND( OFFSET($A$1, 1140 - 1, 59 - 1) = "1", OFFSET($A$1, 1140 - 1, 60 - 1) = "1" ), 1, IF( AND( OFFSET($A$1, 1140 - 1, 59 - 1) = "1", OFFSET($A$1, 1140 - 1, 60 - 1) = "0" ), 2, IF( AND( OFFSET($A$1, 1140 - 1, 59 - 1) = "0", OFFSET($A$1, 1140 - 1, 60 - 1) = "1" ), 3, 4 ) ) )</f>
        <v>4</v>
      </c>
    </row>
    <row r="1141" spans="58:61" x14ac:dyDescent="0.2">
      <c r="BF1141" s="3">
        <v>0</v>
      </c>
      <c r="BG1141" s="3" t="str">
        <f>"0"</f>
        <v>0</v>
      </c>
      <c r="BH1141" t="str">
        <f ca="1">IF((OFFSET($A$1, 1141 - 1, 58 - 1)) &gt;= (OFFSET($A$1, 96 - 1, 7 - 1)), "1","0")</f>
        <v>0</v>
      </c>
      <c r="BI1141">
        <f ca="1" xml:space="preserve"> IF( AND( OFFSET($A$1, 1141 - 1, 59 - 1) = "1", OFFSET($A$1, 1141 - 1, 60 - 1) = "1" ), 1, IF( AND( OFFSET($A$1, 1141 - 1, 59 - 1) = "1", OFFSET($A$1, 1141 - 1, 60 - 1) = "0" ), 2, IF( AND( OFFSET($A$1, 1141 - 1, 59 - 1) = "0", OFFSET($A$1, 1141 - 1, 60 - 1) = "1" ), 3, 4 ) ) )</f>
        <v>4</v>
      </c>
    </row>
    <row r="1142" spans="58:61" x14ac:dyDescent="0.2">
      <c r="BF1142" s="3">
        <v>0</v>
      </c>
      <c r="BG1142" s="3" t="str">
        <f>"0"</f>
        <v>0</v>
      </c>
      <c r="BH1142" t="str">
        <f ca="1">IF((OFFSET($A$1, 1142 - 1, 58 - 1)) &gt;= (OFFSET($A$1, 96 - 1, 7 - 1)), "1","0")</f>
        <v>0</v>
      </c>
      <c r="BI1142">
        <f ca="1" xml:space="preserve"> IF( AND( OFFSET($A$1, 1142 - 1, 59 - 1) = "1", OFFSET($A$1, 1142 - 1, 60 - 1) = "1" ), 1, IF( AND( OFFSET($A$1, 1142 - 1, 59 - 1) = "1", OFFSET($A$1, 1142 - 1, 60 - 1) = "0" ), 2, IF( AND( OFFSET($A$1, 1142 - 1, 59 - 1) = "0", OFFSET($A$1, 1142 - 1, 60 - 1) = "1" ), 3, 4 ) ) )</f>
        <v>4</v>
      </c>
    </row>
    <row r="1143" spans="58:61" x14ac:dyDescent="0.2">
      <c r="BF1143" s="3">
        <v>0.90579710144927539</v>
      </c>
      <c r="BG1143" s="3" t="str">
        <f>"1"</f>
        <v>1</v>
      </c>
      <c r="BH1143" t="str">
        <f ca="1">IF((OFFSET($A$1, 1143 - 1, 58 - 1)) &gt;= (OFFSET($A$1, 96 - 1, 7 - 1)), "1","0")</f>
        <v>1</v>
      </c>
      <c r="BI1143">
        <f ca="1" xml:space="preserve"> IF( AND( OFFSET($A$1, 1143 - 1, 59 - 1) = "1", OFFSET($A$1, 1143 - 1, 60 - 1) = "1" ), 1, IF( AND( OFFSET($A$1, 1143 - 1, 59 - 1) = "1", OFFSET($A$1, 1143 - 1, 60 - 1) = "0" ), 2, IF( AND( OFFSET($A$1, 1143 - 1, 59 - 1) = "0", OFFSET($A$1, 1143 - 1, 60 - 1) = "1" ), 3, 4 ) ) )</f>
        <v>1</v>
      </c>
    </row>
    <row r="1144" spans="58:61" x14ac:dyDescent="0.2">
      <c r="BF1144" s="3">
        <v>0.08</v>
      </c>
      <c r="BG1144" s="3" t="str">
        <f>"0"</f>
        <v>0</v>
      </c>
      <c r="BH1144" t="str">
        <f ca="1">IF((OFFSET($A$1, 1144 - 1, 58 - 1)) &gt;= (OFFSET($A$1, 96 - 1, 7 - 1)), "1","0")</f>
        <v>0</v>
      </c>
      <c r="BI1144">
        <f ca="1" xml:space="preserve"> IF( AND( OFFSET($A$1, 1144 - 1, 59 - 1) = "1", OFFSET($A$1, 1144 - 1, 60 - 1) = "1" ), 1, IF( AND( OFFSET($A$1, 1144 - 1, 59 - 1) = "1", OFFSET($A$1, 1144 - 1, 60 - 1) = "0" ), 2, IF( AND( OFFSET($A$1, 1144 - 1, 59 - 1) = "0", OFFSET($A$1, 1144 - 1, 60 - 1) = "1" ), 3, 4 ) ) )</f>
        <v>4</v>
      </c>
    </row>
    <row r="1145" spans="58:61" x14ac:dyDescent="0.2">
      <c r="BF1145" s="3">
        <v>0.47692307692307689</v>
      </c>
      <c r="BG1145" s="3" t="str">
        <f>"1"</f>
        <v>1</v>
      </c>
      <c r="BH1145" t="str">
        <f ca="1">IF((OFFSET($A$1, 1145 - 1, 58 - 1)) &gt;= (OFFSET($A$1, 96 - 1, 7 - 1)), "1","0")</f>
        <v>0</v>
      </c>
      <c r="BI1145">
        <f ca="1" xml:space="preserve"> IF( AND( OFFSET($A$1, 1145 - 1, 59 - 1) = "1", OFFSET($A$1, 1145 - 1, 60 - 1) = "1" ), 1, IF( AND( OFFSET($A$1, 1145 - 1, 59 - 1) = "1", OFFSET($A$1, 1145 - 1, 60 - 1) = "0" ), 2, IF( AND( OFFSET($A$1, 1145 - 1, 59 - 1) = "0", OFFSET($A$1, 1145 - 1, 60 - 1) = "1" ), 3, 4 ) ) )</f>
        <v>2</v>
      </c>
    </row>
    <row r="1146" spans="58:61" x14ac:dyDescent="0.2">
      <c r="BF1146" s="3">
        <v>0.1081081081081081</v>
      </c>
      <c r="BG1146" s="3" t="str">
        <f t="shared" ref="BG1146:BG1154" si="121">"0"</f>
        <v>0</v>
      </c>
      <c r="BH1146" t="str">
        <f ca="1">IF((OFFSET($A$1, 1146 - 1, 58 - 1)) &gt;= (OFFSET($A$1, 96 - 1, 7 - 1)), "1","0")</f>
        <v>0</v>
      </c>
      <c r="BI1146">
        <f ca="1" xml:space="preserve"> IF( AND( OFFSET($A$1, 1146 - 1, 59 - 1) = "1", OFFSET($A$1, 1146 - 1, 60 - 1) = "1" ), 1, IF( AND( OFFSET($A$1, 1146 - 1, 59 - 1) = "1", OFFSET($A$1, 1146 - 1, 60 - 1) = "0" ), 2, IF( AND( OFFSET($A$1, 1146 - 1, 59 - 1) = "0", OFFSET($A$1, 1146 - 1, 60 - 1) = "1" ), 3, 4 ) ) )</f>
        <v>4</v>
      </c>
    </row>
    <row r="1147" spans="58:61" x14ac:dyDescent="0.2">
      <c r="BF1147" s="3">
        <v>0</v>
      </c>
      <c r="BG1147" s="3" t="str">
        <f t="shared" si="121"/>
        <v>0</v>
      </c>
      <c r="BH1147" t="str">
        <f ca="1">IF((OFFSET($A$1, 1147 - 1, 58 - 1)) &gt;= (OFFSET($A$1, 96 - 1, 7 - 1)), "1","0")</f>
        <v>0</v>
      </c>
      <c r="BI1147">
        <f ca="1" xml:space="preserve"> IF( AND( OFFSET($A$1, 1147 - 1, 59 - 1) = "1", OFFSET($A$1, 1147 - 1, 60 - 1) = "1" ), 1, IF( AND( OFFSET($A$1, 1147 - 1, 59 - 1) = "1", OFFSET($A$1, 1147 - 1, 60 - 1) = "0" ), 2, IF( AND( OFFSET($A$1, 1147 - 1, 59 - 1) = "0", OFFSET($A$1, 1147 - 1, 60 - 1) = "1" ), 3, 4 ) ) )</f>
        <v>4</v>
      </c>
    </row>
    <row r="1148" spans="58:61" x14ac:dyDescent="0.2">
      <c r="BF1148" s="3">
        <v>0</v>
      </c>
      <c r="BG1148" s="3" t="str">
        <f t="shared" si="121"/>
        <v>0</v>
      </c>
      <c r="BH1148" t="str">
        <f ca="1">IF((OFFSET($A$1, 1148 - 1, 58 - 1)) &gt;= (OFFSET($A$1, 96 - 1, 7 - 1)), "1","0")</f>
        <v>0</v>
      </c>
      <c r="BI1148">
        <f ca="1" xml:space="preserve"> IF( AND( OFFSET($A$1, 1148 - 1, 59 - 1) = "1", OFFSET($A$1, 1148 - 1, 60 - 1) = "1" ), 1, IF( AND( OFFSET($A$1, 1148 - 1, 59 - 1) = "1", OFFSET($A$1, 1148 - 1, 60 - 1) = "0" ), 2, IF( AND( OFFSET($A$1, 1148 - 1, 59 - 1) = "0", OFFSET($A$1, 1148 - 1, 60 - 1) = "1" ), 3, 4 ) ) )</f>
        <v>4</v>
      </c>
    </row>
    <row r="1149" spans="58:61" x14ac:dyDescent="0.2">
      <c r="BF1149" s="3">
        <v>0</v>
      </c>
      <c r="BG1149" s="3" t="str">
        <f t="shared" si="121"/>
        <v>0</v>
      </c>
      <c r="BH1149" t="str">
        <f ca="1">IF((OFFSET($A$1, 1149 - 1, 58 - 1)) &gt;= (OFFSET($A$1, 96 - 1, 7 - 1)), "1","0")</f>
        <v>0</v>
      </c>
      <c r="BI1149">
        <f ca="1" xml:space="preserve"> IF( AND( OFFSET($A$1, 1149 - 1, 59 - 1) = "1", OFFSET($A$1, 1149 - 1, 60 - 1) = "1" ), 1, IF( AND( OFFSET($A$1, 1149 - 1, 59 - 1) = "1", OFFSET($A$1, 1149 - 1, 60 - 1) = "0" ), 2, IF( AND( OFFSET($A$1, 1149 - 1, 59 - 1) = "0", OFFSET($A$1, 1149 - 1, 60 - 1) = "1" ), 3, 4 ) ) )</f>
        <v>4</v>
      </c>
    </row>
    <row r="1150" spans="58:61" x14ac:dyDescent="0.2">
      <c r="BF1150" s="3">
        <v>0</v>
      </c>
      <c r="BG1150" s="3" t="str">
        <f t="shared" si="121"/>
        <v>0</v>
      </c>
      <c r="BH1150" t="str">
        <f ca="1">IF((OFFSET($A$1, 1150 - 1, 58 - 1)) &gt;= (OFFSET($A$1, 96 - 1, 7 - 1)), "1","0")</f>
        <v>0</v>
      </c>
      <c r="BI1150">
        <f ca="1" xml:space="preserve"> IF( AND( OFFSET($A$1, 1150 - 1, 59 - 1) = "1", OFFSET($A$1, 1150 - 1, 60 - 1) = "1" ), 1, IF( AND( OFFSET($A$1, 1150 - 1, 59 - 1) = "1", OFFSET($A$1, 1150 - 1, 60 - 1) = "0" ), 2, IF( AND( OFFSET($A$1, 1150 - 1, 59 - 1) = "0", OFFSET($A$1, 1150 - 1, 60 - 1) = "1" ), 3, 4 ) ) )</f>
        <v>4</v>
      </c>
    </row>
    <row r="1151" spans="58:61" x14ac:dyDescent="0.2">
      <c r="BF1151" s="3">
        <v>0</v>
      </c>
      <c r="BG1151" s="3" t="str">
        <f t="shared" si="121"/>
        <v>0</v>
      </c>
      <c r="BH1151" t="str">
        <f ca="1">IF((OFFSET($A$1, 1151 - 1, 58 - 1)) &gt;= (OFFSET($A$1, 96 - 1, 7 - 1)), "1","0")</f>
        <v>0</v>
      </c>
      <c r="BI1151">
        <f ca="1" xml:space="preserve"> IF( AND( OFFSET($A$1, 1151 - 1, 59 - 1) = "1", OFFSET($A$1, 1151 - 1, 60 - 1) = "1" ), 1, IF( AND( OFFSET($A$1, 1151 - 1, 59 - 1) = "1", OFFSET($A$1, 1151 - 1, 60 - 1) = "0" ), 2, IF( AND( OFFSET($A$1, 1151 - 1, 59 - 1) = "0", OFFSET($A$1, 1151 - 1, 60 - 1) = "1" ), 3, 4 ) ) )</f>
        <v>4</v>
      </c>
    </row>
    <row r="1152" spans="58:61" x14ac:dyDescent="0.2">
      <c r="BF1152" s="3">
        <v>0</v>
      </c>
      <c r="BG1152" s="3" t="str">
        <f t="shared" si="121"/>
        <v>0</v>
      </c>
      <c r="BH1152" t="str">
        <f ca="1">IF((OFFSET($A$1, 1152 - 1, 58 - 1)) &gt;= (OFFSET($A$1, 96 - 1, 7 - 1)), "1","0")</f>
        <v>0</v>
      </c>
      <c r="BI1152">
        <f ca="1" xml:space="preserve"> IF( AND( OFFSET($A$1, 1152 - 1, 59 - 1) = "1", OFFSET($A$1, 1152 - 1, 60 - 1) = "1" ), 1, IF( AND( OFFSET($A$1, 1152 - 1, 59 - 1) = "1", OFFSET($A$1, 1152 - 1, 60 - 1) = "0" ), 2, IF( AND( OFFSET($A$1, 1152 - 1, 59 - 1) = "0", OFFSET($A$1, 1152 - 1, 60 - 1) = "1" ), 3, 4 ) ) )</f>
        <v>4</v>
      </c>
    </row>
    <row r="1153" spans="58:61" x14ac:dyDescent="0.2">
      <c r="BF1153" s="3">
        <v>0.34722222222222221</v>
      </c>
      <c r="BG1153" s="3" t="str">
        <f t="shared" si="121"/>
        <v>0</v>
      </c>
      <c r="BH1153" t="str">
        <f ca="1">IF((OFFSET($A$1, 1153 - 1, 58 - 1)) &gt;= (OFFSET($A$1, 96 - 1, 7 - 1)), "1","0")</f>
        <v>0</v>
      </c>
      <c r="BI1153">
        <f ca="1" xml:space="preserve"> IF( AND( OFFSET($A$1, 1153 - 1, 59 - 1) = "1", OFFSET($A$1, 1153 - 1, 60 - 1) = "1" ), 1, IF( AND( OFFSET($A$1, 1153 - 1, 59 - 1) = "1", OFFSET($A$1, 1153 - 1, 60 - 1) = "0" ), 2, IF( AND( OFFSET($A$1, 1153 - 1, 59 - 1) = "0", OFFSET($A$1, 1153 - 1, 60 - 1) = "1" ), 3, 4 ) ) )</f>
        <v>4</v>
      </c>
    </row>
    <row r="1154" spans="58:61" x14ac:dyDescent="0.2">
      <c r="BF1154" s="3">
        <v>0.90579710144927539</v>
      </c>
      <c r="BG1154" s="3" t="str">
        <f t="shared" si="121"/>
        <v>0</v>
      </c>
      <c r="BH1154" t="str">
        <f ca="1">IF((OFFSET($A$1, 1154 - 1, 58 - 1)) &gt;= (OFFSET($A$1, 96 - 1, 7 - 1)), "1","0")</f>
        <v>1</v>
      </c>
      <c r="BI1154">
        <f ca="1" xml:space="preserve"> IF( AND( OFFSET($A$1, 1154 - 1, 59 - 1) = "1", OFFSET($A$1, 1154 - 1, 60 - 1) = "1" ), 1, IF( AND( OFFSET($A$1, 1154 - 1, 59 - 1) = "1", OFFSET($A$1, 1154 - 1, 60 - 1) = "0" ), 2, IF( AND( OFFSET($A$1, 1154 - 1, 59 - 1) = "0", OFFSET($A$1, 1154 - 1, 60 - 1) = "1" ), 3, 4 ) ) )</f>
        <v>3</v>
      </c>
    </row>
    <row r="1155" spans="58:61" x14ac:dyDescent="0.2">
      <c r="BF1155" s="3">
        <v>0.90579710144927539</v>
      </c>
      <c r="BG1155" s="3" t="str">
        <f>"1"</f>
        <v>1</v>
      </c>
      <c r="BH1155" t="str">
        <f ca="1">IF((OFFSET($A$1, 1155 - 1, 58 - 1)) &gt;= (OFFSET($A$1, 96 - 1, 7 - 1)), "1","0")</f>
        <v>1</v>
      </c>
      <c r="BI1155">
        <f ca="1" xml:space="preserve"> IF( AND( OFFSET($A$1, 1155 - 1, 59 - 1) = "1", OFFSET($A$1, 1155 - 1, 60 - 1) = "1" ), 1, IF( AND( OFFSET($A$1, 1155 - 1, 59 - 1) = "1", OFFSET($A$1, 1155 - 1, 60 - 1) = "0" ), 2, IF( AND( OFFSET($A$1, 1155 - 1, 59 - 1) = "0", OFFSET($A$1, 1155 - 1, 60 - 1) = "1" ), 3, 4 ) ) )</f>
        <v>1</v>
      </c>
    </row>
    <row r="1156" spans="58:61" x14ac:dyDescent="0.2">
      <c r="BF1156" s="3">
        <v>0</v>
      </c>
      <c r="BG1156" s="3" t="str">
        <f t="shared" ref="BG1156:BG1165" si="122">"0"</f>
        <v>0</v>
      </c>
      <c r="BH1156" t="str">
        <f ca="1">IF((OFFSET($A$1, 1156 - 1, 58 - 1)) &gt;= (OFFSET($A$1, 96 - 1, 7 - 1)), "1","0")</f>
        <v>0</v>
      </c>
      <c r="BI1156">
        <f ca="1" xml:space="preserve"> IF( AND( OFFSET($A$1, 1156 - 1, 59 - 1) = "1", OFFSET($A$1, 1156 - 1, 60 - 1) = "1" ), 1, IF( AND( OFFSET($A$1, 1156 - 1, 59 - 1) = "1", OFFSET($A$1, 1156 - 1, 60 - 1) = "0" ), 2, IF( AND( OFFSET($A$1, 1156 - 1, 59 - 1) = "0", OFFSET($A$1, 1156 - 1, 60 - 1) = "1" ), 3, 4 ) ) )</f>
        <v>4</v>
      </c>
    </row>
    <row r="1157" spans="58:61" x14ac:dyDescent="0.2">
      <c r="BF1157" s="3">
        <v>0</v>
      </c>
      <c r="BG1157" s="3" t="str">
        <f t="shared" si="122"/>
        <v>0</v>
      </c>
      <c r="BH1157" t="str">
        <f ca="1">IF((OFFSET($A$1, 1157 - 1, 58 - 1)) &gt;= (OFFSET($A$1, 96 - 1, 7 - 1)), "1","0")</f>
        <v>0</v>
      </c>
      <c r="BI1157">
        <f ca="1" xml:space="preserve"> IF( AND( OFFSET($A$1, 1157 - 1, 59 - 1) = "1", OFFSET($A$1, 1157 - 1, 60 - 1) = "1" ), 1, IF( AND( OFFSET($A$1, 1157 - 1, 59 - 1) = "1", OFFSET($A$1, 1157 - 1, 60 - 1) = "0" ), 2, IF( AND( OFFSET($A$1, 1157 - 1, 59 - 1) = "0", OFFSET($A$1, 1157 - 1, 60 - 1) = "1" ), 3, 4 ) ) )</f>
        <v>4</v>
      </c>
    </row>
    <row r="1158" spans="58:61" x14ac:dyDescent="0.2">
      <c r="BF1158" s="3">
        <v>0</v>
      </c>
      <c r="BG1158" s="3" t="str">
        <f t="shared" si="122"/>
        <v>0</v>
      </c>
      <c r="BH1158" t="str">
        <f ca="1">IF((OFFSET($A$1, 1158 - 1, 58 - 1)) &gt;= (OFFSET($A$1, 96 - 1, 7 - 1)), "1","0")</f>
        <v>0</v>
      </c>
      <c r="BI1158">
        <f ca="1" xml:space="preserve"> IF( AND( OFFSET($A$1, 1158 - 1, 59 - 1) = "1", OFFSET($A$1, 1158 - 1, 60 - 1) = "1" ), 1, IF( AND( OFFSET($A$1, 1158 - 1, 59 - 1) = "1", OFFSET($A$1, 1158 - 1, 60 - 1) = "0" ), 2, IF( AND( OFFSET($A$1, 1158 - 1, 59 - 1) = "0", OFFSET($A$1, 1158 - 1, 60 - 1) = "1" ), 3, 4 ) ) )</f>
        <v>4</v>
      </c>
    </row>
    <row r="1159" spans="58:61" x14ac:dyDescent="0.2">
      <c r="BF1159" s="3">
        <v>3.7037037037037042E-2</v>
      </c>
      <c r="BG1159" s="3" t="str">
        <f t="shared" si="122"/>
        <v>0</v>
      </c>
      <c r="BH1159" t="str">
        <f ca="1">IF((OFFSET($A$1, 1159 - 1, 58 - 1)) &gt;= (OFFSET($A$1, 96 - 1, 7 - 1)), "1","0")</f>
        <v>0</v>
      </c>
      <c r="BI1159">
        <f ca="1" xml:space="preserve"> IF( AND( OFFSET($A$1, 1159 - 1, 59 - 1) = "1", OFFSET($A$1, 1159 - 1, 60 - 1) = "1" ), 1, IF( AND( OFFSET($A$1, 1159 - 1, 59 - 1) = "1", OFFSET($A$1, 1159 - 1, 60 - 1) = "0" ), 2, IF( AND( OFFSET($A$1, 1159 - 1, 59 - 1) = "0", OFFSET($A$1, 1159 - 1, 60 - 1) = "1" ), 3, 4 ) ) )</f>
        <v>4</v>
      </c>
    </row>
    <row r="1160" spans="58:61" x14ac:dyDescent="0.2">
      <c r="BF1160" s="3">
        <v>3.7037037037037042E-2</v>
      </c>
      <c r="BG1160" s="3" t="str">
        <f t="shared" si="122"/>
        <v>0</v>
      </c>
      <c r="BH1160" t="str">
        <f ca="1">IF((OFFSET($A$1, 1160 - 1, 58 - 1)) &gt;= (OFFSET($A$1, 96 - 1, 7 - 1)), "1","0")</f>
        <v>0</v>
      </c>
      <c r="BI1160">
        <f ca="1" xml:space="preserve"> IF( AND( OFFSET($A$1, 1160 - 1, 59 - 1) = "1", OFFSET($A$1, 1160 - 1, 60 - 1) = "1" ), 1, IF( AND( OFFSET($A$1, 1160 - 1, 59 - 1) = "1", OFFSET($A$1, 1160 - 1, 60 - 1) = "0" ), 2, IF( AND( OFFSET($A$1, 1160 - 1, 59 - 1) = "0", OFFSET($A$1, 1160 - 1, 60 - 1) = "1" ), 3, 4 ) ) )</f>
        <v>4</v>
      </c>
    </row>
    <row r="1161" spans="58:61" x14ac:dyDescent="0.2">
      <c r="BF1161" s="3">
        <v>0</v>
      </c>
      <c r="BG1161" s="3" t="str">
        <f t="shared" si="122"/>
        <v>0</v>
      </c>
      <c r="BH1161" t="str">
        <f ca="1">IF((OFFSET($A$1, 1161 - 1, 58 - 1)) &gt;= (OFFSET($A$1, 96 - 1, 7 - 1)), "1","0")</f>
        <v>0</v>
      </c>
      <c r="BI1161">
        <f ca="1" xml:space="preserve"> IF( AND( OFFSET($A$1, 1161 - 1, 59 - 1) = "1", OFFSET($A$1, 1161 - 1, 60 - 1) = "1" ), 1, IF( AND( OFFSET($A$1, 1161 - 1, 59 - 1) = "1", OFFSET($A$1, 1161 - 1, 60 - 1) = "0" ), 2, IF( AND( OFFSET($A$1, 1161 - 1, 59 - 1) = "0", OFFSET($A$1, 1161 - 1, 60 - 1) = "1" ), 3, 4 ) ) )</f>
        <v>4</v>
      </c>
    </row>
    <row r="1162" spans="58:61" x14ac:dyDescent="0.2">
      <c r="BF1162" s="3">
        <v>0.47692307692307689</v>
      </c>
      <c r="BG1162" s="3" t="str">
        <f t="shared" si="122"/>
        <v>0</v>
      </c>
      <c r="BH1162" t="str">
        <f ca="1">IF((OFFSET($A$1, 1162 - 1, 58 - 1)) &gt;= (OFFSET($A$1, 96 - 1, 7 - 1)), "1","0")</f>
        <v>0</v>
      </c>
      <c r="BI1162">
        <f ca="1" xml:space="preserve"> IF( AND( OFFSET($A$1, 1162 - 1, 59 - 1) = "1", OFFSET($A$1, 1162 - 1, 60 - 1) = "1" ), 1, IF( AND( OFFSET($A$1, 1162 - 1, 59 - 1) = "1", OFFSET($A$1, 1162 - 1, 60 - 1) = "0" ), 2, IF( AND( OFFSET($A$1, 1162 - 1, 59 - 1) = "0", OFFSET($A$1, 1162 - 1, 60 - 1) = "1" ), 3, 4 ) ) )</f>
        <v>4</v>
      </c>
    </row>
    <row r="1163" spans="58:61" x14ac:dyDescent="0.2">
      <c r="BF1163" s="3">
        <v>0.34722222222222221</v>
      </c>
      <c r="BG1163" s="3" t="str">
        <f t="shared" si="122"/>
        <v>0</v>
      </c>
      <c r="BH1163" t="str">
        <f ca="1">IF((OFFSET($A$1, 1163 - 1, 58 - 1)) &gt;= (OFFSET($A$1, 96 - 1, 7 - 1)), "1","0")</f>
        <v>0</v>
      </c>
      <c r="BI1163">
        <f ca="1" xml:space="preserve"> IF( AND( OFFSET($A$1, 1163 - 1, 59 - 1) = "1", OFFSET($A$1, 1163 - 1, 60 - 1) = "1" ), 1, IF( AND( OFFSET($A$1, 1163 - 1, 59 - 1) = "1", OFFSET($A$1, 1163 - 1, 60 - 1) = "0" ), 2, IF( AND( OFFSET($A$1, 1163 - 1, 59 - 1) = "0", OFFSET($A$1, 1163 - 1, 60 - 1) = "1" ), 3, 4 ) ) )</f>
        <v>4</v>
      </c>
    </row>
    <row r="1164" spans="58:61" x14ac:dyDescent="0.2">
      <c r="BF1164" s="3">
        <v>0</v>
      </c>
      <c r="BG1164" s="3" t="str">
        <f t="shared" si="122"/>
        <v>0</v>
      </c>
      <c r="BH1164" t="str">
        <f ca="1">IF((OFFSET($A$1, 1164 - 1, 58 - 1)) &gt;= (OFFSET($A$1, 96 - 1, 7 - 1)), "1","0")</f>
        <v>0</v>
      </c>
      <c r="BI1164">
        <f ca="1" xml:space="preserve"> IF( AND( OFFSET($A$1, 1164 - 1, 59 - 1) = "1", OFFSET($A$1, 1164 - 1, 60 - 1) = "1" ), 1, IF( AND( OFFSET($A$1, 1164 - 1, 59 - 1) = "1", OFFSET($A$1, 1164 - 1, 60 - 1) = "0" ), 2, IF( AND( OFFSET($A$1, 1164 - 1, 59 - 1) = "0", OFFSET($A$1, 1164 - 1, 60 - 1) = "1" ), 3, 4 ) ) )</f>
        <v>4</v>
      </c>
    </row>
    <row r="1165" spans="58:61" x14ac:dyDescent="0.2">
      <c r="BF1165" s="3">
        <v>3.7037037037037042E-2</v>
      </c>
      <c r="BG1165" s="3" t="str">
        <f t="shared" si="122"/>
        <v>0</v>
      </c>
      <c r="BH1165" t="str">
        <f ca="1">IF((OFFSET($A$1, 1165 - 1, 58 - 1)) &gt;= (OFFSET($A$1, 96 - 1, 7 - 1)), "1","0")</f>
        <v>0</v>
      </c>
      <c r="BI1165">
        <f ca="1" xml:space="preserve"> IF( AND( OFFSET($A$1, 1165 - 1, 59 - 1) = "1", OFFSET($A$1, 1165 - 1, 60 - 1) = "1" ), 1, IF( AND( OFFSET($A$1, 1165 - 1, 59 - 1) = "1", OFFSET($A$1, 1165 - 1, 60 - 1) = "0" ), 2, IF( AND( OFFSET($A$1, 1165 - 1, 59 - 1) = "0", OFFSET($A$1, 1165 - 1, 60 - 1) = "1" ), 3, 4 ) ) )</f>
        <v>4</v>
      </c>
    </row>
    <row r="1166" spans="58:61" x14ac:dyDescent="0.2">
      <c r="BF1166" s="3">
        <v>0.47692307692307689</v>
      </c>
      <c r="BG1166" s="3" t="str">
        <f>"1"</f>
        <v>1</v>
      </c>
      <c r="BH1166" t="str">
        <f ca="1">IF((OFFSET($A$1, 1166 - 1, 58 - 1)) &gt;= (OFFSET($A$1, 96 - 1, 7 - 1)), "1","0")</f>
        <v>0</v>
      </c>
      <c r="BI1166">
        <f ca="1" xml:space="preserve"> IF( AND( OFFSET($A$1, 1166 - 1, 59 - 1) = "1", OFFSET($A$1, 1166 - 1, 60 - 1) = "1" ), 1, IF( AND( OFFSET($A$1, 1166 - 1, 59 - 1) = "1", OFFSET($A$1, 1166 - 1, 60 - 1) = "0" ), 2, IF( AND( OFFSET($A$1, 1166 - 1, 59 - 1) = "0", OFFSET($A$1, 1166 - 1, 60 - 1) = "1" ), 3, 4 ) ) )</f>
        <v>2</v>
      </c>
    </row>
    <row r="1167" spans="58:61" x14ac:dyDescent="0.2">
      <c r="BF1167" s="3">
        <v>0</v>
      </c>
      <c r="BG1167" s="3" t="str">
        <f>"0"</f>
        <v>0</v>
      </c>
      <c r="BH1167" t="str">
        <f ca="1">IF((OFFSET($A$1, 1167 - 1, 58 - 1)) &gt;= (OFFSET($A$1, 96 - 1, 7 - 1)), "1","0")</f>
        <v>0</v>
      </c>
      <c r="BI1167">
        <f ca="1" xml:space="preserve"> IF( AND( OFFSET($A$1, 1167 - 1, 59 - 1) = "1", OFFSET($A$1, 1167 - 1, 60 - 1) = "1" ), 1, IF( AND( OFFSET($A$1, 1167 - 1, 59 - 1) = "1", OFFSET($A$1, 1167 - 1, 60 - 1) = "0" ), 2, IF( AND( OFFSET($A$1, 1167 - 1, 59 - 1) = "0", OFFSET($A$1, 1167 - 1, 60 - 1) = "1" ), 3, 4 ) ) )</f>
        <v>4</v>
      </c>
    </row>
    <row r="1168" spans="58:61" x14ac:dyDescent="0.2">
      <c r="BF1168" s="3">
        <v>0</v>
      </c>
      <c r="BG1168" s="3" t="str">
        <f>"0"</f>
        <v>0</v>
      </c>
      <c r="BH1168" t="str">
        <f ca="1">IF((OFFSET($A$1, 1168 - 1, 58 - 1)) &gt;= (OFFSET($A$1, 96 - 1, 7 - 1)), "1","0")</f>
        <v>0</v>
      </c>
      <c r="BI1168">
        <f ca="1" xml:space="preserve"> IF( AND( OFFSET($A$1, 1168 - 1, 59 - 1) = "1", OFFSET($A$1, 1168 - 1, 60 - 1) = "1" ), 1, IF( AND( OFFSET($A$1, 1168 - 1, 59 - 1) = "1", OFFSET($A$1, 1168 - 1, 60 - 1) = "0" ), 2, IF( AND( OFFSET($A$1, 1168 - 1, 59 - 1) = "0", OFFSET($A$1, 1168 - 1, 60 - 1) = "1" ), 3, 4 ) ) )</f>
        <v>4</v>
      </c>
    </row>
    <row r="1169" spans="58:61" x14ac:dyDescent="0.2">
      <c r="BF1169" s="3">
        <v>0</v>
      </c>
      <c r="BG1169" s="3" t="str">
        <f>"0"</f>
        <v>0</v>
      </c>
      <c r="BH1169" t="str">
        <f ca="1">IF((OFFSET($A$1, 1169 - 1, 58 - 1)) &gt;= (OFFSET($A$1, 96 - 1, 7 - 1)), "1","0")</f>
        <v>0</v>
      </c>
      <c r="BI1169">
        <f ca="1" xml:space="preserve"> IF( AND( OFFSET($A$1, 1169 - 1, 59 - 1) = "1", OFFSET($A$1, 1169 - 1, 60 - 1) = "1" ), 1, IF( AND( OFFSET($A$1, 1169 - 1, 59 - 1) = "1", OFFSET($A$1, 1169 - 1, 60 - 1) = "0" ), 2, IF( AND( OFFSET($A$1, 1169 - 1, 59 - 1) = "0", OFFSET($A$1, 1169 - 1, 60 - 1) = "1" ), 3, 4 ) ) )</f>
        <v>4</v>
      </c>
    </row>
    <row r="1170" spans="58:61" x14ac:dyDescent="0.2">
      <c r="BF1170" s="3">
        <v>0.90579710144927539</v>
      </c>
      <c r="BG1170" s="3" t="str">
        <f>"1"</f>
        <v>1</v>
      </c>
      <c r="BH1170" t="str">
        <f ca="1">IF((OFFSET($A$1, 1170 - 1, 58 - 1)) &gt;= (OFFSET($A$1, 96 - 1, 7 - 1)), "1","0")</f>
        <v>1</v>
      </c>
      <c r="BI1170">
        <f ca="1" xml:space="preserve"> IF( AND( OFFSET($A$1, 1170 - 1, 59 - 1) = "1", OFFSET($A$1, 1170 - 1, 60 - 1) = "1" ), 1, IF( AND( OFFSET($A$1, 1170 - 1, 59 - 1) = "1", OFFSET($A$1, 1170 - 1, 60 - 1) = "0" ), 2, IF( AND( OFFSET($A$1, 1170 - 1, 59 - 1) = "0", OFFSET($A$1, 1170 - 1, 60 - 1) = "1" ), 3, 4 ) ) )</f>
        <v>1</v>
      </c>
    </row>
    <row r="1171" spans="58:61" x14ac:dyDescent="0.2">
      <c r="BF1171" s="3">
        <v>0.47692307692307689</v>
      </c>
      <c r="BG1171" s="3" t="str">
        <f>"1"</f>
        <v>1</v>
      </c>
      <c r="BH1171" t="str">
        <f ca="1">IF((OFFSET($A$1, 1171 - 1, 58 - 1)) &gt;= (OFFSET($A$1, 96 - 1, 7 - 1)), "1","0")</f>
        <v>0</v>
      </c>
      <c r="BI1171">
        <f ca="1" xml:space="preserve"> IF( AND( OFFSET($A$1, 1171 - 1, 59 - 1) = "1", OFFSET($A$1, 1171 - 1, 60 - 1) = "1" ), 1, IF( AND( OFFSET($A$1, 1171 - 1, 59 - 1) = "1", OFFSET($A$1, 1171 - 1, 60 - 1) = "0" ), 2, IF( AND( OFFSET($A$1, 1171 - 1, 59 - 1) = "0", OFFSET($A$1, 1171 - 1, 60 - 1) = "1" ), 3, 4 ) ) )</f>
        <v>2</v>
      </c>
    </row>
    <row r="1172" spans="58:61" x14ac:dyDescent="0.2">
      <c r="BF1172" s="3">
        <v>3.7037037037037042E-2</v>
      </c>
      <c r="BG1172" s="3" t="str">
        <f t="shared" ref="BG1172:BG1180" si="123">"0"</f>
        <v>0</v>
      </c>
      <c r="BH1172" t="str">
        <f ca="1">IF((OFFSET($A$1, 1172 - 1, 58 - 1)) &gt;= (OFFSET($A$1, 96 - 1, 7 - 1)), "1","0")</f>
        <v>0</v>
      </c>
      <c r="BI1172">
        <f ca="1" xml:space="preserve"> IF( AND( OFFSET($A$1, 1172 - 1, 59 - 1) = "1", OFFSET($A$1, 1172 - 1, 60 - 1) = "1" ), 1, IF( AND( OFFSET($A$1, 1172 - 1, 59 - 1) = "1", OFFSET($A$1, 1172 - 1, 60 - 1) = "0" ), 2, IF( AND( OFFSET($A$1, 1172 - 1, 59 - 1) = "0", OFFSET($A$1, 1172 - 1, 60 - 1) = "1" ), 3, 4 ) ) )</f>
        <v>4</v>
      </c>
    </row>
    <row r="1173" spans="58:61" x14ac:dyDescent="0.2">
      <c r="BF1173" s="3">
        <v>0.08</v>
      </c>
      <c r="BG1173" s="3" t="str">
        <f t="shared" si="123"/>
        <v>0</v>
      </c>
      <c r="BH1173" t="str">
        <f ca="1">IF((OFFSET($A$1, 1173 - 1, 58 - 1)) &gt;= (OFFSET($A$1, 96 - 1, 7 - 1)), "1","0")</f>
        <v>0</v>
      </c>
      <c r="BI1173">
        <f ca="1" xml:space="preserve"> IF( AND( OFFSET($A$1, 1173 - 1, 59 - 1) = "1", OFFSET($A$1, 1173 - 1, 60 - 1) = "1" ), 1, IF( AND( OFFSET($A$1, 1173 - 1, 59 - 1) = "1", OFFSET($A$1, 1173 - 1, 60 - 1) = "0" ), 2, IF( AND( OFFSET($A$1, 1173 - 1, 59 - 1) = "0", OFFSET($A$1, 1173 - 1, 60 - 1) = "1" ), 3, 4 ) ) )</f>
        <v>4</v>
      </c>
    </row>
    <row r="1174" spans="58:61" x14ac:dyDescent="0.2">
      <c r="BF1174" s="3">
        <v>0</v>
      </c>
      <c r="BG1174" s="3" t="str">
        <f t="shared" si="123"/>
        <v>0</v>
      </c>
      <c r="BH1174" t="str">
        <f ca="1">IF((OFFSET($A$1, 1174 - 1, 58 - 1)) &gt;= (OFFSET($A$1, 96 - 1, 7 - 1)), "1","0")</f>
        <v>0</v>
      </c>
      <c r="BI1174">
        <f ca="1" xml:space="preserve"> IF( AND( OFFSET($A$1, 1174 - 1, 59 - 1) = "1", OFFSET($A$1, 1174 - 1, 60 - 1) = "1" ), 1, IF( AND( OFFSET($A$1, 1174 - 1, 59 - 1) = "1", OFFSET($A$1, 1174 - 1, 60 - 1) = "0" ), 2, IF( AND( OFFSET($A$1, 1174 - 1, 59 - 1) = "0", OFFSET($A$1, 1174 - 1, 60 - 1) = "1" ), 3, 4 ) ) )</f>
        <v>4</v>
      </c>
    </row>
    <row r="1175" spans="58:61" x14ac:dyDescent="0.2">
      <c r="BF1175" s="3">
        <v>0</v>
      </c>
      <c r="BG1175" s="3" t="str">
        <f t="shared" si="123"/>
        <v>0</v>
      </c>
      <c r="BH1175" t="str">
        <f ca="1">IF((OFFSET($A$1, 1175 - 1, 58 - 1)) &gt;= (OFFSET($A$1, 96 - 1, 7 - 1)), "1","0")</f>
        <v>0</v>
      </c>
      <c r="BI1175">
        <f ca="1" xml:space="preserve"> IF( AND( OFFSET($A$1, 1175 - 1, 59 - 1) = "1", OFFSET($A$1, 1175 - 1, 60 - 1) = "1" ), 1, IF( AND( OFFSET($A$1, 1175 - 1, 59 - 1) = "1", OFFSET($A$1, 1175 - 1, 60 - 1) = "0" ), 2, IF( AND( OFFSET($A$1, 1175 - 1, 59 - 1) = "0", OFFSET($A$1, 1175 - 1, 60 - 1) = "1" ), 3, 4 ) ) )</f>
        <v>4</v>
      </c>
    </row>
    <row r="1176" spans="58:61" x14ac:dyDescent="0.2">
      <c r="BF1176" s="3">
        <v>0</v>
      </c>
      <c r="BG1176" s="3" t="str">
        <f t="shared" si="123"/>
        <v>0</v>
      </c>
      <c r="BH1176" t="str">
        <f ca="1">IF((OFFSET($A$1, 1176 - 1, 58 - 1)) &gt;= (OFFSET($A$1, 96 - 1, 7 - 1)), "1","0")</f>
        <v>0</v>
      </c>
      <c r="BI1176">
        <f ca="1" xml:space="preserve"> IF( AND( OFFSET($A$1, 1176 - 1, 59 - 1) = "1", OFFSET($A$1, 1176 - 1, 60 - 1) = "1" ), 1, IF( AND( OFFSET($A$1, 1176 - 1, 59 - 1) = "1", OFFSET($A$1, 1176 - 1, 60 - 1) = "0" ), 2, IF( AND( OFFSET($A$1, 1176 - 1, 59 - 1) = "0", OFFSET($A$1, 1176 - 1, 60 - 1) = "1" ), 3, 4 ) ) )</f>
        <v>4</v>
      </c>
    </row>
    <row r="1177" spans="58:61" x14ac:dyDescent="0.2">
      <c r="BF1177" s="3">
        <v>0</v>
      </c>
      <c r="BG1177" s="3" t="str">
        <f t="shared" si="123"/>
        <v>0</v>
      </c>
      <c r="BH1177" t="str">
        <f ca="1">IF((OFFSET($A$1, 1177 - 1, 58 - 1)) &gt;= (OFFSET($A$1, 96 - 1, 7 - 1)), "1","0")</f>
        <v>0</v>
      </c>
      <c r="BI1177">
        <f ca="1" xml:space="preserve"> IF( AND( OFFSET($A$1, 1177 - 1, 59 - 1) = "1", OFFSET($A$1, 1177 - 1, 60 - 1) = "1" ), 1, IF( AND( OFFSET($A$1, 1177 - 1, 59 - 1) = "1", OFFSET($A$1, 1177 - 1, 60 - 1) = "0" ), 2, IF( AND( OFFSET($A$1, 1177 - 1, 59 - 1) = "0", OFFSET($A$1, 1177 - 1, 60 - 1) = "1" ), 3, 4 ) ) )</f>
        <v>4</v>
      </c>
    </row>
    <row r="1178" spans="58:61" x14ac:dyDescent="0.2">
      <c r="BF1178" s="3">
        <v>0</v>
      </c>
      <c r="BG1178" s="3" t="str">
        <f t="shared" si="123"/>
        <v>0</v>
      </c>
      <c r="BH1178" t="str">
        <f ca="1">IF((OFFSET($A$1, 1178 - 1, 58 - 1)) &gt;= (OFFSET($A$1, 96 - 1, 7 - 1)), "1","0")</f>
        <v>0</v>
      </c>
      <c r="BI1178">
        <f ca="1" xml:space="preserve"> IF( AND( OFFSET($A$1, 1178 - 1, 59 - 1) = "1", OFFSET($A$1, 1178 - 1, 60 - 1) = "1" ), 1, IF( AND( OFFSET($A$1, 1178 - 1, 59 - 1) = "1", OFFSET($A$1, 1178 - 1, 60 - 1) = "0" ), 2, IF( AND( OFFSET($A$1, 1178 - 1, 59 - 1) = "0", OFFSET($A$1, 1178 - 1, 60 - 1) = "1" ), 3, 4 ) ) )</f>
        <v>4</v>
      </c>
    </row>
    <row r="1179" spans="58:61" x14ac:dyDescent="0.2">
      <c r="BF1179" s="3">
        <v>0</v>
      </c>
      <c r="BG1179" s="3" t="str">
        <f t="shared" si="123"/>
        <v>0</v>
      </c>
      <c r="BH1179" t="str">
        <f ca="1">IF((OFFSET($A$1, 1179 - 1, 58 - 1)) &gt;= (OFFSET($A$1, 96 - 1, 7 - 1)), "1","0")</f>
        <v>0</v>
      </c>
      <c r="BI1179">
        <f ca="1" xml:space="preserve"> IF( AND( OFFSET($A$1, 1179 - 1, 59 - 1) = "1", OFFSET($A$1, 1179 - 1, 60 - 1) = "1" ), 1, IF( AND( OFFSET($A$1, 1179 - 1, 59 - 1) = "1", OFFSET($A$1, 1179 - 1, 60 - 1) = "0" ), 2, IF( AND( OFFSET($A$1, 1179 - 1, 59 - 1) = "0", OFFSET($A$1, 1179 - 1, 60 - 1) = "1" ), 3, 4 ) ) )</f>
        <v>4</v>
      </c>
    </row>
    <row r="1180" spans="58:61" x14ac:dyDescent="0.2">
      <c r="BF1180" s="3">
        <v>0</v>
      </c>
      <c r="BG1180" s="3" t="str">
        <f t="shared" si="123"/>
        <v>0</v>
      </c>
      <c r="BH1180" t="str">
        <f ca="1">IF((OFFSET($A$1, 1180 - 1, 58 - 1)) &gt;= (OFFSET($A$1, 96 - 1, 7 - 1)), "1","0")</f>
        <v>0</v>
      </c>
      <c r="BI1180">
        <f ca="1" xml:space="preserve"> IF( AND( OFFSET($A$1, 1180 - 1, 59 - 1) = "1", OFFSET($A$1, 1180 - 1, 60 - 1) = "1" ), 1, IF( AND( OFFSET($A$1, 1180 - 1, 59 - 1) = "1", OFFSET($A$1, 1180 - 1, 60 - 1) = "0" ), 2, IF( AND( OFFSET($A$1, 1180 - 1, 59 - 1) = "0", OFFSET($A$1, 1180 - 1, 60 - 1) = "1" ), 3, 4 ) ) )</f>
        <v>4</v>
      </c>
    </row>
    <row r="1181" spans="58:61" x14ac:dyDescent="0.2">
      <c r="BF1181" s="3">
        <v>0.34722222222222221</v>
      </c>
      <c r="BG1181" s="3" t="str">
        <f>"1"</f>
        <v>1</v>
      </c>
      <c r="BH1181" t="str">
        <f ca="1">IF((OFFSET($A$1, 1181 - 1, 58 - 1)) &gt;= (OFFSET($A$1, 96 - 1, 7 - 1)), "1","0")</f>
        <v>0</v>
      </c>
      <c r="BI1181">
        <f ca="1" xml:space="preserve"> IF( AND( OFFSET($A$1, 1181 - 1, 59 - 1) = "1", OFFSET($A$1, 1181 - 1, 60 - 1) = "1" ), 1, IF( AND( OFFSET($A$1, 1181 - 1, 59 - 1) = "1", OFFSET($A$1, 1181 - 1, 60 - 1) = "0" ), 2, IF( AND( OFFSET($A$1, 1181 - 1, 59 - 1) = "0", OFFSET($A$1, 1181 - 1, 60 - 1) = "1" ), 3, 4 ) ) )</f>
        <v>2</v>
      </c>
    </row>
    <row r="1182" spans="58:61" x14ac:dyDescent="0.2">
      <c r="BF1182" s="3">
        <v>0.38775510204081637</v>
      </c>
      <c r="BG1182" s="3" t="str">
        <f>"1"</f>
        <v>1</v>
      </c>
      <c r="BH1182" t="str">
        <f ca="1">IF((OFFSET($A$1, 1182 - 1, 58 - 1)) &gt;= (OFFSET($A$1, 96 - 1, 7 - 1)), "1","0")</f>
        <v>0</v>
      </c>
      <c r="BI1182">
        <f ca="1" xml:space="preserve"> IF( AND( OFFSET($A$1, 1182 - 1, 59 - 1) = "1", OFFSET($A$1, 1182 - 1, 60 - 1) = "1" ), 1, IF( AND( OFFSET($A$1, 1182 - 1, 59 - 1) = "1", OFFSET($A$1, 1182 - 1, 60 - 1) = "0" ), 2, IF( AND( OFFSET($A$1, 1182 - 1, 59 - 1) = "0", OFFSET($A$1, 1182 - 1, 60 - 1) = "1" ), 3, 4 ) ) )</f>
        <v>2</v>
      </c>
    </row>
    <row r="1183" spans="58:61" x14ac:dyDescent="0.2">
      <c r="BF1183" s="3">
        <v>0</v>
      </c>
      <c r="BG1183" s="3" t="str">
        <f t="shared" ref="BG1183:BG1188" si="124">"0"</f>
        <v>0</v>
      </c>
      <c r="BH1183" t="str">
        <f ca="1">IF((OFFSET($A$1, 1183 - 1, 58 - 1)) &gt;= (OFFSET($A$1, 96 - 1, 7 - 1)), "1","0")</f>
        <v>0</v>
      </c>
      <c r="BI1183">
        <f ca="1" xml:space="preserve"> IF( AND( OFFSET($A$1, 1183 - 1, 59 - 1) = "1", OFFSET($A$1, 1183 - 1, 60 - 1) = "1" ), 1, IF( AND( OFFSET($A$1, 1183 - 1, 59 - 1) = "1", OFFSET($A$1, 1183 - 1, 60 - 1) = "0" ), 2, IF( AND( OFFSET($A$1, 1183 - 1, 59 - 1) = "0", OFFSET($A$1, 1183 - 1, 60 - 1) = "1" ), 3, 4 ) ) )</f>
        <v>4</v>
      </c>
    </row>
    <row r="1184" spans="58:61" x14ac:dyDescent="0.2">
      <c r="BF1184" s="3">
        <v>3.7037037037037042E-2</v>
      </c>
      <c r="BG1184" s="3" t="str">
        <f t="shared" si="124"/>
        <v>0</v>
      </c>
      <c r="BH1184" t="str">
        <f ca="1">IF((OFFSET($A$1, 1184 - 1, 58 - 1)) &gt;= (OFFSET($A$1, 96 - 1, 7 - 1)), "1","0")</f>
        <v>0</v>
      </c>
      <c r="BI1184">
        <f ca="1" xml:space="preserve"> IF( AND( OFFSET($A$1, 1184 - 1, 59 - 1) = "1", OFFSET($A$1, 1184 - 1, 60 - 1) = "1" ), 1, IF( AND( OFFSET($A$1, 1184 - 1, 59 - 1) = "1", OFFSET($A$1, 1184 - 1, 60 - 1) = "0" ), 2, IF( AND( OFFSET($A$1, 1184 - 1, 59 - 1) = "0", OFFSET($A$1, 1184 - 1, 60 - 1) = "1" ), 3, 4 ) ) )</f>
        <v>4</v>
      </c>
    </row>
    <row r="1185" spans="58:61" x14ac:dyDescent="0.2">
      <c r="BF1185" s="3">
        <v>0.1081081081081081</v>
      </c>
      <c r="BG1185" s="3" t="str">
        <f t="shared" si="124"/>
        <v>0</v>
      </c>
      <c r="BH1185" t="str">
        <f ca="1">IF((OFFSET($A$1, 1185 - 1, 58 - 1)) &gt;= (OFFSET($A$1, 96 - 1, 7 - 1)), "1","0")</f>
        <v>0</v>
      </c>
      <c r="BI1185">
        <f ca="1" xml:space="preserve"> IF( AND( OFFSET($A$1, 1185 - 1, 59 - 1) = "1", OFFSET($A$1, 1185 - 1, 60 - 1) = "1" ), 1, IF( AND( OFFSET($A$1, 1185 - 1, 59 - 1) = "1", OFFSET($A$1, 1185 - 1, 60 - 1) = "0" ), 2, IF( AND( OFFSET($A$1, 1185 - 1, 59 - 1) = "0", OFFSET($A$1, 1185 - 1, 60 - 1) = "1" ), 3, 4 ) ) )</f>
        <v>4</v>
      </c>
    </row>
    <row r="1186" spans="58:61" x14ac:dyDescent="0.2">
      <c r="BF1186" s="3">
        <v>0</v>
      </c>
      <c r="BG1186" s="3" t="str">
        <f t="shared" si="124"/>
        <v>0</v>
      </c>
      <c r="BH1186" t="str">
        <f ca="1">IF((OFFSET($A$1, 1186 - 1, 58 - 1)) &gt;= (OFFSET($A$1, 96 - 1, 7 - 1)), "1","0")</f>
        <v>0</v>
      </c>
      <c r="BI1186">
        <f ca="1" xml:space="preserve"> IF( AND( OFFSET($A$1, 1186 - 1, 59 - 1) = "1", OFFSET($A$1, 1186 - 1, 60 - 1) = "1" ), 1, IF( AND( OFFSET($A$1, 1186 - 1, 59 - 1) = "1", OFFSET($A$1, 1186 - 1, 60 - 1) = "0" ), 2, IF( AND( OFFSET($A$1, 1186 - 1, 59 - 1) = "0", OFFSET($A$1, 1186 - 1, 60 - 1) = "1" ), 3, 4 ) ) )</f>
        <v>4</v>
      </c>
    </row>
    <row r="1187" spans="58:61" x14ac:dyDescent="0.2">
      <c r="BF1187" s="3">
        <v>0</v>
      </c>
      <c r="BG1187" s="3" t="str">
        <f t="shared" si="124"/>
        <v>0</v>
      </c>
      <c r="BH1187" t="str">
        <f ca="1">IF((OFFSET($A$1, 1187 - 1, 58 - 1)) &gt;= (OFFSET($A$1, 96 - 1, 7 - 1)), "1","0")</f>
        <v>0</v>
      </c>
      <c r="BI1187">
        <f ca="1" xml:space="preserve"> IF( AND( OFFSET($A$1, 1187 - 1, 59 - 1) = "1", OFFSET($A$1, 1187 - 1, 60 - 1) = "1" ), 1, IF( AND( OFFSET($A$1, 1187 - 1, 59 - 1) = "1", OFFSET($A$1, 1187 - 1, 60 - 1) = "0" ), 2, IF( AND( OFFSET($A$1, 1187 - 1, 59 - 1) = "0", OFFSET($A$1, 1187 - 1, 60 - 1) = "1" ), 3, 4 ) ) )</f>
        <v>4</v>
      </c>
    </row>
    <row r="1188" spans="58:61" x14ac:dyDescent="0.2">
      <c r="BF1188" s="3">
        <v>0</v>
      </c>
      <c r="BG1188" s="3" t="str">
        <f t="shared" si="124"/>
        <v>0</v>
      </c>
      <c r="BH1188" t="str">
        <f ca="1">IF((OFFSET($A$1, 1188 - 1, 58 - 1)) &gt;= (OFFSET($A$1, 96 - 1, 7 - 1)), "1","0")</f>
        <v>0</v>
      </c>
      <c r="BI1188">
        <f ca="1" xml:space="preserve"> IF( AND( OFFSET($A$1, 1188 - 1, 59 - 1) = "1", OFFSET($A$1, 1188 - 1, 60 - 1) = "1" ), 1, IF( AND( OFFSET($A$1, 1188 - 1, 59 - 1) = "1", OFFSET($A$1, 1188 - 1, 60 - 1) = "0" ), 2, IF( AND( OFFSET($A$1, 1188 - 1, 59 - 1) = "0", OFFSET($A$1, 1188 - 1, 60 - 1) = "1" ), 3, 4 ) ) )</f>
        <v>4</v>
      </c>
    </row>
    <row r="1189" spans="58:61" x14ac:dyDescent="0.2">
      <c r="BF1189" s="3">
        <v>0.08</v>
      </c>
      <c r="BG1189" s="3" t="str">
        <f>"1"</f>
        <v>1</v>
      </c>
      <c r="BH1189" t="str">
        <f ca="1">IF((OFFSET($A$1, 1189 - 1, 58 - 1)) &gt;= (OFFSET($A$1, 96 - 1, 7 - 1)), "1","0")</f>
        <v>0</v>
      </c>
      <c r="BI1189">
        <f ca="1" xml:space="preserve"> IF( AND( OFFSET($A$1, 1189 - 1, 59 - 1) = "1", OFFSET($A$1, 1189 - 1, 60 - 1) = "1" ), 1, IF( AND( OFFSET($A$1, 1189 - 1, 59 - 1) = "1", OFFSET($A$1, 1189 - 1, 60 - 1) = "0" ), 2, IF( AND( OFFSET($A$1, 1189 - 1, 59 - 1) = "0", OFFSET($A$1, 1189 - 1, 60 - 1) = "1" ), 3, 4 ) ) )</f>
        <v>2</v>
      </c>
    </row>
    <row r="1190" spans="58:61" x14ac:dyDescent="0.2">
      <c r="BF1190" s="3">
        <v>0.34722222222222221</v>
      </c>
      <c r="BG1190" s="3" t="str">
        <f t="shared" ref="BG1190:BG1200" si="125">"0"</f>
        <v>0</v>
      </c>
      <c r="BH1190" t="str">
        <f ca="1">IF((OFFSET($A$1, 1190 - 1, 58 - 1)) &gt;= (OFFSET($A$1, 96 - 1, 7 - 1)), "1","0")</f>
        <v>0</v>
      </c>
      <c r="BI1190">
        <f ca="1" xml:space="preserve"> IF( AND( OFFSET($A$1, 1190 - 1, 59 - 1) = "1", OFFSET($A$1, 1190 - 1, 60 - 1) = "1" ), 1, IF( AND( OFFSET($A$1, 1190 - 1, 59 - 1) = "1", OFFSET($A$1, 1190 - 1, 60 - 1) = "0" ), 2, IF( AND( OFFSET($A$1, 1190 - 1, 59 - 1) = "0", OFFSET($A$1, 1190 - 1, 60 - 1) = "1" ), 3, 4 ) ) )</f>
        <v>4</v>
      </c>
    </row>
    <row r="1191" spans="58:61" x14ac:dyDescent="0.2">
      <c r="BF1191" s="3">
        <v>0</v>
      </c>
      <c r="BG1191" s="3" t="str">
        <f t="shared" si="125"/>
        <v>0</v>
      </c>
      <c r="BH1191" t="str">
        <f ca="1">IF((OFFSET($A$1, 1191 - 1, 58 - 1)) &gt;= (OFFSET($A$1, 96 - 1, 7 - 1)), "1","0")</f>
        <v>0</v>
      </c>
      <c r="BI1191">
        <f ca="1" xml:space="preserve"> IF( AND( OFFSET($A$1, 1191 - 1, 59 - 1) = "1", OFFSET($A$1, 1191 - 1, 60 - 1) = "1" ), 1, IF( AND( OFFSET($A$1, 1191 - 1, 59 - 1) = "1", OFFSET($A$1, 1191 - 1, 60 - 1) = "0" ), 2, IF( AND( OFFSET($A$1, 1191 - 1, 59 - 1) = "0", OFFSET($A$1, 1191 - 1, 60 - 1) = "1" ), 3, 4 ) ) )</f>
        <v>4</v>
      </c>
    </row>
    <row r="1192" spans="58:61" x14ac:dyDescent="0.2">
      <c r="BF1192" s="3">
        <v>0</v>
      </c>
      <c r="BG1192" s="3" t="str">
        <f t="shared" si="125"/>
        <v>0</v>
      </c>
      <c r="BH1192" t="str">
        <f ca="1">IF((OFFSET($A$1, 1192 - 1, 58 - 1)) &gt;= (OFFSET($A$1, 96 - 1, 7 - 1)), "1","0")</f>
        <v>0</v>
      </c>
      <c r="BI1192">
        <f ca="1" xml:space="preserve"> IF( AND( OFFSET($A$1, 1192 - 1, 59 - 1) = "1", OFFSET($A$1, 1192 - 1, 60 - 1) = "1" ), 1, IF( AND( OFFSET($A$1, 1192 - 1, 59 - 1) = "1", OFFSET($A$1, 1192 - 1, 60 - 1) = "0" ), 2, IF( AND( OFFSET($A$1, 1192 - 1, 59 - 1) = "0", OFFSET($A$1, 1192 - 1, 60 - 1) = "1" ), 3, 4 ) ) )</f>
        <v>4</v>
      </c>
    </row>
    <row r="1193" spans="58:61" x14ac:dyDescent="0.2">
      <c r="BF1193" s="3">
        <v>0</v>
      </c>
      <c r="BG1193" s="3" t="str">
        <f t="shared" si="125"/>
        <v>0</v>
      </c>
      <c r="BH1193" t="str">
        <f ca="1">IF((OFFSET($A$1, 1193 - 1, 58 - 1)) &gt;= (OFFSET($A$1, 96 - 1, 7 - 1)), "1","0")</f>
        <v>0</v>
      </c>
      <c r="BI1193">
        <f ca="1" xml:space="preserve"> IF( AND( OFFSET($A$1, 1193 - 1, 59 - 1) = "1", OFFSET($A$1, 1193 - 1, 60 - 1) = "1" ), 1, IF( AND( OFFSET($A$1, 1193 - 1, 59 - 1) = "1", OFFSET($A$1, 1193 - 1, 60 - 1) = "0" ), 2, IF( AND( OFFSET($A$1, 1193 - 1, 59 - 1) = "0", OFFSET($A$1, 1193 - 1, 60 - 1) = "1" ), 3, 4 ) ) )</f>
        <v>4</v>
      </c>
    </row>
    <row r="1194" spans="58:61" x14ac:dyDescent="0.2">
      <c r="BF1194" s="3">
        <v>0</v>
      </c>
      <c r="BG1194" s="3" t="str">
        <f t="shared" si="125"/>
        <v>0</v>
      </c>
      <c r="BH1194" t="str">
        <f ca="1">IF((OFFSET($A$1, 1194 - 1, 58 - 1)) &gt;= (OFFSET($A$1, 96 - 1, 7 - 1)), "1","0")</f>
        <v>0</v>
      </c>
      <c r="BI1194">
        <f ca="1" xml:space="preserve"> IF( AND( OFFSET($A$1, 1194 - 1, 59 - 1) = "1", OFFSET($A$1, 1194 - 1, 60 - 1) = "1" ), 1, IF( AND( OFFSET($A$1, 1194 - 1, 59 - 1) = "1", OFFSET($A$1, 1194 - 1, 60 - 1) = "0" ), 2, IF( AND( OFFSET($A$1, 1194 - 1, 59 - 1) = "0", OFFSET($A$1, 1194 - 1, 60 - 1) = "1" ), 3, 4 ) ) )</f>
        <v>4</v>
      </c>
    </row>
    <row r="1195" spans="58:61" x14ac:dyDescent="0.2">
      <c r="BF1195" s="3">
        <v>0.47692307692307689</v>
      </c>
      <c r="BG1195" s="3" t="str">
        <f t="shared" si="125"/>
        <v>0</v>
      </c>
      <c r="BH1195" t="str">
        <f ca="1">IF((OFFSET($A$1, 1195 - 1, 58 - 1)) &gt;= (OFFSET($A$1, 96 - 1, 7 - 1)), "1","0")</f>
        <v>0</v>
      </c>
      <c r="BI1195">
        <f ca="1" xml:space="preserve"> IF( AND( OFFSET($A$1, 1195 - 1, 59 - 1) = "1", OFFSET($A$1, 1195 - 1, 60 - 1) = "1" ), 1, IF( AND( OFFSET($A$1, 1195 - 1, 59 - 1) = "1", OFFSET($A$1, 1195 - 1, 60 - 1) = "0" ), 2, IF( AND( OFFSET($A$1, 1195 - 1, 59 - 1) = "0", OFFSET($A$1, 1195 - 1, 60 - 1) = "1" ), 3, 4 ) ) )</f>
        <v>4</v>
      </c>
    </row>
    <row r="1196" spans="58:61" x14ac:dyDescent="0.2">
      <c r="BF1196" s="3">
        <v>0</v>
      </c>
      <c r="BG1196" s="3" t="str">
        <f t="shared" si="125"/>
        <v>0</v>
      </c>
      <c r="BH1196" t="str">
        <f ca="1">IF((OFFSET($A$1, 1196 - 1, 58 - 1)) &gt;= (OFFSET($A$1, 96 - 1, 7 - 1)), "1","0")</f>
        <v>0</v>
      </c>
      <c r="BI1196">
        <f ca="1" xml:space="preserve"> IF( AND( OFFSET($A$1, 1196 - 1, 59 - 1) = "1", OFFSET($A$1, 1196 - 1, 60 - 1) = "1" ), 1, IF( AND( OFFSET($A$1, 1196 - 1, 59 - 1) = "1", OFFSET($A$1, 1196 - 1, 60 - 1) = "0" ), 2, IF( AND( OFFSET($A$1, 1196 - 1, 59 - 1) = "0", OFFSET($A$1, 1196 - 1, 60 - 1) = "1" ), 3, 4 ) ) )</f>
        <v>4</v>
      </c>
    </row>
    <row r="1197" spans="58:61" x14ac:dyDescent="0.2">
      <c r="BF1197" s="3">
        <v>0</v>
      </c>
      <c r="BG1197" s="3" t="str">
        <f t="shared" si="125"/>
        <v>0</v>
      </c>
      <c r="BH1197" t="str">
        <f ca="1">IF((OFFSET($A$1, 1197 - 1, 58 - 1)) &gt;= (OFFSET($A$1, 96 - 1, 7 - 1)), "1","0")</f>
        <v>0</v>
      </c>
      <c r="BI1197">
        <f ca="1" xml:space="preserve"> IF( AND( OFFSET($A$1, 1197 - 1, 59 - 1) = "1", OFFSET($A$1, 1197 - 1, 60 - 1) = "1" ), 1, IF( AND( OFFSET($A$1, 1197 - 1, 59 - 1) = "1", OFFSET($A$1, 1197 - 1, 60 - 1) = "0" ), 2, IF( AND( OFFSET($A$1, 1197 - 1, 59 - 1) = "0", OFFSET($A$1, 1197 - 1, 60 - 1) = "1" ), 3, 4 ) ) )</f>
        <v>4</v>
      </c>
    </row>
    <row r="1198" spans="58:61" x14ac:dyDescent="0.2">
      <c r="BF1198" s="3">
        <v>0</v>
      </c>
      <c r="BG1198" s="3" t="str">
        <f t="shared" si="125"/>
        <v>0</v>
      </c>
      <c r="BH1198" t="str">
        <f ca="1">IF((OFFSET($A$1, 1198 - 1, 58 - 1)) &gt;= (OFFSET($A$1, 96 - 1, 7 - 1)), "1","0")</f>
        <v>0</v>
      </c>
      <c r="BI1198">
        <f ca="1" xml:space="preserve"> IF( AND( OFFSET($A$1, 1198 - 1, 59 - 1) = "1", OFFSET($A$1, 1198 - 1, 60 - 1) = "1" ), 1, IF( AND( OFFSET($A$1, 1198 - 1, 59 - 1) = "1", OFFSET($A$1, 1198 - 1, 60 - 1) = "0" ), 2, IF( AND( OFFSET($A$1, 1198 - 1, 59 - 1) = "0", OFFSET($A$1, 1198 - 1, 60 - 1) = "1" ), 3, 4 ) ) )</f>
        <v>4</v>
      </c>
    </row>
    <row r="1199" spans="58:61" x14ac:dyDescent="0.2">
      <c r="BF1199" s="3">
        <v>0</v>
      </c>
      <c r="BG1199" s="3" t="str">
        <f t="shared" si="125"/>
        <v>0</v>
      </c>
      <c r="BH1199" t="str">
        <f ca="1">IF((OFFSET($A$1, 1199 - 1, 58 - 1)) &gt;= (OFFSET($A$1, 96 - 1, 7 - 1)), "1","0")</f>
        <v>0</v>
      </c>
      <c r="BI1199">
        <f ca="1" xml:space="preserve"> IF( AND( OFFSET($A$1, 1199 - 1, 59 - 1) = "1", OFFSET($A$1, 1199 - 1, 60 - 1) = "1" ), 1, IF( AND( OFFSET($A$1, 1199 - 1, 59 - 1) = "1", OFFSET($A$1, 1199 - 1, 60 - 1) = "0" ), 2, IF( AND( OFFSET($A$1, 1199 - 1, 59 - 1) = "0", OFFSET($A$1, 1199 - 1, 60 - 1) = "1" ), 3, 4 ) ) )</f>
        <v>4</v>
      </c>
    </row>
    <row r="1200" spans="58:61" x14ac:dyDescent="0.2">
      <c r="BF1200" s="3">
        <v>0</v>
      </c>
      <c r="BG1200" s="3" t="str">
        <f t="shared" si="125"/>
        <v>0</v>
      </c>
      <c r="BH1200" t="str">
        <f ca="1">IF((OFFSET($A$1, 1200 - 1, 58 - 1)) &gt;= (OFFSET($A$1, 96 - 1, 7 - 1)), "1","0")</f>
        <v>0</v>
      </c>
      <c r="BI1200">
        <f ca="1" xml:space="preserve"> IF( AND( OFFSET($A$1, 1200 - 1, 59 - 1) = "1", OFFSET($A$1, 1200 - 1, 60 - 1) = "1" ), 1, IF( AND( OFFSET($A$1, 1200 - 1, 59 - 1) = "1", OFFSET($A$1, 1200 - 1, 60 - 1) = "0" ), 2, IF( AND( OFFSET($A$1, 1200 - 1, 59 - 1) = "0", OFFSET($A$1, 1200 - 1, 60 - 1) = "1" ), 3, 4 ) ) )</f>
        <v>4</v>
      </c>
    </row>
    <row r="1201" spans="58:61" x14ac:dyDescent="0.2">
      <c r="BF1201" s="3">
        <v>0.38775510204081637</v>
      </c>
      <c r="BG1201" s="3" t="str">
        <f>"1"</f>
        <v>1</v>
      </c>
      <c r="BH1201" t="str">
        <f ca="1">IF((OFFSET($A$1, 1201 - 1, 58 - 1)) &gt;= (OFFSET($A$1, 96 - 1, 7 - 1)), "1","0")</f>
        <v>0</v>
      </c>
      <c r="BI1201">
        <f ca="1" xml:space="preserve"> IF( AND( OFFSET($A$1, 1201 - 1, 59 - 1) = "1", OFFSET($A$1, 1201 - 1, 60 - 1) = "1" ), 1, IF( AND( OFFSET($A$1, 1201 - 1, 59 - 1) = "1", OFFSET($A$1, 1201 - 1, 60 - 1) = "0" ), 2, IF( AND( OFFSET($A$1, 1201 - 1, 59 - 1) = "0", OFFSET($A$1, 1201 - 1, 60 - 1) = "1" ), 3, 4 ) ) )</f>
        <v>2</v>
      </c>
    </row>
    <row r="1202" spans="58:61" x14ac:dyDescent="0.2">
      <c r="BF1202" s="3">
        <v>3.7037037037037042E-2</v>
      </c>
      <c r="BG1202" s="3" t="str">
        <f>"1"</f>
        <v>1</v>
      </c>
      <c r="BH1202" t="str">
        <f ca="1">IF((OFFSET($A$1, 1202 - 1, 58 - 1)) &gt;= (OFFSET($A$1, 96 - 1, 7 - 1)), "1","0")</f>
        <v>0</v>
      </c>
      <c r="BI1202">
        <f ca="1" xml:space="preserve"> IF( AND( OFFSET($A$1, 1202 - 1, 59 - 1) = "1", OFFSET($A$1, 1202 - 1, 60 - 1) = "1" ), 1, IF( AND( OFFSET($A$1, 1202 - 1, 59 - 1) = "1", OFFSET($A$1, 1202 - 1, 60 - 1) = "0" ), 2, IF( AND( OFFSET($A$1, 1202 - 1, 59 - 1) = "0", OFFSET($A$1, 1202 - 1, 60 - 1) = "1" ), 3, 4 ) ) )</f>
        <v>2</v>
      </c>
    </row>
    <row r="1203" spans="58:61" x14ac:dyDescent="0.2">
      <c r="BF1203" s="3">
        <v>0</v>
      </c>
      <c r="BG1203" s="3" t="str">
        <f>"0"</f>
        <v>0</v>
      </c>
      <c r="BH1203" t="str">
        <f ca="1">IF((OFFSET($A$1, 1203 - 1, 58 - 1)) &gt;= (OFFSET($A$1, 96 - 1, 7 - 1)), "1","0")</f>
        <v>0</v>
      </c>
      <c r="BI1203">
        <f ca="1" xml:space="preserve"> IF( AND( OFFSET($A$1, 1203 - 1, 59 - 1) = "1", OFFSET($A$1, 1203 - 1, 60 - 1) = "1" ), 1, IF( AND( OFFSET($A$1, 1203 - 1, 59 - 1) = "1", OFFSET($A$1, 1203 - 1, 60 - 1) = "0" ), 2, IF( AND( OFFSET($A$1, 1203 - 1, 59 - 1) = "0", OFFSET($A$1, 1203 - 1, 60 - 1) = "1" ), 3, 4 ) ) )</f>
        <v>4</v>
      </c>
    </row>
    <row r="1204" spans="58:61" x14ac:dyDescent="0.2">
      <c r="BF1204" s="3">
        <v>0</v>
      </c>
      <c r="BG1204" s="3" t="str">
        <f>"0"</f>
        <v>0</v>
      </c>
      <c r="BH1204" t="str">
        <f ca="1">IF((OFFSET($A$1, 1204 - 1, 58 - 1)) &gt;= (OFFSET($A$1, 96 - 1, 7 - 1)), "1","0")</f>
        <v>0</v>
      </c>
      <c r="BI1204">
        <f ca="1" xml:space="preserve"> IF( AND( OFFSET($A$1, 1204 - 1, 59 - 1) = "1", OFFSET($A$1, 1204 - 1, 60 - 1) = "1" ), 1, IF( AND( OFFSET($A$1, 1204 - 1, 59 - 1) = "1", OFFSET($A$1, 1204 - 1, 60 - 1) = "0" ), 2, IF( AND( OFFSET($A$1, 1204 - 1, 59 - 1) = "0", OFFSET($A$1, 1204 - 1, 60 - 1) = "1" ), 3, 4 ) ) )</f>
        <v>4</v>
      </c>
    </row>
    <row r="1205" spans="58:61" x14ac:dyDescent="0.2">
      <c r="BF1205" s="3">
        <v>0</v>
      </c>
      <c r="BG1205" s="3" t="str">
        <f>"0"</f>
        <v>0</v>
      </c>
      <c r="BH1205" t="str">
        <f ca="1">IF((OFFSET($A$1, 1205 - 1, 58 - 1)) &gt;= (OFFSET($A$1, 96 - 1, 7 - 1)), "1","0")</f>
        <v>0</v>
      </c>
      <c r="BI1205">
        <f ca="1" xml:space="preserve"> IF( AND( OFFSET($A$1, 1205 - 1, 59 - 1) = "1", OFFSET($A$1, 1205 - 1, 60 - 1) = "1" ), 1, IF( AND( OFFSET($A$1, 1205 - 1, 59 - 1) = "1", OFFSET($A$1, 1205 - 1, 60 - 1) = "0" ), 2, IF( AND( OFFSET($A$1, 1205 - 1, 59 - 1) = "0", OFFSET($A$1, 1205 - 1, 60 - 1) = "1" ), 3, 4 ) ) )</f>
        <v>4</v>
      </c>
    </row>
    <row r="1206" spans="58:61" x14ac:dyDescent="0.2">
      <c r="BF1206" s="3">
        <v>0.38775510204081637</v>
      </c>
      <c r="BG1206" s="3" t="str">
        <f>"1"</f>
        <v>1</v>
      </c>
      <c r="BH1206" t="str">
        <f ca="1">IF((OFFSET($A$1, 1206 - 1, 58 - 1)) &gt;= (OFFSET($A$1, 96 - 1, 7 - 1)), "1","0")</f>
        <v>0</v>
      </c>
      <c r="BI1206">
        <f ca="1" xml:space="preserve"> IF( AND( OFFSET($A$1, 1206 - 1, 59 - 1) = "1", OFFSET($A$1, 1206 - 1, 60 - 1) = "1" ), 1, IF( AND( OFFSET($A$1, 1206 - 1, 59 - 1) = "1", OFFSET($A$1, 1206 - 1, 60 - 1) = "0" ), 2, IF( AND( OFFSET($A$1, 1206 - 1, 59 - 1) = "0", OFFSET($A$1, 1206 - 1, 60 - 1) = "1" ), 3, 4 ) ) )</f>
        <v>2</v>
      </c>
    </row>
    <row r="1207" spans="58:61" x14ac:dyDescent="0.2">
      <c r="BF1207" s="3">
        <v>0</v>
      </c>
      <c r="BG1207" s="3" t="str">
        <f>"0"</f>
        <v>0</v>
      </c>
      <c r="BH1207" t="str">
        <f ca="1">IF((OFFSET($A$1, 1207 - 1, 58 - 1)) &gt;= (OFFSET($A$1, 96 - 1, 7 - 1)), "1","0")</f>
        <v>0</v>
      </c>
      <c r="BI1207">
        <f ca="1" xml:space="preserve"> IF( AND( OFFSET($A$1, 1207 - 1, 59 - 1) = "1", OFFSET($A$1, 1207 - 1, 60 - 1) = "1" ), 1, IF( AND( OFFSET($A$1, 1207 - 1, 59 - 1) = "1", OFFSET($A$1, 1207 - 1, 60 - 1) = "0" ), 2, IF( AND( OFFSET($A$1, 1207 - 1, 59 - 1) = "0", OFFSET($A$1, 1207 - 1, 60 - 1) = "1" ), 3, 4 ) ) )</f>
        <v>4</v>
      </c>
    </row>
    <row r="1208" spans="58:61" x14ac:dyDescent="0.2">
      <c r="BF1208" s="3">
        <v>0.36</v>
      </c>
      <c r="BG1208" s="3" t="str">
        <f>"1"</f>
        <v>1</v>
      </c>
      <c r="BH1208" t="str">
        <f ca="1">IF((OFFSET($A$1, 1208 - 1, 58 - 1)) &gt;= (OFFSET($A$1, 96 - 1, 7 - 1)), "1","0")</f>
        <v>0</v>
      </c>
      <c r="BI1208">
        <f ca="1" xml:space="preserve"> IF( AND( OFFSET($A$1, 1208 - 1, 59 - 1) = "1", OFFSET($A$1, 1208 - 1, 60 - 1) = "1" ), 1, IF( AND( OFFSET($A$1, 1208 - 1, 59 - 1) = "1", OFFSET($A$1, 1208 - 1, 60 - 1) = "0" ), 2, IF( AND( OFFSET($A$1, 1208 - 1, 59 - 1) = "0", OFFSET($A$1, 1208 - 1, 60 - 1) = "1" ), 3, 4 ) ) )</f>
        <v>2</v>
      </c>
    </row>
    <row r="1209" spans="58:61" x14ac:dyDescent="0.2">
      <c r="BF1209" s="3">
        <v>0</v>
      </c>
      <c r="BG1209" s="3" t="str">
        <f t="shared" ref="BG1209:BG1215" si="126">"0"</f>
        <v>0</v>
      </c>
      <c r="BH1209" t="str">
        <f ca="1">IF((OFFSET($A$1, 1209 - 1, 58 - 1)) &gt;= (OFFSET($A$1, 96 - 1, 7 - 1)), "1","0")</f>
        <v>0</v>
      </c>
      <c r="BI1209">
        <f ca="1" xml:space="preserve"> IF( AND( OFFSET($A$1, 1209 - 1, 59 - 1) = "1", OFFSET($A$1, 1209 - 1, 60 - 1) = "1" ), 1, IF( AND( OFFSET($A$1, 1209 - 1, 59 - 1) = "1", OFFSET($A$1, 1209 - 1, 60 - 1) = "0" ), 2, IF( AND( OFFSET($A$1, 1209 - 1, 59 - 1) = "0", OFFSET($A$1, 1209 - 1, 60 - 1) = "1" ), 3, 4 ) ) )</f>
        <v>4</v>
      </c>
    </row>
    <row r="1210" spans="58:61" x14ac:dyDescent="0.2">
      <c r="BF1210" s="3">
        <v>0</v>
      </c>
      <c r="BG1210" s="3" t="str">
        <f t="shared" si="126"/>
        <v>0</v>
      </c>
      <c r="BH1210" t="str">
        <f ca="1">IF((OFFSET($A$1, 1210 - 1, 58 - 1)) &gt;= (OFFSET($A$1, 96 - 1, 7 - 1)), "1","0")</f>
        <v>0</v>
      </c>
      <c r="BI1210">
        <f ca="1" xml:space="preserve"> IF( AND( OFFSET($A$1, 1210 - 1, 59 - 1) = "1", OFFSET($A$1, 1210 - 1, 60 - 1) = "1" ), 1, IF( AND( OFFSET($A$1, 1210 - 1, 59 - 1) = "1", OFFSET($A$1, 1210 - 1, 60 - 1) = "0" ), 2, IF( AND( OFFSET($A$1, 1210 - 1, 59 - 1) = "0", OFFSET($A$1, 1210 - 1, 60 - 1) = "1" ), 3, 4 ) ) )</f>
        <v>4</v>
      </c>
    </row>
    <row r="1211" spans="58:61" x14ac:dyDescent="0.2">
      <c r="BF1211" s="3">
        <v>0.34722222222222221</v>
      </c>
      <c r="BG1211" s="3" t="str">
        <f t="shared" si="126"/>
        <v>0</v>
      </c>
      <c r="BH1211" t="str">
        <f ca="1">IF((OFFSET($A$1, 1211 - 1, 58 - 1)) &gt;= (OFFSET($A$1, 96 - 1, 7 - 1)), "1","0")</f>
        <v>0</v>
      </c>
      <c r="BI1211">
        <f ca="1" xml:space="preserve"> IF( AND( OFFSET($A$1, 1211 - 1, 59 - 1) = "1", OFFSET($A$1, 1211 - 1, 60 - 1) = "1" ), 1, IF( AND( OFFSET($A$1, 1211 - 1, 59 - 1) = "1", OFFSET($A$1, 1211 - 1, 60 - 1) = "0" ), 2, IF( AND( OFFSET($A$1, 1211 - 1, 59 - 1) = "0", OFFSET($A$1, 1211 - 1, 60 - 1) = "1" ), 3, 4 ) ) )</f>
        <v>4</v>
      </c>
    </row>
    <row r="1212" spans="58:61" x14ac:dyDescent="0.2">
      <c r="BF1212" s="3">
        <v>0</v>
      </c>
      <c r="BG1212" s="3" t="str">
        <f t="shared" si="126"/>
        <v>0</v>
      </c>
      <c r="BH1212" t="str">
        <f ca="1">IF((OFFSET($A$1, 1212 - 1, 58 - 1)) &gt;= (OFFSET($A$1, 96 - 1, 7 - 1)), "1","0")</f>
        <v>0</v>
      </c>
      <c r="BI1212">
        <f ca="1" xml:space="preserve"> IF( AND( OFFSET($A$1, 1212 - 1, 59 - 1) = "1", OFFSET($A$1, 1212 - 1, 60 - 1) = "1" ), 1, IF( AND( OFFSET($A$1, 1212 - 1, 59 - 1) = "1", OFFSET($A$1, 1212 - 1, 60 - 1) = "0" ), 2, IF( AND( OFFSET($A$1, 1212 - 1, 59 - 1) = "0", OFFSET($A$1, 1212 - 1, 60 - 1) = "1" ), 3, 4 ) ) )</f>
        <v>4</v>
      </c>
    </row>
    <row r="1213" spans="58:61" x14ac:dyDescent="0.2">
      <c r="BF1213" s="3">
        <v>0.90579710144927539</v>
      </c>
      <c r="BG1213" s="3" t="str">
        <f t="shared" si="126"/>
        <v>0</v>
      </c>
      <c r="BH1213" t="str">
        <f ca="1">IF((OFFSET($A$1, 1213 - 1, 58 - 1)) &gt;= (OFFSET($A$1, 96 - 1, 7 - 1)), "1","0")</f>
        <v>1</v>
      </c>
      <c r="BI1213">
        <f ca="1" xml:space="preserve"> IF( AND( OFFSET($A$1, 1213 - 1, 59 - 1) = "1", OFFSET($A$1, 1213 - 1, 60 - 1) = "1" ), 1, IF( AND( OFFSET($A$1, 1213 - 1, 59 - 1) = "1", OFFSET($A$1, 1213 - 1, 60 - 1) = "0" ), 2, IF( AND( OFFSET($A$1, 1213 - 1, 59 - 1) = "0", OFFSET($A$1, 1213 - 1, 60 - 1) = "1" ), 3, 4 ) ) )</f>
        <v>3</v>
      </c>
    </row>
    <row r="1214" spans="58:61" x14ac:dyDescent="0.2">
      <c r="BF1214" s="3">
        <v>0</v>
      </c>
      <c r="BG1214" s="3" t="str">
        <f t="shared" si="126"/>
        <v>0</v>
      </c>
      <c r="BH1214" t="str">
        <f ca="1">IF((OFFSET($A$1, 1214 - 1, 58 - 1)) &gt;= (OFFSET($A$1, 96 - 1, 7 - 1)), "1","0")</f>
        <v>0</v>
      </c>
      <c r="BI1214">
        <f ca="1" xml:space="preserve"> IF( AND( OFFSET($A$1, 1214 - 1, 59 - 1) = "1", OFFSET($A$1, 1214 - 1, 60 - 1) = "1" ), 1, IF( AND( OFFSET($A$1, 1214 - 1, 59 - 1) = "1", OFFSET($A$1, 1214 - 1, 60 - 1) = "0" ), 2, IF( AND( OFFSET($A$1, 1214 - 1, 59 - 1) = "0", OFFSET($A$1, 1214 - 1, 60 - 1) = "1" ), 3, 4 ) ) )</f>
        <v>4</v>
      </c>
    </row>
    <row r="1215" spans="58:61" x14ac:dyDescent="0.2">
      <c r="BF1215" s="3">
        <v>0</v>
      </c>
      <c r="BG1215" s="3" t="str">
        <f t="shared" si="126"/>
        <v>0</v>
      </c>
      <c r="BH1215" t="str">
        <f ca="1">IF((OFFSET($A$1, 1215 - 1, 58 - 1)) &gt;= (OFFSET($A$1, 96 - 1, 7 - 1)), "1","0")</f>
        <v>0</v>
      </c>
      <c r="BI1215">
        <f ca="1" xml:space="preserve"> IF( AND( OFFSET($A$1, 1215 - 1, 59 - 1) = "1", OFFSET($A$1, 1215 - 1, 60 - 1) = "1" ), 1, IF( AND( OFFSET($A$1, 1215 - 1, 59 - 1) = "1", OFFSET($A$1, 1215 - 1, 60 - 1) = "0" ), 2, IF( AND( OFFSET($A$1, 1215 - 1, 59 - 1) = "0", OFFSET($A$1, 1215 - 1, 60 - 1) = "1" ), 3, 4 ) ) )</f>
        <v>4</v>
      </c>
    </row>
    <row r="1216" spans="58:61" x14ac:dyDescent="0.2">
      <c r="BF1216" s="3">
        <v>0.38775510204081637</v>
      </c>
      <c r="BG1216" s="3" t="str">
        <f>"1"</f>
        <v>1</v>
      </c>
      <c r="BH1216" t="str">
        <f ca="1">IF((OFFSET($A$1, 1216 - 1, 58 - 1)) &gt;= (OFFSET($A$1, 96 - 1, 7 - 1)), "1","0")</f>
        <v>0</v>
      </c>
      <c r="BI1216">
        <f ca="1" xml:space="preserve"> IF( AND( OFFSET($A$1, 1216 - 1, 59 - 1) = "1", OFFSET($A$1, 1216 - 1, 60 - 1) = "1" ), 1, IF( AND( OFFSET($A$1, 1216 - 1, 59 - 1) = "1", OFFSET($A$1, 1216 - 1, 60 - 1) = "0" ), 2, IF( AND( OFFSET($A$1, 1216 - 1, 59 - 1) = "0", OFFSET($A$1, 1216 - 1, 60 - 1) = "1" ), 3, 4 ) ) )</f>
        <v>2</v>
      </c>
    </row>
    <row r="1217" spans="58:61" x14ac:dyDescent="0.2">
      <c r="BF1217" s="3">
        <v>0</v>
      </c>
      <c r="BG1217" s="3" t="str">
        <f>"0"</f>
        <v>0</v>
      </c>
      <c r="BH1217" t="str">
        <f ca="1">IF((OFFSET($A$1, 1217 - 1, 58 - 1)) &gt;= (OFFSET($A$1, 96 - 1, 7 - 1)), "1","0")</f>
        <v>0</v>
      </c>
      <c r="BI1217">
        <f ca="1" xml:space="preserve"> IF( AND( OFFSET($A$1, 1217 - 1, 59 - 1) = "1", OFFSET($A$1, 1217 - 1, 60 - 1) = "1" ), 1, IF( AND( OFFSET($A$1, 1217 - 1, 59 - 1) = "1", OFFSET($A$1, 1217 - 1, 60 - 1) = "0" ), 2, IF( AND( OFFSET($A$1, 1217 - 1, 59 - 1) = "0", OFFSET($A$1, 1217 - 1, 60 - 1) = "1" ), 3, 4 ) ) )</f>
        <v>4</v>
      </c>
    </row>
    <row r="1218" spans="58:61" x14ac:dyDescent="0.2">
      <c r="BF1218" s="3">
        <v>0.90579710144927539</v>
      </c>
      <c r="BG1218" s="3" t="str">
        <f>"1"</f>
        <v>1</v>
      </c>
      <c r="BH1218" t="str">
        <f ca="1">IF((OFFSET($A$1, 1218 - 1, 58 - 1)) &gt;= (OFFSET($A$1, 96 - 1, 7 - 1)), "1","0")</f>
        <v>1</v>
      </c>
      <c r="BI1218">
        <f ca="1" xml:space="preserve"> IF( AND( OFFSET($A$1, 1218 - 1, 59 - 1) = "1", OFFSET($A$1, 1218 - 1, 60 - 1) = "1" ), 1, IF( AND( OFFSET($A$1, 1218 - 1, 59 - 1) = "1", OFFSET($A$1, 1218 - 1, 60 - 1) = "0" ), 2, IF( AND( OFFSET($A$1, 1218 - 1, 59 - 1) = "0", OFFSET($A$1, 1218 - 1, 60 - 1) = "1" ), 3, 4 ) ) )</f>
        <v>1</v>
      </c>
    </row>
    <row r="1219" spans="58:61" x14ac:dyDescent="0.2">
      <c r="BF1219" s="3">
        <v>0.90579710144927539</v>
      </c>
      <c r="BG1219" s="3" t="str">
        <f>"1"</f>
        <v>1</v>
      </c>
      <c r="BH1219" t="str">
        <f ca="1">IF((OFFSET($A$1, 1219 - 1, 58 - 1)) &gt;= (OFFSET($A$1, 96 - 1, 7 - 1)), "1","0")</f>
        <v>1</v>
      </c>
      <c r="BI1219">
        <f ca="1" xml:space="preserve"> IF( AND( OFFSET($A$1, 1219 - 1, 59 - 1) = "1", OFFSET($A$1, 1219 - 1, 60 - 1) = "1" ), 1, IF( AND( OFFSET($A$1, 1219 - 1, 59 - 1) = "1", OFFSET($A$1, 1219 - 1, 60 - 1) = "0" ), 2, IF( AND( OFFSET($A$1, 1219 - 1, 59 - 1) = "0", OFFSET($A$1, 1219 - 1, 60 - 1) = "1" ), 3, 4 ) ) )</f>
        <v>1</v>
      </c>
    </row>
    <row r="1220" spans="58:61" x14ac:dyDescent="0.2">
      <c r="BF1220" s="3">
        <v>0.90579710144927539</v>
      </c>
      <c r="BG1220" s="3" t="str">
        <f>"1"</f>
        <v>1</v>
      </c>
      <c r="BH1220" t="str">
        <f ca="1">IF((OFFSET($A$1, 1220 - 1, 58 - 1)) &gt;= (OFFSET($A$1, 96 - 1, 7 - 1)), "1","0")</f>
        <v>1</v>
      </c>
      <c r="BI1220">
        <f ca="1" xml:space="preserve"> IF( AND( OFFSET($A$1, 1220 - 1, 59 - 1) = "1", OFFSET($A$1, 1220 - 1, 60 - 1) = "1" ), 1, IF( AND( OFFSET($A$1, 1220 - 1, 59 - 1) = "1", OFFSET($A$1, 1220 - 1, 60 - 1) = "0" ), 2, IF( AND( OFFSET($A$1, 1220 - 1, 59 - 1) = "0", OFFSET($A$1, 1220 - 1, 60 - 1) = "1" ), 3, 4 ) ) )</f>
        <v>1</v>
      </c>
    </row>
    <row r="1221" spans="58:61" x14ac:dyDescent="0.2">
      <c r="BF1221" s="3">
        <v>0.36</v>
      </c>
      <c r="BG1221" s="3" t="str">
        <f>"1"</f>
        <v>1</v>
      </c>
      <c r="BH1221" t="str">
        <f ca="1">IF((OFFSET($A$1, 1221 - 1, 58 - 1)) &gt;= (OFFSET($A$1, 96 - 1, 7 - 1)), "1","0")</f>
        <v>0</v>
      </c>
      <c r="BI1221">
        <f ca="1" xml:space="preserve"> IF( AND( OFFSET($A$1, 1221 - 1, 59 - 1) = "1", OFFSET($A$1, 1221 - 1, 60 - 1) = "1" ), 1, IF( AND( OFFSET($A$1, 1221 - 1, 59 - 1) = "1", OFFSET($A$1, 1221 - 1, 60 - 1) = "0" ), 2, IF( AND( OFFSET($A$1, 1221 - 1, 59 - 1) = "0", OFFSET($A$1, 1221 - 1, 60 - 1) = "1" ), 3, 4 ) ) )</f>
        <v>2</v>
      </c>
    </row>
    <row r="1222" spans="58:61" x14ac:dyDescent="0.2">
      <c r="BF1222" s="3">
        <v>0.36</v>
      </c>
      <c r="BG1222" s="3" t="str">
        <f>"0"</f>
        <v>0</v>
      </c>
      <c r="BH1222" t="str">
        <f ca="1">IF((OFFSET($A$1, 1222 - 1, 58 - 1)) &gt;= (OFFSET($A$1, 96 - 1, 7 - 1)), "1","0")</f>
        <v>0</v>
      </c>
      <c r="BI1222">
        <f ca="1" xml:space="preserve"> IF( AND( OFFSET($A$1, 1222 - 1, 59 - 1) = "1", OFFSET($A$1, 1222 - 1, 60 - 1) = "1" ), 1, IF( AND( OFFSET($A$1, 1222 - 1, 59 - 1) = "1", OFFSET($A$1, 1222 - 1, 60 - 1) = "0" ), 2, IF( AND( OFFSET($A$1, 1222 - 1, 59 - 1) = "0", OFFSET($A$1, 1222 - 1, 60 - 1) = "1" ), 3, 4 ) ) )</f>
        <v>4</v>
      </c>
    </row>
    <row r="1223" spans="58:61" x14ac:dyDescent="0.2">
      <c r="BF1223" s="3">
        <v>3.7037037037037042E-2</v>
      </c>
      <c r="BG1223" s="3" t="str">
        <f>"0"</f>
        <v>0</v>
      </c>
      <c r="BH1223" t="str">
        <f ca="1">IF((OFFSET($A$1, 1223 - 1, 58 - 1)) &gt;= (OFFSET($A$1, 96 - 1, 7 - 1)), "1","0")</f>
        <v>0</v>
      </c>
      <c r="BI1223">
        <f ca="1" xml:space="preserve"> IF( AND( OFFSET($A$1, 1223 - 1, 59 - 1) = "1", OFFSET($A$1, 1223 - 1, 60 - 1) = "1" ), 1, IF( AND( OFFSET($A$1, 1223 - 1, 59 - 1) = "1", OFFSET($A$1, 1223 - 1, 60 - 1) = "0" ), 2, IF( AND( OFFSET($A$1, 1223 - 1, 59 - 1) = "0", OFFSET($A$1, 1223 - 1, 60 - 1) = "1" ), 3, 4 ) ) )</f>
        <v>4</v>
      </c>
    </row>
    <row r="1224" spans="58:61" x14ac:dyDescent="0.2">
      <c r="BF1224" s="3">
        <v>0.90579710144927539</v>
      </c>
      <c r="BG1224" s="3" t="str">
        <f>"1"</f>
        <v>1</v>
      </c>
      <c r="BH1224" t="str">
        <f ca="1">IF((OFFSET($A$1, 1224 - 1, 58 - 1)) &gt;= (OFFSET($A$1, 96 - 1, 7 - 1)), "1","0")</f>
        <v>1</v>
      </c>
      <c r="BI1224">
        <f ca="1" xml:space="preserve"> IF( AND( OFFSET($A$1, 1224 - 1, 59 - 1) = "1", OFFSET($A$1, 1224 - 1, 60 - 1) = "1" ), 1, IF( AND( OFFSET($A$1, 1224 - 1, 59 - 1) = "1", OFFSET($A$1, 1224 - 1, 60 - 1) = "0" ), 2, IF( AND( OFFSET($A$1, 1224 - 1, 59 - 1) = "0", OFFSET($A$1, 1224 - 1, 60 - 1) = "1" ), 3, 4 ) ) )</f>
        <v>1</v>
      </c>
    </row>
    <row r="1225" spans="58:61" x14ac:dyDescent="0.2">
      <c r="BF1225" s="3">
        <v>0</v>
      </c>
      <c r="BG1225" s="3" t="str">
        <f>"0"</f>
        <v>0</v>
      </c>
      <c r="BH1225" t="str">
        <f ca="1">IF((OFFSET($A$1, 1225 - 1, 58 - 1)) &gt;= (OFFSET($A$1, 96 - 1, 7 - 1)), "1","0")</f>
        <v>0</v>
      </c>
      <c r="BI1225">
        <f ca="1" xml:space="preserve"> IF( AND( OFFSET($A$1, 1225 - 1, 59 - 1) = "1", OFFSET($A$1, 1225 - 1, 60 - 1) = "1" ), 1, IF( AND( OFFSET($A$1, 1225 - 1, 59 - 1) = "1", OFFSET($A$1, 1225 - 1, 60 - 1) = "0" ), 2, IF( AND( OFFSET($A$1, 1225 - 1, 59 - 1) = "0", OFFSET($A$1, 1225 - 1, 60 - 1) = "1" ), 3, 4 ) ) )</f>
        <v>4</v>
      </c>
    </row>
    <row r="1226" spans="58:61" x14ac:dyDescent="0.2">
      <c r="BF1226" s="3">
        <v>0.34722222222222221</v>
      </c>
      <c r="BG1226" s="3" t="str">
        <f>"0"</f>
        <v>0</v>
      </c>
      <c r="BH1226" t="str">
        <f ca="1">IF((OFFSET($A$1, 1226 - 1, 58 - 1)) &gt;= (OFFSET($A$1, 96 - 1, 7 - 1)), "1","0")</f>
        <v>0</v>
      </c>
      <c r="BI1226">
        <f ca="1" xml:space="preserve"> IF( AND( OFFSET($A$1, 1226 - 1, 59 - 1) = "1", OFFSET($A$1, 1226 - 1, 60 - 1) = "1" ), 1, IF( AND( OFFSET($A$1, 1226 - 1, 59 - 1) = "1", OFFSET($A$1, 1226 - 1, 60 - 1) = "0" ), 2, IF( AND( OFFSET($A$1, 1226 - 1, 59 - 1) = "0", OFFSET($A$1, 1226 - 1, 60 - 1) = "1" ), 3, 4 ) ) )</f>
        <v>4</v>
      </c>
    </row>
    <row r="1227" spans="58:61" x14ac:dyDescent="0.2">
      <c r="BF1227" s="3">
        <v>0.1081081081081081</v>
      </c>
      <c r="BG1227" s="3" t="str">
        <f>"0"</f>
        <v>0</v>
      </c>
      <c r="BH1227" t="str">
        <f ca="1">IF((OFFSET($A$1, 1227 - 1, 58 - 1)) &gt;= (OFFSET($A$1, 96 - 1, 7 - 1)), "1","0")</f>
        <v>0</v>
      </c>
      <c r="BI1227">
        <f ca="1" xml:space="preserve"> IF( AND( OFFSET($A$1, 1227 - 1, 59 - 1) = "1", OFFSET($A$1, 1227 - 1, 60 - 1) = "1" ), 1, IF( AND( OFFSET($A$1, 1227 - 1, 59 - 1) = "1", OFFSET($A$1, 1227 - 1, 60 - 1) = "0" ), 2, IF( AND( OFFSET($A$1, 1227 - 1, 59 - 1) = "0", OFFSET($A$1, 1227 - 1, 60 - 1) = "1" ), 3, 4 ) ) )</f>
        <v>4</v>
      </c>
    </row>
    <row r="1228" spans="58:61" x14ac:dyDescent="0.2">
      <c r="BF1228" s="3">
        <v>0.38775510204081637</v>
      </c>
      <c r="BG1228" s="3" t="str">
        <f>"1"</f>
        <v>1</v>
      </c>
      <c r="BH1228" t="str">
        <f ca="1">IF((OFFSET($A$1, 1228 - 1, 58 - 1)) &gt;= (OFFSET($A$1, 96 - 1, 7 - 1)), "1","0")</f>
        <v>0</v>
      </c>
      <c r="BI1228">
        <f ca="1" xml:space="preserve"> IF( AND( OFFSET($A$1, 1228 - 1, 59 - 1) = "1", OFFSET($A$1, 1228 - 1, 60 - 1) = "1" ), 1, IF( AND( OFFSET($A$1, 1228 - 1, 59 - 1) = "1", OFFSET($A$1, 1228 - 1, 60 - 1) = "0" ), 2, IF( AND( OFFSET($A$1, 1228 - 1, 59 - 1) = "0", OFFSET($A$1, 1228 - 1, 60 - 1) = "1" ), 3, 4 ) ) )</f>
        <v>2</v>
      </c>
    </row>
    <row r="1229" spans="58:61" x14ac:dyDescent="0.2">
      <c r="BF1229" s="3">
        <v>0</v>
      </c>
      <c r="BG1229" s="3" t="str">
        <f>"0"</f>
        <v>0</v>
      </c>
      <c r="BH1229" t="str">
        <f ca="1">IF((OFFSET($A$1, 1229 - 1, 58 - 1)) &gt;= (OFFSET($A$1, 96 - 1, 7 - 1)), "1","0")</f>
        <v>0</v>
      </c>
      <c r="BI1229">
        <f ca="1" xml:space="preserve"> IF( AND( OFFSET($A$1, 1229 - 1, 59 - 1) = "1", OFFSET($A$1, 1229 - 1, 60 - 1) = "1" ), 1, IF( AND( OFFSET($A$1, 1229 - 1, 59 - 1) = "1", OFFSET($A$1, 1229 - 1, 60 - 1) = "0" ), 2, IF( AND( OFFSET($A$1, 1229 - 1, 59 - 1) = "0", OFFSET($A$1, 1229 - 1, 60 - 1) = "1" ), 3, 4 ) ) )</f>
        <v>4</v>
      </c>
    </row>
    <row r="1230" spans="58:61" x14ac:dyDescent="0.2">
      <c r="BF1230" s="3">
        <v>0</v>
      </c>
      <c r="BG1230" s="3" t="str">
        <f>"0"</f>
        <v>0</v>
      </c>
      <c r="BH1230" t="str">
        <f ca="1">IF((OFFSET($A$1, 1230 - 1, 58 - 1)) &gt;= (OFFSET($A$1, 96 - 1, 7 - 1)), "1","0")</f>
        <v>0</v>
      </c>
      <c r="BI1230">
        <f ca="1" xml:space="preserve"> IF( AND( OFFSET($A$1, 1230 - 1, 59 - 1) = "1", OFFSET($A$1, 1230 - 1, 60 - 1) = "1" ), 1, IF( AND( OFFSET($A$1, 1230 - 1, 59 - 1) = "1", OFFSET($A$1, 1230 - 1, 60 - 1) = "0" ), 2, IF( AND( OFFSET($A$1, 1230 - 1, 59 - 1) = "0", OFFSET($A$1, 1230 - 1, 60 - 1) = "1" ), 3, 4 ) ) )</f>
        <v>4</v>
      </c>
    </row>
    <row r="1231" spans="58:61" x14ac:dyDescent="0.2">
      <c r="BF1231" s="3">
        <v>0.47692307692307689</v>
      </c>
      <c r="BG1231" s="3" t="str">
        <f>"0"</f>
        <v>0</v>
      </c>
      <c r="BH1231" t="str">
        <f ca="1">IF((OFFSET($A$1, 1231 - 1, 58 - 1)) &gt;= (OFFSET($A$1, 96 - 1, 7 - 1)), "1","0")</f>
        <v>0</v>
      </c>
      <c r="BI1231">
        <f ca="1" xml:space="preserve"> IF( AND( OFFSET($A$1, 1231 - 1, 59 - 1) = "1", OFFSET($A$1, 1231 - 1, 60 - 1) = "1" ), 1, IF( AND( OFFSET($A$1, 1231 - 1, 59 - 1) = "1", OFFSET($A$1, 1231 - 1, 60 - 1) = "0" ), 2, IF( AND( OFFSET($A$1, 1231 - 1, 59 - 1) = "0", OFFSET($A$1, 1231 - 1, 60 - 1) = "1" ), 3, 4 ) ) )</f>
        <v>4</v>
      </c>
    </row>
    <row r="1232" spans="58:61" x14ac:dyDescent="0.2">
      <c r="BF1232" s="3">
        <v>0.1081081081081081</v>
      </c>
      <c r="BG1232" s="3" t="str">
        <f>"1"</f>
        <v>1</v>
      </c>
      <c r="BH1232" t="str">
        <f ca="1">IF((OFFSET($A$1, 1232 - 1, 58 - 1)) &gt;= (OFFSET($A$1, 96 - 1, 7 - 1)), "1","0")</f>
        <v>0</v>
      </c>
      <c r="BI1232">
        <f ca="1" xml:space="preserve"> IF( AND( OFFSET($A$1, 1232 - 1, 59 - 1) = "1", OFFSET($A$1, 1232 - 1, 60 - 1) = "1" ), 1, IF( AND( OFFSET($A$1, 1232 - 1, 59 - 1) = "1", OFFSET($A$1, 1232 - 1, 60 - 1) = "0" ), 2, IF( AND( OFFSET($A$1, 1232 - 1, 59 - 1) = "0", OFFSET($A$1, 1232 - 1, 60 - 1) = "1" ), 3, 4 ) ) )</f>
        <v>2</v>
      </c>
    </row>
    <row r="1233" spans="58:61" x14ac:dyDescent="0.2">
      <c r="BF1233" s="3">
        <v>0.47692307692307689</v>
      </c>
      <c r="BG1233" s="3" t="str">
        <f t="shared" ref="BG1233:BG1240" si="127">"0"</f>
        <v>0</v>
      </c>
      <c r="BH1233" t="str">
        <f ca="1">IF((OFFSET($A$1, 1233 - 1, 58 - 1)) &gt;= (OFFSET($A$1, 96 - 1, 7 - 1)), "1","0")</f>
        <v>0</v>
      </c>
      <c r="BI1233">
        <f ca="1" xml:space="preserve"> IF( AND( OFFSET($A$1, 1233 - 1, 59 - 1) = "1", OFFSET($A$1, 1233 - 1, 60 - 1) = "1" ), 1, IF( AND( OFFSET($A$1, 1233 - 1, 59 - 1) = "1", OFFSET($A$1, 1233 - 1, 60 - 1) = "0" ), 2, IF( AND( OFFSET($A$1, 1233 - 1, 59 - 1) = "0", OFFSET($A$1, 1233 - 1, 60 - 1) = "1" ), 3, 4 ) ) )</f>
        <v>4</v>
      </c>
    </row>
    <row r="1234" spans="58:61" x14ac:dyDescent="0.2">
      <c r="BF1234" s="3">
        <v>0</v>
      </c>
      <c r="BG1234" s="3" t="str">
        <f t="shared" si="127"/>
        <v>0</v>
      </c>
      <c r="BH1234" t="str">
        <f ca="1">IF((OFFSET($A$1, 1234 - 1, 58 - 1)) &gt;= (OFFSET($A$1, 96 - 1, 7 - 1)), "1","0")</f>
        <v>0</v>
      </c>
      <c r="BI1234">
        <f ca="1" xml:space="preserve"> IF( AND( OFFSET($A$1, 1234 - 1, 59 - 1) = "1", OFFSET($A$1, 1234 - 1, 60 - 1) = "1" ), 1, IF( AND( OFFSET($A$1, 1234 - 1, 59 - 1) = "1", OFFSET($A$1, 1234 - 1, 60 - 1) = "0" ), 2, IF( AND( OFFSET($A$1, 1234 - 1, 59 - 1) = "0", OFFSET($A$1, 1234 - 1, 60 - 1) = "1" ), 3, 4 ) ) )</f>
        <v>4</v>
      </c>
    </row>
    <row r="1235" spans="58:61" x14ac:dyDescent="0.2">
      <c r="BF1235" s="3">
        <v>0</v>
      </c>
      <c r="BG1235" s="3" t="str">
        <f t="shared" si="127"/>
        <v>0</v>
      </c>
      <c r="BH1235" t="str">
        <f ca="1">IF((OFFSET($A$1, 1235 - 1, 58 - 1)) &gt;= (OFFSET($A$1, 96 - 1, 7 - 1)), "1","0")</f>
        <v>0</v>
      </c>
      <c r="BI1235">
        <f ca="1" xml:space="preserve"> IF( AND( OFFSET($A$1, 1235 - 1, 59 - 1) = "1", OFFSET($A$1, 1235 - 1, 60 - 1) = "1" ), 1, IF( AND( OFFSET($A$1, 1235 - 1, 59 - 1) = "1", OFFSET($A$1, 1235 - 1, 60 - 1) = "0" ), 2, IF( AND( OFFSET($A$1, 1235 - 1, 59 - 1) = "0", OFFSET($A$1, 1235 - 1, 60 - 1) = "1" ), 3, 4 ) ) )</f>
        <v>4</v>
      </c>
    </row>
    <row r="1236" spans="58:61" x14ac:dyDescent="0.2">
      <c r="BF1236" s="3">
        <v>0</v>
      </c>
      <c r="BG1236" s="3" t="str">
        <f t="shared" si="127"/>
        <v>0</v>
      </c>
      <c r="BH1236" t="str">
        <f ca="1">IF((OFFSET($A$1, 1236 - 1, 58 - 1)) &gt;= (OFFSET($A$1, 96 - 1, 7 - 1)), "1","0")</f>
        <v>0</v>
      </c>
      <c r="BI1236">
        <f ca="1" xml:space="preserve"> IF( AND( OFFSET($A$1, 1236 - 1, 59 - 1) = "1", OFFSET($A$1, 1236 - 1, 60 - 1) = "1" ), 1, IF( AND( OFFSET($A$1, 1236 - 1, 59 - 1) = "1", OFFSET($A$1, 1236 - 1, 60 - 1) = "0" ), 2, IF( AND( OFFSET($A$1, 1236 - 1, 59 - 1) = "0", OFFSET($A$1, 1236 - 1, 60 - 1) = "1" ), 3, 4 ) ) )</f>
        <v>4</v>
      </c>
    </row>
    <row r="1237" spans="58:61" x14ac:dyDescent="0.2">
      <c r="BF1237" s="3">
        <v>0</v>
      </c>
      <c r="BG1237" s="3" t="str">
        <f t="shared" si="127"/>
        <v>0</v>
      </c>
      <c r="BH1237" t="str">
        <f ca="1">IF((OFFSET($A$1, 1237 - 1, 58 - 1)) &gt;= (OFFSET($A$1, 96 - 1, 7 - 1)), "1","0")</f>
        <v>0</v>
      </c>
      <c r="BI1237">
        <f ca="1" xml:space="preserve"> IF( AND( OFFSET($A$1, 1237 - 1, 59 - 1) = "1", OFFSET($A$1, 1237 - 1, 60 - 1) = "1" ), 1, IF( AND( OFFSET($A$1, 1237 - 1, 59 - 1) = "1", OFFSET($A$1, 1237 - 1, 60 - 1) = "0" ), 2, IF( AND( OFFSET($A$1, 1237 - 1, 59 - 1) = "0", OFFSET($A$1, 1237 - 1, 60 - 1) = "1" ), 3, 4 ) ) )</f>
        <v>4</v>
      </c>
    </row>
    <row r="1238" spans="58:61" x14ac:dyDescent="0.2">
      <c r="BF1238" s="3">
        <v>0</v>
      </c>
      <c r="BG1238" s="3" t="str">
        <f t="shared" si="127"/>
        <v>0</v>
      </c>
      <c r="BH1238" t="str">
        <f ca="1">IF((OFFSET($A$1, 1238 - 1, 58 - 1)) &gt;= (OFFSET($A$1, 96 - 1, 7 - 1)), "1","0")</f>
        <v>0</v>
      </c>
      <c r="BI1238">
        <f ca="1" xml:space="preserve"> IF( AND( OFFSET($A$1, 1238 - 1, 59 - 1) = "1", OFFSET($A$1, 1238 - 1, 60 - 1) = "1" ), 1, IF( AND( OFFSET($A$1, 1238 - 1, 59 - 1) = "1", OFFSET($A$1, 1238 - 1, 60 - 1) = "0" ), 2, IF( AND( OFFSET($A$1, 1238 - 1, 59 - 1) = "0", OFFSET($A$1, 1238 - 1, 60 - 1) = "1" ), 3, 4 ) ) )</f>
        <v>4</v>
      </c>
    </row>
    <row r="1239" spans="58:61" x14ac:dyDescent="0.2">
      <c r="BF1239" s="3">
        <v>0</v>
      </c>
      <c r="BG1239" s="3" t="str">
        <f t="shared" si="127"/>
        <v>0</v>
      </c>
      <c r="BH1239" t="str">
        <f ca="1">IF((OFFSET($A$1, 1239 - 1, 58 - 1)) &gt;= (OFFSET($A$1, 96 - 1, 7 - 1)), "1","0")</f>
        <v>0</v>
      </c>
      <c r="BI1239">
        <f ca="1" xml:space="preserve"> IF( AND( OFFSET($A$1, 1239 - 1, 59 - 1) = "1", OFFSET($A$1, 1239 - 1, 60 - 1) = "1" ), 1, IF( AND( OFFSET($A$1, 1239 - 1, 59 - 1) = "1", OFFSET($A$1, 1239 - 1, 60 - 1) = "0" ), 2, IF( AND( OFFSET($A$1, 1239 - 1, 59 - 1) = "0", OFFSET($A$1, 1239 - 1, 60 - 1) = "1" ), 3, 4 ) ) )</f>
        <v>4</v>
      </c>
    </row>
    <row r="1240" spans="58:61" x14ac:dyDescent="0.2">
      <c r="BF1240" s="3">
        <v>4.3478260869565216E-2</v>
      </c>
      <c r="BG1240" s="3" t="str">
        <f t="shared" si="127"/>
        <v>0</v>
      </c>
      <c r="BH1240" t="str">
        <f ca="1">IF((OFFSET($A$1, 1240 - 1, 58 - 1)) &gt;= (OFFSET($A$1, 96 - 1, 7 - 1)), "1","0")</f>
        <v>0</v>
      </c>
      <c r="BI1240">
        <f ca="1" xml:space="preserve"> IF( AND( OFFSET($A$1, 1240 - 1, 59 - 1) = "1", OFFSET($A$1, 1240 - 1, 60 - 1) = "1" ), 1, IF( AND( OFFSET($A$1, 1240 - 1, 59 - 1) = "1", OFFSET($A$1, 1240 - 1, 60 - 1) = "0" ), 2, IF( AND( OFFSET($A$1, 1240 - 1, 59 - 1) = "0", OFFSET($A$1, 1240 - 1, 60 - 1) = "1" ), 3, 4 ) ) )</f>
        <v>4</v>
      </c>
    </row>
    <row r="1241" spans="58:61" x14ac:dyDescent="0.2">
      <c r="BF1241" s="3">
        <v>0.08</v>
      </c>
      <c r="BG1241" s="3" t="str">
        <f>"1"</f>
        <v>1</v>
      </c>
      <c r="BH1241" t="str">
        <f ca="1">IF((OFFSET($A$1, 1241 - 1, 58 - 1)) &gt;= (OFFSET($A$1, 96 - 1, 7 - 1)), "1","0")</f>
        <v>0</v>
      </c>
      <c r="BI1241">
        <f ca="1" xml:space="preserve"> IF( AND( OFFSET($A$1, 1241 - 1, 59 - 1) = "1", OFFSET($A$1, 1241 - 1, 60 - 1) = "1" ), 1, IF( AND( OFFSET($A$1, 1241 - 1, 59 - 1) = "1", OFFSET($A$1, 1241 - 1, 60 - 1) = "0" ), 2, IF( AND( OFFSET($A$1, 1241 - 1, 59 - 1) = "0", OFFSET($A$1, 1241 - 1, 60 - 1) = "1" ), 3, 4 ) ) )</f>
        <v>2</v>
      </c>
    </row>
    <row r="1242" spans="58:61" x14ac:dyDescent="0.2">
      <c r="BF1242" s="3">
        <v>0</v>
      </c>
      <c r="BG1242" s="3" t="str">
        <f>"0"</f>
        <v>0</v>
      </c>
      <c r="BH1242" t="str">
        <f ca="1">IF((OFFSET($A$1, 1242 - 1, 58 - 1)) &gt;= (OFFSET($A$1, 96 - 1, 7 - 1)), "1","0")</f>
        <v>0</v>
      </c>
      <c r="BI1242">
        <f ca="1" xml:space="preserve"> IF( AND( OFFSET($A$1, 1242 - 1, 59 - 1) = "1", OFFSET($A$1, 1242 - 1, 60 - 1) = "1" ), 1, IF( AND( OFFSET($A$1, 1242 - 1, 59 - 1) = "1", OFFSET($A$1, 1242 - 1, 60 - 1) = "0" ), 2, IF( AND( OFFSET($A$1, 1242 - 1, 59 - 1) = "0", OFFSET($A$1, 1242 - 1, 60 - 1) = "1" ), 3, 4 ) ) )</f>
        <v>4</v>
      </c>
    </row>
    <row r="1243" spans="58:61" x14ac:dyDescent="0.2">
      <c r="BF1243" s="3">
        <v>0.34722222222222221</v>
      </c>
      <c r="BG1243" s="3" t="str">
        <f>"1"</f>
        <v>1</v>
      </c>
      <c r="BH1243" t="str">
        <f ca="1">IF((OFFSET($A$1, 1243 - 1, 58 - 1)) &gt;= (OFFSET($A$1, 96 - 1, 7 - 1)), "1","0")</f>
        <v>0</v>
      </c>
      <c r="BI1243">
        <f ca="1" xml:space="preserve"> IF( AND( OFFSET($A$1, 1243 - 1, 59 - 1) = "1", OFFSET($A$1, 1243 - 1, 60 - 1) = "1" ), 1, IF( AND( OFFSET($A$1, 1243 - 1, 59 - 1) = "1", OFFSET($A$1, 1243 - 1, 60 - 1) = "0" ), 2, IF( AND( OFFSET($A$1, 1243 - 1, 59 - 1) = "0", OFFSET($A$1, 1243 - 1, 60 - 1) = "1" ), 3, 4 ) ) )</f>
        <v>2</v>
      </c>
    </row>
    <row r="1244" spans="58:61" x14ac:dyDescent="0.2">
      <c r="BF1244" s="3">
        <v>0.90579710144927539</v>
      </c>
      <c r="BG1244" s="3" t="str">
        <f>"1"</f>
        <v>1</v>
      </c>
      <c r="BH1244" t="str">
        <f ca="1">IF((OFFSET($A$1, 1244 - 1, 58 - 1)) &gt;= (OFFSET($A$1, 96 - 1, 7 - 1)), "1","0")</f>
        <v>1</v>
      </c>
      <c r="BI1244">
        <f ca="1" xml:space="preserve"> IF( AND( OFFSET($A$1, 1244 - 1, 59 - 1) = "1", OFFSET($A$1, 1244 - 1, 60 - 1) = "1" ), 1, IF( AND( OFFSET($A$1, 1244 - 1, 59 - 1) = "1", OFFSET($A$1, 1244 - 1, 60 - 1) = "0" ), 2, IF( AND( OFFSET($A$1, 1244 - 1, 59 - 1) = "0", OFFSET($A$1, 1244 - 1, 60 - 1) = "1" ), 3, 4 ) ) )</f>
        <v>1</v>
      </c>
    </row>
    <row r="1245" spans="58:61" x14ac:dyDescent="0.2">
      <c r="BF1245" s="3">
        <v>0</v>
      </c>
      <c r="BG1245" s="3" t="str">
        <f t="shared" ref="BG1245:BG1250" si="128">"0"</f>
        <v>0</v>
      </c>
      <c r="BH1245" t="str">
        <f ca="1">IF((OFFSET($A$1, 1245 - 1, 58 - 1)) &gt;= (OFFSET($A$1, 96 - 1, 7 - 1)), "1","0")</f>
        <v>0</v>
      </c>
      <c r="BI1245">
        <f ca="1" xml:space="preserve"> IF( AND( OFFSET($A$1, 1245 - 1, 59 - 1) = "1", OFFSET($A$1, 1245 - 1, 60 - 1) = "1" ), 1, IF( AND( OFFSET($A$1, 1245 - 1, 59 - 1) = "1", OFFSET($A$1, 1245 - 1, 60 - 1) = "0" ), 2, IF( AND( OFFSET($A$1, 1245 - 1, 59 - 1) = "0", OFFSET($A$1, 1245 - 1, 60 - 1) = "1" ), 3, 4 ) ) )</f>
        <v>4</v>
      </c>
    </row>
    <row r="1246" spans="58:61" x14ac:dyDescent="0.2">
      <c r="BF1246" s="3">
        <v>0</v>
      </c>
      <c r="BG1246" s="3" t="str">
        <f t="shared" si="128"/>
        <v>0</v>
      </c>
      <c r="BH1246" t="str">
        <f ca="1">IF((OFFSET($A$1, 1246 - 1, 58 - 1)) &gt;= (OFFSET($A$1, 96 - 1, 7 - 1)), "1","0")</f>
        <v>0</v>
      </c>
      <c r="BI1246">
        <f ca="1" xml:space="preserve"> IF( AND( OFFSET($A$1, 1246 - 1, 59 - 1) = "1", OFFSET($A$1, 1246 - 1, 60 - 1) = "1" ), 1, IF( AND( OFFSET($A$1, 1246 - 1, 59 - 1) = "1", OFFSET($A$1, 1246 - 1, 60 - 1) = "0" ), 2, IF( AND( OFFSET($A$1, 1246 - 1, 59 - 1) = "0", OFFSET($A$1, 1246 - 1, 60 - 1) = "1" ), 3, 4 ) ) )</f>
        <v>4</v>
      </c>
    </row>
    <row r="1247" spans="58:61" x14ac:dyDescent="0.2">
      <c r="BF1247" s="3">
        <v>0.36</v>
      </c>
      <c r="BG1247" s="3" t="str">
        <f t="shared" si="128"/>
        <v>0</v>
      </c>
      <c r="BH1247" t="str">
        <f ca="1">IF((OFFSET($A$1, 1247 - 1, 58 - 1)) &gt;= (OFFSET($A$1, 96 - 1, 7 - 1)), "1","0")</f>
        <v>0</v>
      </c>
      <c r="BI1247">
        <f ca="1" xml:space="preserve"> IF( AND( OFFSET($A$1, 1247 - 1, 59 - 1) = "1", OFFSET($A$1, 1247 - 1, 60 - 1) = "1" ), 1, IF( AND( OFFSET($A$1, 1247 - 1, 59 - 1) = "1", OFFSET($A$1, 1247 - 1, 60 - 1) = "0" ), 2, IF( AND( OFFSET($A$1, 1247 - 1, 59 - 1) = "0", OFFSET($A$1, 1247 - 1, 60 - 1) = "1" ), 3, 4 ) ) )</f>
        <v>4</v>
      </c>
    </row>
    <row r="1248" spans="58:61" x14ac:dyDescent="0.2">
      <c r="BF1248" s="3">
        <v>0</v>
      </c>
      <c r="BG1248" s="3" t="str">
        <f t="shared" si="128"/>
        <v>0</v>
      </c>
      <c r="BH1248" t="str">
        <f ca="1">IF((OFFSET($A$1, 1248 - 1, 58 - 1)) &gt;= (OFFSET($A$1, 96 - 1, 7 - 1)), "1","0")</f>
        <v>0</v>
      </c>
      <c r="BI1248">
        <f ca="1" xml:space="preserve"> IF( AND( OFFSET($A$1, 1248 - 1, 59 - 1) = "1", OFFSET($A$1, 1248 - 1, 60 - 1) = "1" ), 1, IF( AND( OFFSET($A$1, 1248 - 1, 59 - 1) = "1", OFFSET($A$1, 1248 - 1, 60 - 1) = "0" ), 2, IF( AND( OFFSET($A$1, 1248 - 1, 59 - 1) = "0", OFFSET($A$1, 1248 - 1, 60 - 1) = "1" ), 3, 4 ) ) )</f>
        <v>4</v>
      </c>
    </row>
    <row r="1249" spans="58:61" x14ac:dyDescent="0.2">
      <c r="BF1249" s="3">
        <v>0</v>
      </c>
      <c r="BG1249" s="3" t="str">
        <f t="shared" si="128"/>
        <v>0</v>
      </c>
      <c r="BH1249" t="str">
        <f ca="1">IF((OFFSET($A$1, 1249 - 1, 58 - 1)) &gt;= (OFFSET($A$1, 96 - 1, 7 - 1)), "1","0")</f>
        <v>0</v>
      </c>
      <c r="BI1249">
        <f ca="1" xml:space="preserve"> IF( AND( OFFSET($A$1, 1249 - 1, 59 - 1) = "1", OFFSET($A$1, 1249 - 1, 60 - 1) = "1" ), 1, IF( AND( OFFSET($A$1, 1249 - 1, 59 - 1) = "1", OFFSET($A$1, 1249 - 1, 60 - 1) = "0" ), 2, IF( AND( OFFSET($A$1, 1249 - 1, 59 - 1) = "0", OFFSET($A$1, 1249 - 1, 60 - 1) = "1" ), 3, 4 ) ) )</f>
        <v>4</v>
      </c>
    </row>
    <row r="1250" spans="58:61" x14ac:dyDescent="0.2">
      <c r="BF1250" s="3">
        <v>0</v>
      </c>
      <c r="BG1250" s="3" t="str">
        <f t="shared" si="128"/>
        <v>0</v>
      </c>
      <c r="BH1250" t="str">
        <f ca="1">IF((OFFSET($A$1, 1250 - 1, 58 - 1)) &gt;= (OFFSET($A$1, 96 - 1, 7 - 1)), "1","0")</f>
        <v>0</v>
      </c>
      <c r="BI1250">
        <f ca="1" xml:space="preserve"> IF( AND( OFFSET($A$1, 1250 - 1, 59 - 1) = "1", OFFSET($A$1, 1250 - 1, 60 - 1) = "1" ), 1, IF( AND( OFFSET($A$1, 1250 - 1, 59 - 1) = "1", OFFSET($A$1, 1250 - 1, 60 - 1) = "0" ), 2, IF( AND( OFFSET($A$1, 1250 - 1, 59 - 1) = "0", OFFSET($A$1, 1250 - 1, 60 - 1) = "1" ), 3, 4 ) ) )</f>
        <v>4</v>
      </c>
    </row>
    <row r="1251" spans="58:61" x14ac:dyDescent="0.2">
      <c r="BF1251" s="3">
        <v>0.90579710144927539</v>
      </c>
      <c r="BG1251" s="3" t="str">
        <f>"1"</f>
        <v>1</v>
      </c>
      <c r="BH1251" t="str">
        <f ca="1">IF((OFFSET($A$1, 1251 - 1, 58 - 1)) &gt;= (OFFSET($A$1, 96 - 1, 7 - 1)), "1","0")</f>
        <v>1</v>
      </c>
      <c r="BI1251">
        <f ca="1" xml:space="preserve"> IF( AND( OFFSET($A$1, 1251 - 1, 59 - 1) = "1", OFFSET($A$1, 1251 - 1, 60 - 1) = "1" ), 1, IF( AND( OFFSET($A$1, 1251 - 1, 59 - 1) = "1", OFFSET($A$1, 1251 - 1, 60 - 1) = "0" ), 2, IF( AND( OFFSET($A$1, 1251 - 1, 59 - 1) = "0", OFFSET($A$1, 1251 - 1, 60 - 1) = "1" ), 3, 4 ) ) )</f>
        <v>1</v>
      </c>
    </row>
    <row r="1252" spans="58:61" x14ac:dyDescent="0.2">
      <c r="BF1252" s="3">
        <v>0.90579710144927539</v>
      </c>
      <c r="BG1252" s="3" t="str">
        <f>"1"</f>
        <v>1</v>
      </c>
      <c r="BH1252" t="str">
        <f ca="1">IF((OFFSET($A$1, 1252 - 1, 58 - 1)) &gt;= (OFFSET($A$1, 96 - 1, 7 - 1)), "1","0")</f>
        <v>1</v>
      </c>
      <c r="BI1252">
        <f ca="1" xml:space="preserve"> IF( AND( OFFSET($A$1, 1252 - 1, 59 - 1) = "1", OFFSET($A$1, 1252 - 1, 60 - 1) = "1" ), 1, IF( AND( OFFSET($A$1, 1252 - 1, 59 - 1) = "1", OFFSET($A$1, 1252 - 1, 60 - 1) = "0" ), 2, IF( AND( OFFSET($A$1, 1252 - 1, 59 - 1) = "0", OFFSET($A$1, 1252 - 1, 60 - 1) = "1" ), 3, 4 ) ) )</f>
        <v>1</v>
      </c>
    </row>
    <row r="1253" spans="58:61" x14ac:dyDescent="0.2">
      <c r="BF1253" s="3">
        <v>0.38775510204081637</v>
      </c>
      <c r="BG1253" s="3" t="str">
        <f t="shared" ref="BG1253:BG1264" si="129">"0"</f>
        <v>0</v>
      </c>
      <c r="BH1253" t="str">
        <f ca="1">IF((OFFSET($A$1, 1253 - 1, 58 - 1)) &gt;= (OFFSET($A$1, 96 - 1, 7 - 1)), "1","0")</f>
        <v>0</v>
      </c>
      <c r="BI1253">
        <f ca="1" xml:space="preserve"> IF( AND( OFFSET($A$1, 1253 - 1, 59 - 1) = "1", OFFSET($A$1, 1253 - 1, 60 - 1) = "1" ), 1, IF( AND( OFFSET($A$1, 1253 - 1, 59 - 1) = "1", OFFSET($A$1, 1253 - 1, 60 - 1) = "0" ), 2, IF( AND( OFFSET($A$1, 1253 - 1, 59 - 1) = "0", OFFSET($A$1, 1253 - 1, 60 - 1) = "1" ), 3, 4 ) ) )</f>
        <v>4</v>
      </c>
    </row>
    <row r="1254" spans="58:61" x14ac:dyDescent="0.2">
      <c r="BF1254" s="3">
        <v>0.1081081081081081</v>
      </c>
      <c r="BG1254" s="3" t="str">
        <f t="shared" si="129"/>
        <v>0</v>
      </c>
      <c r="BH1254" t="str">
        <f ca="1">IF((OFFSET($A$1, 1254 - 1, 58 - 1)) &gt;= (OFFSET($A$1, 96 - 1, 7 - 1)), "1","0")</f>
        <v>0</v>
      </c>
      <c r="BI1254">
        <f ca="1" xml:space="preserve"> IF( AND( OFFSET($A$1, 1254 - 1, 59 - 1) = "1", OFFSET($A$1, 1254 - 1, 60 - 1) = "1" ), 1, IF( AND( OFFSET($A$1, 1254 - 1, 59 - 1) = "1", OFFSET($A$1, 1254 - 1, 60 - 1) = "0" ), 2, IF( AND( OFFSET($A$1, 1254 - 1, 59 - 1) = "0", OFFSET($A$1, 1254 - 1, 60 - 1) = "1" ), 3, 4 ) ) )</f>
        <v>4</v>
      </c>
    </row>
    <row r="1255" spans="58:61" x14ac:dyDescent="0.2">
      <c r="BF1255" s="3">
        <v>0</v>
      </c>
      <c r="BG1255" s="3" t="str">
        <f t="shared" si="129"/>
        <v>0</v>
      </c>
      <c r="BH1255" t="str">
        <f ca="1">IF((OFFSET($A$1, 1255 - 1, 58 - 1)) &gt;= (OFFSET($A$1, 96 - 1, 7 - 1)), "1","0")</f>
        <v>0</v>
      </c>
      <c r="BI1255">
        <f ca="1" xml:space="preserve"> IF( AND( OFFSET($A$1, 1255 - 1, 59 - 1) = "1", OFFSET($A$1, 1255 - 1, 60 - 1) = "1" ), 1, IF( AND( OFFSET($A$1, 1255 - 1, 59 - 1) = "1", OFFSET($A$1, 1255 - 1, 60 - 1) = "0" ), 2, IF( AND( OFFSET($A$1, 1255 - 1, 59 - 1) = "0", OFFSET($A$1, 1255 - 1, 60 - 1) = "1" ), 3, 4 ) ) )</f>
        <v>4</v>
      </c>
    </row>
    <row r="1256" spans="58:61" x14ac:dyDescent="0.2">
      <c r="BF1256" s="3">
        <v>0</v>
      </c>
      <c r="BG1256" s="3" t="str">
        <f t="shared" si="129"/>
        <v>0</v>
      </c>
      <c r="BH1256" t="str">
        <f ca="1">IF((OFFSET($A$1, 1256 - 1, 58 - 1)) &gt;= (OFFSET($A$1, 96 - 1, 7 - 1)), "1","0")</f>
        <v>0</v>
      </c>
      <c r="BI1256">
        <f ca="1" xml:space="preserve"> IF( AND( OFFSET($A$1, 1256 - 1, 59 - 1) = "1", OFFSET($A$1, 1256 - 1, 60 - 1) = "1" ), 1, IF( AND( OFFSET($A$1, 1256 - 1, 59 - 1) = "1", OFFSET($A$1, 1256 - 1, 60 - 1) = "0" ), 2, IF( AND( OFFSET($A$1, 1256 - 1, 59 - 1) = "0", OFFSET($A$1, 1256 - 1, 60 - 1) = "1" ), 3, 4 ) ) )</f>
        <v>4</v>
      </c>
    </row>
    <row r="1257" spans="58:61" x14ac:dyDescent="0.2">
      <c r="BF1257" s="3">
        <v>0</v>
      </c>
      <c r="BG1257" s="3" t="str">
        <f t="shared" si="129"/>
        <v>0</v>
      </c>
      <c r="BH1257" t="str">
        <f ca="1">IF((OFFSET($A$1, 1257 - 1, 58 - 1)) &gt;= (OFFSET($A$1, 96 - 1, 7 - 1)), "1","0")</f>
        <v>0</v>
      </c>
      <c r="BI1257">
        <f ca="1" xml:space="preserve"> IF( AND( OFFSET($A$1, 1257 - 1, 59 - 1) = "1", OFFSET($A$1, 1257 - 1, 60 - 1) = "1" ), 1, IF( AND( OFFSET($A$1, 1257 - 1, 59 - 1) = "1", OFFSET($A$1, 1257 - 1, 60 - 1) = "0" ), 2, IF( AND( OFFSET($A$1, 1257 - 1, 59 - 1) = "0", OFFSET($A$1, 1257 - 1, 60 - 1) = "1" ), 3, 4 ) ) )</f>
        <v>4</v>
      </c>
    </row>
    <row r="1258" spans="58:61" x14ac:dyDescent="0.2">
      <c r="BF1258" s="3">
        <v>0.08</v>
      </c>
      <c r="BG1258" s="3" t="str">
        <f t="shared" si="129"/>
        <v>0</v>
      </c>
      <c r="BH1258" t="str">
        <f ca="1">IF((OFFSET($A$1, 1258 - 1, 58 - 1)) &gt;= (OFFSET($A$1, 96 - 1, 7 - 1)), "1","0")</f>
        <v>0</v>
      </c>
      <c r="BI1258">
        <f ca="1" xml:space="preserve"> IF( AND( OFFSET($A$1, 1258 - 1, 59 - 1) = "1", OFFSET($A$1, 1258 - 1, 60 - 1) = "1" ), 1, IF( AND( OFFSET($A$1, 1258 - 1, 59 - 1) = "1", OFFSET($A$1, 1258 - 1, 60 - 1) = "0" ), 2, IF( AND( OFFSET($A$1, 1258 - 1, 59 - 1) = "0", OFFSET($A$1, 1258 - 1, 60 - 1) = "1" ), 3, 4 ) ) )</f>
        <v>4</v>
      </c>
    </row>
    <row r="1259" spans="58:61" x14ac:dyDescent="0.2">
      <c r="BF1259" s="3">
        <v>0</v>
      </c>
      <c r="BG1259" s="3" t="str">
        <f t="shared" si="129"/>
        <v>0</v>
      </c>
      <c r="BH1259" t="str">
        <f ca="1">IF((OFFSET($A$1, 1259 - 1, 58 - 1)) &gt;= (OFFSET($A$1, 96 - 1, 7 - 1)), "1","0")</f>
        <v>0</v>
      </c>
      <c r="BI1259">
        <f ca="1" xml:space="preserve"> IF( AND( OFFSET($A$1, 1259 - 1, 59 - 1) = "1", OFFSET($A$1, 1259 - 1, 60 - 1) = "1" ), 1, IF( AND( OFFSET($A$1, 1259 - 1, 59 - 1) = "1", OFFSET($A$1, 1259 - 1, 60 - 1) = "0" ), 2, IF( AND( OFFSET($A$1, 1259 - 1, 59 - 1) = "0", OFFSET($A$1, 1259 - 1, 60 - 1) = "1" ), 3, 4 ) ) )</f>
        <v>4</v>
      </c>
    </row>
    <row r="1260" spans="58:61" x14ac:dyDescent="0.2">
      <c r="BF1260" s="3">
        <v>0</v>
      </c>
      <c r="BG1260" s="3" t="str">
        <f t="shared" si="129"/>
        <v>0</v>
      </c>
      <c r="BH1260" t="str">
        <f ca="1">IF((OFFSET($A$1, 1260 - 1, 58 - 1)) &gt;= (OFFSET($A$1, 96 - 1, 7 - 1)), "1","0")</f>
        <v>0</v>
      </c>
      <c r="BI1260">
        <f ca="1" xml:space="preserve"> IF( AND( OFFSET($A$1, 1260 - 1, 59 - 1) = "1", OFFSET($A$1, 1260 - 1, 60 - 1) = "1" ), 1, IF( AND( OFFSET($A$1, 1260 - 1, 59 - 1) = "1", OFFSET($A$1, 1260 - 1, 60 - 1) = "0" ), 2, IF( AND( OFFSET($A$1, 1260 - 1, 59 - 1) = "0", OFFSET($A$1, 1260 - 1, 60 - 1) = "1" ), 3, 4 ) ) )</f>
        <v>4</v>
      </c>
    </row>
    <row r="1261" spans="58:61" x14ac:dyDescent="0.2">
      <c r="BF1261" s="3">
        <v>0</v>
      </c>
      <c r="BG1261" s="3" t="str">
        <f t="shared" si="129"/>
        <v>0</v>
      </c>
      <c r="BH1261" t="str">
        <f ca="1">IF((OFFSET($A$1, 1261 - 1, 58 - 1)) &gt;= (OFFSET($A$1, 96 - 1, 7 - 1)), "1","0")</f>
        <v>0</v>
      </c>
      <c r="BI1261">
        <f ca="1" xml:space="preserve"> IF( AND( OFFSET($A$1, 1261 - 1, 59 - 1) = "1", OFFSET($A$1, 1261 - 1, 60 - 1) = "1" ), 1, IF( AND( OFFSET($A$1, 1261 - 1, 59 - 1) = "1", OFFSET($A$1, 1261 - 1, 60 - 1) = "0" ), 2, IF( AND( OFFSET($A$1, 1261 - 1, 59 - 1) = "0", OFFSET($A$1, 1261 - 1, 60 - 1) = "1" ), 3, 4 ) ) )</f>
        <v>4</v>
      </c>
    </row>
    <row r="1262" spans="58:61" x14ac:dyDescent="0.2">
      <c r="BF1262" s="3">
        <v>0</v>
      </c>
      <c r="BG1262" s="3" t="str">
        <f t="shared" si="129"/>
        <v>0</v>
      </c>
      <c r="BH1262" t="str">
        <f ca="1">IF((OFFSET($A$1, 1262 - 1, 58 - 1)) &gt;= (OFFSET($A$1, 96 - 1, 7 - 1)), "1","0")</f>
        <v>0</v>
      </c>
      <c r="BI1262">
        <f ca="1" xml:space="preserve"> IF( AND( OFFSET($A$1, 1262 - 1, 59 - 1) = "1", OFFSET($A$1, 1262 - 1, 60 - 1) = "1" ), 1, IF( AND( OFFSET($A$1, 1262 - 1, 59 - 1) = "1", OFFSET($A$1, 1262 - 1, 60 - 1) = "0" ), 2, IF( AND( OFFSET($A$1, 1262 - 1, 59 - 1) = "0", OFFSET($A$1, 1262 - 1, 60 - 1) = "1" ), 3, 4 ) ) )</f>
        <v>4</v>
      </c>
    </row>
    <row r="1263" spans="58:61" x14ac:dyDescent="0.2">
      <c r="BF1263" s="3">
        <v>0.08</v>
      </c>
      <c r="BG1263" s="3" t="str">
        <f t="shared" si="129"/>
        <v>0</v>
      </c>
      <c r="BH1263" t="str">
        <f ca="1">IF((OFFSET($A$1, 1263 - 1, 58 - 1)) &gt;= (OFFSET($A$1, 96 - 1, 7 - 1)), "1","0")</f>
        <v>0</v>
      </c>
      <c r="BI1263">
        <f ca="1" xml:space="preserve"> IF( AND( OFFSET($A$1, 1263 - 1, 59 - 1) = "1", OFFSET($A$1, 1263 - 1, 60 - 1) = "1" ), 1, IF( AND( OFFSET($A$1, 1263 - 1, 59 - 1) = "1", OFFSET($A$1, 1263 - 1, 60 - 1) = "0" ), 2, IF( AND( OFFSET($A$1, 1263 - 1, 59 - 1) = "0", OFFSET($A$1, 1263 - 1, 60 - 1) = "1" ), 3, 4 ) ) )</f>
        <v>4</v>
      </c>
    </row>
    <row r="1264" spans="58:61" x14ac:dyDescent="0.2">
      <c r="BF1264" s="3">
        <v>0</v>
      </c>
      <c r="BG1264" s="3" t="str">
        <f t="shared" si="129"/>
        <v>0</v>
      </c>
      <c r="BH1264" t="str">
        <f ca="1">IF((OFFSET($A$1, 1264 - 1, 58 - 1)) &gt;= (OFFSET($A$1, 96 - 1, 7 - 1)), "1","0")</f>
        <v>0</v>
      </c>
      <c r="BI1264">
        <f ca="1" xml:space="preserve"> IF( AND( OFFSET($A$1, 1264 - 1, 59 - 1) = "1", OFFSET($A$1, 1264 - 1, 60 - 1) = "1" ), 1, IF( AND( OFFSET($A$1, 1264 - 1, 59 - 1) = "1", OFFSET($A$1, 1264 - 1, 60 - 1) = "0" ), 2, IF( AND( OFFSET($A$1, 1264 - 1, 59 - 1) = "0", OFFSET($A$1, 1264 - 1, 60 - 1) = "1" ), 3, 4 ) ) )</f>
        <v>4</v>
      </c>
    </row>
    <row r="1265" spans="58:61" x14ac:dyDescent="0.2">
      <c r="BF1265" s="3">
        <v>0.90579710144927539</v>
      </c>
      <c r="BG1265" s="3" t="str">
        <f>"1"</f>
        <v>1</v>
      </c>
      <c r="BH1265" t="str">
        <f ca="1">IF((OFFSET($A$1, 1265 - 1, 58 - 1)) &gt;= (OFFSET($A$1, 96 - 1, 7 - 1)), "1","0")</f>
        <v>1</v>
      </c>
      <c r="BI1265">
        <f ca="1" xml:space="preserve"> IF( AND( OFFSET($A$1, 1265 - 1, 59 - 1) = "1", OFFSET($A$1, 1265 - 1, 60 - 1) = "1" ), 1, IF( AND( OFFSET($A$1, 1265 - 1, 59 - 1) = "1", OFFSET($A$1, 1265 - 1, 60 - 1) = "0" ), 2, IF( AND( OFFSET($A$1, 1265 - 1, 59 - 1) = "0", OFFSET($A$1, 1265 - 1, 60 - 1) = "1" ), 3, 4 ) ) )</f>
        <v>1</v>
      </c>
    </row>
    <row r="1266" spans="58:61" x14ac:dyDescent="0.2">
      <c r="BF1266" s="3">
        <v>0.08</v>
      </c>
      <c r="BG1266" s="3" t="str">
        <f>"0"</f>
        <v>0</v>
      </c>
      <c r="BH1266" t="str">
        <f ca="1">IF((OFFSET($A$1, 1266 - 1, 58 - 1)) &gt;= (OFFSET($A$1, 96 - 1, 7 - 1)), "1","0")</f>
        <v>0</v>
      </c>
      <c r="BI1266">
        <f ca="1" xml:space="preserve"> IF( AND( OFFSET($A$1, 1266 - 1, 59 - 1) = "1", OFFSET($A$1, 1266 - 1, 60 - 1) = "1" ), 1, IF( AND( OFFSET($A$1, 1266 - 1, 59 - 1) = "1", OFFSET($A$1, 1266 - 1, 60 - 1) = "0" ), 2, IF( AND( OFFSET($A$1, 1266 - 1, 59 - 1) = "0", OFFSET($A$1, 1266 - 1, 60 - 1) = "1" ), 3, 4 ) ) )</f>
        <v>4</v>
      </c>
    </row>
    <row r="1267" spans="58:61" x14ac:dyDescent="0.2">
      <c r="BF1267" s="3">
        <v>0.34722222222222221</v>
      </c>
      <c r="BG1267" s="3" t="str">
        <f>"1"</f>
        <v>1</v>
      </c>
      <c r="BH1267" t="str">
        <f ca="1">IF((OFFSET($A$1, 1267 - 1, 58 - 1)) &gt;= (OFFSET($A$1, 96 - 1, 7 - 1)), "1","0")</f>
        <v>0</v>
      </c>
      <c r="BI1267">
        <f ca="1" xml:space="preserve"> IF( AND( OFFSET($A$1, 1267 - 1, 59 - 1) = "1", OFFSET($A$1, 1267 - 1, 60 - 1) = "1" ), 1, IF( AND( OFFSET($A$1, 1267 - 1, 59 - 1) = "1", OFFSET($A$1, 1267 - 1, 60 - 1) = "0" ), 2, IF( AND( OFFSET($A$1, 1267 - 1, 59 - 1) = "0", OFFSET($A$1, 1267 - 1, 60 - 1) = "1" ), 3, 4 ) ) )</f>
        <v>2</v>
      </c>
    </row>
    <row r="1268" spans="58:61" x14ac:dyDescent="0.2">
      <c r="BF1268" s="3">
        <v>0</v>
      </c>
      <c r="BG1268" s="3" t="str">
        <f t="shared" ref="BG1268:BG1273" si="130">"0"</f>
        <v>0</v>
      </c>
      <c r="BH1268" t="str">
        <f ca="1">IF((OFFSET($A$1, 1268 - 1, 58 - 1)) &gt;= (OFFSET($A$1, 96 - 1, 7 - 1)), "1","0")</f>
        <v>0</v>
      </c>
      <c r="BI1268">
        <f ca="1" xml:space="preserve"> IF( AND( OFFSET($A$1, 1268 - 1, 59 - 1) = "1", OFFSET($A$1, 1268 - 1, 60 - 1) = "1" ), 1, IF( AND( OFFSET($A$1, 1268 - 1, 59 - 1) = "1", OFFSET($A$1, 1268 - 1, 60 - 1) = "0" ), 2, IF( AND( OFFSET($A$1, 1268 - 1, 59 - 1) = "0", OFFSET($A$1, 1268 - 1, 60 - 1) = "1" ), 3, 4 ) ) )</f>
        <v>4</v>
      </c>
    </row>
    <row r="1269" spans="58:61" x14ac:dyDescent="0.2">
      <c r="BF1269" s="3">
        <v>0</v>
      </c>
      <c r="BG1269" s="3" t="str">
        <f t="shared" si="130"/>
        <v>0</v>
      </c>
      <c r="BH1269" t="str">
        <f ca="1">IF((OFFSET($A$1, 1269 - 1, 58 - 1)) &gt;= (OFFSET($A$1, 96 - 1, 7 - 1)), "1","0")</f>
        <v>0</v>
      </c>
      <c r="BI1269">
        <f ca="1" xml:space="preserve"> IF( AND( OFFSET($A$1, 1269 - 1, 59 - 1) = "1", OFFSET($A$1, 1269 - 1, 60 - 1) = "1" ), 1, IF( AND( OFFSET($A$1, 1269 - 1, 59 - 1) = "1", OFFSET($A$1, 1269 - 1, 60 - 1) = "0" ), 2, IF( AND( OFFSET($A$1, 1269 - 1, 59 - 1) = "0", OFFSET($A$1, 1269 - 1, 60 - 1) = "1" ), 3, 4 ) ) )</f>
        <v>4</v>
      </c>
    </row>
    <row r="1270" spans="58:61" x14ac:dyDescent="0.2">
      <c r="BF1270" s="3">
        <v>0.38775510204081637</v>
      </c>
      <c r="BG1270" s="3" t="str">
        <f t="shared" si="130"/>
        <v>0</v>
      </c>
      <c r="BH1270" t="str">
        <f ca="1">IF((OFFSET($A$1, 1270 - 1, 58 - 1)) &gt;= (OFFSET($A$1, 96 - 1, 7 - 1)), "1","0")</f>
        <v>0</v>
      </c>
      <c r="BI1270">
        <f ca="1" xml:space="preserve"> IF( AND( OFFSET($A$1, 1270 - 1, 59 - 1) = "1", OFFSET($A$1, 1270 - 1, 60 - 1) = "1" ), 1, IF( AND( OFFSET($A$1, 1270 - 1, 59 - 1) = "1", OFFSET($A$1, 1270 - 1, 60 - 1) = "0" ), 2, IF( AND( OFFSET($A$1, 1270 - 1, 59 - 1) = "0", OFFSET($A$1, 1270 - 1, 60 - 1) = "1" ), 3, 4 ) ) )</f>
        <v>4</v>
      </c>
    </row>
    <row r="1271" spans="58:61" x14ac:dyDescent="0.2">
      <c r="BF1271" s="3">
        <v>0</v>
      </c>
      <c r="BG1271" s="3" t="str">
        <f t="shared" si="130"/>
        <v>0</v>
      </c>
      <c r="BH1271" t="str">
        <f ca="1">IF((OFFSET($A$1, 1271 - 1, 58 - 1)) &gt;= (OFFSET($A$1, 96 - 1, 7 - 1)), "1","0")</f>
        <v>0</v>
      </c>
      <c r="BI1271">
        <f ca="1" xml:space="preserve"> IF( AND( OFFSET($A$1, 1271 - 1, 59 - 1) = "1", OFFSET($A$1, 1271 - 1, 60 - 1) = "1" ), 1, IF( AND( OFFSET($A$1, 1271 - 1, 59 - 1) = "1", OFFSET($A$1, 1271 - 1, 60 - 1) = "0" ), 2, IF( AND( OFFSET($A$1, 1271 - 1, 59 - 1) = "0", OFFSET($A$1, 1271 - 1, 60 - 1) = "1" ), 3, 4 ) ) )</f>
        <v>4</v>
      </c>
    </row>
    <row r="1272" spans="58:61" x14ac:dyDescent="0.2">
      <c r="BF1272" s="3">
        <v>3.7037037037037042E-2</v>
      </c>
      <c r="BG1272" s="3" t="str">
        <f t="shared" si="130"/>
        <v>0</v>
      </c>
      <c r="BH1272" t="str">
        <f ca="1">IF((OFFSET($A$1, 1272 - 1, 58 - 1)) &gt;= (OFFSET($A$1, 96 - 1, 7 - 1)), "1","0")</f>
        <v>0</v>
      </c>
      <c r="BI1272">
        <f ca="1" xml:space="preserve"> IF( AND( OFFSET($A$1, 1272 - 1, 59 - 1) = "1", OFFSET($A$1, 1272 - 1, 60 - 1) = "1" ), 1, IF( AND( OFFSET($A$1, 1272 - 1, 59 - 1) = "1", OFFSET($A$1, 1272 - 1, 60 - 1) = "0" ), 2, IF( AND( OFFSET($A$1, 1272 - 1, 59 - 1) = "0", OFFSET($A$1, 1272 - 1, 60 - 1) = "1" ), 3, 4 ) ) )</f>
        <v>4</v>
      </c>
    </row>
    <row r="1273" spans="58:61" x14ac:dyDescent="0.2">
      <c r="BF1273" s="3">
        <v>0</v>
      </c>
      <c r="BG1273" s="3" t="str">
        <f t="shared" si="130"/>
        <v>0</v>
      </c>
      <c r="BH1273" t="str">
        <f ca="1">IF((OFFSET($A$1, 1273 - 1, 58 - 1)) &gt;= (OFFSET($A$1, 96 - 1, 7 - 1)), "1","0")</f>
        <v>0</v>
      </c>
      <c r="BI1273">
        <f ca="1" xml:space="preserve"> IF( AND( OFFSET($A$1, 1273 - 1, 59 - 1) = "1", OFFSET($A$1, 1273 - 1, 60 - 1) = "1" ), 1, IF( AND( OFFSET($A$1, 1273 - 1, 59 - 1) = "1", OFFSET($A$1, 1273 - 1, 60 - 1) = "0" ), 2, IF( AND( OFFSET($A$1, 1273 - 1, 59 - 1) = "0", OFFSET($A$1, 1273 - 1, 60 - 1) = "1" ), 3, 4 ) ) )</f>
        <v>4</v>
      </c>
    </row>
    <row r="1274" spans="58:61" x14ac:dyDescent="0.2">
      <c r="BF1274" s="3">
        <v>0.90579710144927539</v>
      </c>
      <c r="BG1274" s="3" t="str">
        <f>"1"</f>
        <v>1</v>
      </c>
      <c r="BH1274" t="str">
        <f ca="1">IF((OFFSET($A$1, 1274 - 1, 58 - 1)) &gt;= (OFFSET($A$1, 96 - 1, 7 - 1)), "1","0")</f>
        <v>1</v>
      </c>
      <c r="BI1274">
        <f ca="1" xml:space="preserve"> IF( AND( OFFSET($A$1, 1274 - 1, 59 - 1) = "1", OFFSET($A$1, 1274 - 1, 60 - 1) = "1" ), 1, IF( AND( OFFSET($A$1, 1274 - 1, 59 - 1) = "1", OFFSET($A$1, 1274 - 1, 60 - 1) = "0" ), 2, IF( AND( OFFSET($A$1, 1274 - 1, 59 - 1) = "0", OFFSET($A$1, 1274 - 1, 60 - 1) = "1" ), 3, 4 ) ) )</f>
        <v>1</v>
      </c>
    </row>
    <row r="1275" spans="58:61" x14ac:dyDescent="0.2">
      <c r="BF1275" s="3">
        <v>0.08</v>
      </c>
      <c r="BG1275" s="3" t="str">
        <f>"0"</f>
        <v>0</v>
      </c>
      <c r="BH1275" t="str">
        <f ca="1">IF((OFFSET($A$1, 1275 - 1, 58 - 1)) &gt;= (OFFSET($A$1, 96 - 1, 7 - 1)), "1","0")</f>
        <v>0</v>
      </c>
      <c r="BI1275">
        <f ca="1" xml:space="preserve"> IF( AND( OFFSET($A$1, 1275 - 1, 59 - 1) = "1", OFFSET($A$1, 1275 - 1, 60 - 1) = "1" ), 1, IF( AND( OFFSET($A$1, 1275 - 1, 59 - 1) = "1", OFFSET($A$1, 1275 - 1, 60 - 1) = "0" ), 2, IF( AND( OFFSET($A$1, 1275 - 1, 59 - 1) = "0", OFFSET($A$1, 1275 - 1, 60 - 1) = "1" ), 3, 4 ) ) )</f>
        <v>4</v>
      </c>
    </row>
    <row r="1276" spans="58:61" x14ac:dyDescent="0.2">
      <c r="BF1276" s="3">
        <v>3.7037037037037042E-2</v>
      </c>
      <c r="BG1276" s="3" t="str">
        <f>"0"</f>
        <v>0</v>
      </c>
      <c r="BH1276" t="str">
        <f ca="1">IF((OFFSET($A$1, 1276 - 1, 58 - 1)) &gt;= (OFFSET($A$1, 96 - 1, 7 - 1)), "1","0")</f>
        <v>0</v>
      </c>
      <c r="BI1276">
        <f ca="1" xml:space="preserve"> IF( AND( OFFSET($A$1, 1276 - 1, 59 - 1) = "1", OFFSET($A$1, 1276 - 1, 60 - 1) = "1" ), 1, IF( AND( OFFSET($A$1, 1276 - 1, 59 - 1) = "1", OFFSET($A$1, 1276 - 1, 60 - 1) = "0" ), 2, IF( AND( OFFSET($A$1, 1276 - 1, 59 - 1) = "0", OFFSET($A$1, 1276 - 1, 60 - 1) = "1" ), 3, 4 ) ) )</f>
        <v>4</v>
      </c>
    </row>
    <row r="1277" spans="58:61" x14ac:dyDescent="0.2">
      <c r="BF1277" s="3">
        <v>0.90579710144927539</v>
      </c>
      <c r="BG1277" s="3" t="str">
        <f>"1"</f>
        <v>1</v>
      </c>
      <c r="BH1277" t="str">
        <f ca="1">IF((OFFSET($A$1, 1277 - 1, 58 - 1)) &gt;= (OFFSET($A$1, 96 - 1, 7 - 1)), "1","0")</f>
        <v>1</v>
      </c>
      <c r="BI1277">
        <f ca="1" xml:space="preserve"> IF( AND( OFFSET($A$1, 1277 - 1, 59 - 1) = "1", OFFSET($A$1, 1277 - 1, 60 - 1) = "1" ), 1, IF( AND( OFFSET($A$1, 1277 - 1, 59 - 1) = "1", OFFSET($A$1, 1277 - 1, 60 - 1) = "0" ), 2, IF( AND( OFFSET($A$1, 1277 - 1, 59 - 1) = "0", OFFSET($A$1, 1277 - 1, 60 - 1) = "1" ), 3, 4 ) ) )</f>
        <v>1</v>
      </c>
    </row>
    <row r="1278" spans="58:61" x14ac:dyDescent="0.2">
      <c r="BF1278" s="3">
        <v>0</v>
      </c>
      <c r="BG1278" s="3" t="str">
        <f>"0"</f>
        <v>0</v>
      </c>
      <c r="BH1278" t="str">
        <f ca="1">IF((OFFSET($A$1, 1278 - 1, 58 - 1)) &gt;= (OFFSET($A$1, 96 - 1, 7 - 1)), "1","0")</f>
        <v>0</v>
      </c>
      <c r="BI1278">
        <f ca="1" xml:space="preserve"> IF( AND( OFFSET($A$1, 1278 - 1, 59 - 1) = "1", OFFSET($A$1, 1278 - 1, 60 - 1) = "1" ), 1, IF( AND( OFFSET($A$1, 1278 - 1, 59 - 1) = "1", OFFSET($A$1, 1278 - 1, 60 - 1) = "0" ), 2, IF( AND( OFFSET($A$1, 1278 - 1, 59 - 1) = "0", OFFSET($A$1, 1278 - 1, 60 - 1) = "1" ), 3, 4 ) ) )</f>
        <v>4</v>
      </c>
    </row>
    <row r="1279" spans="58:61" x14ac:dyDescent="0.2">
      <c r="BF1279" s="3">
        <v>0</v>
      </c>
      <c r="BG1279" s="3" t="str">
        <f>"0"</f>
        <v>0</v>
      </c>
      <c r="BH1279" t="str">
        <f ca="1">IF((OFFSET($A$1, 1279 - 1, 58 - 1)) &gt;= (OFFSET($A$1, 96 - 1, 7 - 1)), "1","0")</f>
        <v>0</v>
      </c>
      <c r="BI1279">
        <f ca="1" xml:space="preserve"> IF( AND( OFFSET($A$1, 1279 - 1, 59 - 1) = "1", OFFSET($A$1, 1279 - 1, 60 - 1) = "1" ), 1, IF( AND( OFFSET($A$1, 1279 - 1, 59 - 1) = "1", OFFSET($A$1, 1279 - 1, 60 - 1) = "0" ), 2, IF( AND( OFFSET($A$1, 1279 - 1, 59 - 1) = "0", OFFSET($A$1, 1279 - 1, 60 - 1) = "1" ), 3, 4 ) ) )</f>
        <v>4</v>
      </c>
    </row>
    <row r="1280" spans="58:61" x14ac:dyDescent="0.2">
      <c r="BF1280" s="3">
        <v>0.36</v>
      </c>
      <c r="BG1280" s="3" t="str">
        <f>"0"</f>
        <v>0</v>
      </c>
      <c r="BH1280" t="str">
        <f ca="1">IF((OFFSET($A$1, 1280 - 1, 58 - 1)) &gt;= (OFFSET($A$1, 96 - 1, 7 - 1)), "1","0")</f>
        <v>0</v>
      </c>
      <c r="BI1280">
        <f ca="1" xml:space="preserve"> IF( AND( OFFSET($A$1, 1280 - 1, 59 - 1) = "1", OFFSET($A$1, 1280 - 1, 60 - 1) = "1" ), 1, IF( AND( OFFSET($A$1, 1280 - 1, 59 - 1) = "1", OFFSET($A$1, 1280 - 1, 60 - 1) = "0" ), 2, IF( AND( OFFSET($A$1, 1280 - 1, 59 - 1) = "0", OFFSET($A$1, 1280 - 1, 60 - 1) = "1" ), 3, 4 ) ) )</f>
        <v>4</v>
      </c>
    </row>
    <row r="1281" spans="58:61" x14ac:dyDescent="0.2">
      <c r="BF1281" s="3">
        <v>0</v>
      </c>
      <c r="BG1281" s="3" t="str">
        <f>"0"</f>
        <v>0</v>
      </c>
      <c r="BH1281" t="str">
        <f ca="1">IF((OFFSET($A$1, 1281 - 1, 58 - 1)) &gt;= (OFFSET($A$1, 96 - 1, 7 - 1)), "1","0")</f>
        <v>0</v>
      </c>
      <c r="BI1281">
        <f ca="1" xml:space="preserve"> IF( AND( OFFSET($A$1, 1281 - 1, 59 - 1) = "1", OFFSET($A$1, 1281 - 1, 60 - 1) = "1" ), 1, IF( AND( OFFSET($A$1, 1281 - 1, 59 - 1) = "1", OFFSET($A$1, 1281 - 1, 60 - 1) = "0" ), 2, IF( AND( OFFSET($A$1, 1281 - 1, 59 - 1) = "0", OFFSET($A$1, 1281 - 1, 60 - 1) = "1" ), 3, 4 ) ) )</f>
        <v>4</v>
      </c>
    </row>
    <row r="1282" spans="58:61" x14ac:dyDescent="0.2">
      <c r="BF1282" s="3">
        <v>0.90579710144927539</v>
      </c>
      <c r="BG1282" s="3" t="str">
        <f>"1"</f>
        <v>1</v>
      </c>
      <c r="BH1282" t="str">
        <f ca="1">IF((OFFSET($A$1, 1282 - 1, 58 - 1)) &gt;= (OFFSET($A$1, 96 - 1, 7 - 1)), "1","0")</f>
        <v>1</v>
      </c>
      <c r="BI1282">
        <f ca="1" xml:space="preserve"> IF( AND( OFFSET($A$1, 1282 - 1, 59 - 1) = "1", OFFSET($A$1, 1282 - 1, 60 - 1) = "1" ), 1, IF( AND( OFFSET($A$1, 1282 - 1, 59 - 1) = "1", OFFSET($A$1, 1282 - 1, 60 - 1) = "0" ), 2, IF( AND( OFFSET($A$1, 1282 - 1, 59 - 1) = "0", OFFSET($A$1, 1282 - 1, 60 - 1) = "1" ), 3, 4 ) ) )</f>
        <v>1</v>
      </c>
    </row>
    <row r="1283" spans="58:61" x14ac:dyDescent="0.2">
      <c r="BF1283" s="3">
        <v>0.36</v>
      </c>
      <c r="BG1283" s="3" t="str">
        <f t="shared" ref="BG1283:BG1293" si="131">"0"</f>
        <v>0</v>
      </c>
      <c r="BH1283" t="str">
        <f ca="1">IF((OFFSET($A$1, 1283 - 1, 58 - 1)) &gt;= (OFFSET($A$1, 96 - 1, 7 - 1)), "1","0")</f>
        <v>0</v>
      </c>
      <c r="BI1283">
        <f ca="1" xml:space="preserve"> IF( AND( OFFSET($A$1, 1283 - 1, 59 - 1) = "1", OFFSET($A$1, 1283 - 1, 60 - 1) = "1" ), 1, IF( AND( OFFSET($A$1, 1283 - 1, 59 - 1) = "1", OFFSET($A$1, 1283 - 1, 60 - 1) = "0" ), 2, IF( AND( OFFSET($A$1, 1283 - 1, 59 - 1) = "0", OFFSET($A$1, 1283 - 1, 60 - 1) = "1" ), 3, 4 ) ) )</f>
        <v>4</v>
      </c>
    </row>
    <row r="1284" spans="58:61" x14ac:dyDescent="0.2">
      <c r="BF1284" s="3">
        <v>0.08</v>
      </c>
      <c r="BG1284" s="3" t="str">
        <f t="shared" si="131"/>
        <v>0</v>
      </c>
      <c r="BH1284" t="str">
        <f ca="1">IF((OFFSET($A$1, 1284 - 1, 58 - 1)) &gt;= (OFFSET($A$1, 96 - 1, 7 - 1)), "1","0")</f>
        <v>0</v>
      </c>
      <c r="BI1284">
        <f ca="1" xml:space="preserve"> IF( AND( OFFSET($A$1, 1284 - 1, 59 - 1) = "1", OFFSET($A$1, 1284 - 1, 60 - 1) = "1" ), 1, IF( AND( OFFSET($A$1, 1284 - 1, 59 - 1) = "1", OFFSET($A$1, 1284 - 1, 60 - 1) = "0" ), 2, IF( AND( OFFSET($A$1, 1284 - 1, 59 - 1) = "0", OFFSET($A$1, 1284 - 1, 60 - 1) = "1" ), 3, 4 ) ) )</f>
        <v>4</v>
      </c>
    </row>
    <row r="1285" spans="58:61" x14ac:dyDescent="0.2">
      <c r="BF1285" s="3">
        <v>0.1081081081081081</v>
      </c>
      <c r="BG1285" s="3" t="str">
        <f t="shared" si="131"/>
        <v>0</v>
      </c>
      <c r="BH1285" t="str">
        <f ca="1">IF((OFFSET($A$1, 1285 - 1, 58 - 1)) &gt;= (OFFSET($A$1, 96 - 1, 7 - 1)), "1","0")</f>
        <v>0</v>
      </c>
      <c r="BI1285">
        <f ca="1" xml:space="preserve"> IF( AND( OFFSET($A$1, 1285 - 1, 59 - 1) = "1", OFFSET($A$1, 1285 - 1, 60 - 1) = "1" ), 1, IF( AND( OFFSET($A$1, 1285 - 1, 59 - 1) = "1", OFFSET($A$1, 1285 - 1, 60 - 1) = "0" ), 2, IF( AND( OFFSET($A$1, 1285 - 1, 59 - 1) = "0", OFFSET($A$1, 1285 - 1, 60 - 1) = "1" ), 3, 4 ) ) )</f>
        <v>4</v>
      </c>
    </row>
    <row r="1286" spans="58:61" x14ac:dyDescent="0.2">
      <c r="BF1286" s="3">
        <v>3.7037037037037042E-2</v>
      </c>
      <c r="BG1286" s="3" t="str">
        <f t="shared" si="131"/>
        <v>0</v>
      </c>
      <c r="BH1286" t="str">
        <f ca="1">IF((OFFSET($A$1, 1286 - 1, 58 - 1)) &gt;= (OFFSET($A$1, 96 - 1, 7 - 1)), "1","0")</f>
        <v>0</v>
      </c>
      <c r="BI1286">
        <f ca="1" xml:space="preserve"> IF( AND( OFFSET($A$1, 1286 - 1, 59 - 1) = "1", OFFSET($A$1, 1286 - 1, 60 - 1) = "1" ), 1, IF( AND( OFFSET($A$1, 1286 - 1, 59 - 1) = "1", OFFSET($A$1, 1286 - 1, 60 - 1) = "0" ), 2, IF( AND( OFFSET($A$1, 1286 - 1, 59 - 1) = "0", OFFSET($A$1, 1286 - 1, 60 - 1) = "1" ), 3, 4 ) ) )</f>
        <v>4</v>
      </c>
    </row>
    <row r="1287" spans="58:61" x14ac:dyDescent="0.2">
      <c r="BF1287" s="3">
        <v>0.36</v>
      </c>
      <c r="BG1287" s="3" t="str">
        <f t="shared" si="131"/>
        <v>0</v>
      </c>
      <c r="BH1287" t="str">
        <f ca="1">IF((OFFSET($A$1, 1287 - 1, 58 - 1)) &gt;= (OFFSET($A$1, 96 - 1, 7 - 1)), "1","0")</f>
        <v>0</v>
      </c>
      <c r="BI1287">
        <f ca="1" xml:space="preserve"> IF( AND( OFFSET($A$1, 1287 - 1, 59 - 1) = "1", OFFSET($A$1, 1287 - 1, 60 - 1) = "1" ), 1, IF( AND( OFFSET($A$1, 1287 - 1, 59 - 1) = "1", OFFSET($A$1, 1287 - 1, 60 - 1) = "0" ), 2, IF( AND( OFFSET($A$1, 1287 - 1, 59 - 1) = "0", OFFSET($A$1, 1287 - 1, 60 - 1) = "1" ), 3, 4 ) ) )</f>
        <v>4</v>
      </c>
    </row>
    <row r="1288" spans="58:61" x14ac:dyDescent="0.2">
      <c r="BF1288" s="3">
        <v>0</v>
      </c>
      <c r="BG1288" s="3" t="str">
        <f t="shared" si="131"/>
        <v>0</v>
      </c>
      <c r="BH1288" t="str">
        <f ca="1">IF((OFFSET($A$1, 1288 - 1, 58 - 1)) &gt;= (OFFSET($A$1, 96 - 1, 7 - 1)), "1","0")</f>
        <v>0</v>
      </c>
      <c r="BI1288">
        <f ca="1" xml:space="preserve"> IF( AND( OFFSET($A$1, 1288 - 1, 59 - 1) = "1", OFFSET($A$1, 1288 - 1, 60 - 1) = "1" ), 1, IF( AND( OFFSET($A$1, 1288 - 1, 59 - 1) = "1", OFFSET($A$1, 1288 - 1, 60 - 1) = "0" ), 2, IF( AND( OFFSET($A$1, 1288 - 1, 59 - 1) = "0", OFFSET($A$1, 1288 - 1, 60 - 1) = "1" ), 3, 4 ) ) )</f>
        <v>4</v>
      </c>
    </row>
    <row r="1289" spans="58:61" x14ac:dyDescent="0.2">
      <c r="BF1289" s="3">
        <v>0.36</v>
      </c>
      <c r="BG1289" s="3" t="str">
        <f t="shared" si="131"/>
        <v>0</v>
      </c>
      <c r="BH1289" t="str">
        <f ca="1">IF((OFFSET($A$1, 1289 - 1, 58 - 1)) &gt;= (OFFSET($A$1, 96 - 1, 7 - 1)), "1","0")</f>
        <v>0</v>
      </c>
      <c r="BI1289">
        <f ca="1" xml:space="preserve"> IF( AND( OFFSET($A$1, 1289 - 1, 59 - 1) = "1", OFFSET($A$1, 1289 - 1, 60 - 1) = "1" ), 1, IF( AND( OFFSET($A$1, 1289 - 1, 59 - 1) = "1", OFFSET($A$1, 1289 - 1, 60 - 1) = "0" ), 2, IF( AND( OFFSET($A$1, 1289 - 1, 59 - 1) = "0", OFFSET($A$1, 1289 - 1, 60 - 1) = "1" ), 3, 4 ) ) )</f>
        <v>4</v>
      </c>
    </row>
    <row r="1290" spans="58:61" x14ac:dyDescent="0.2">
      <c r="BF1290" s="3">
        <v>0</v>
      </c>
      <c r="BG1290" s="3" t="str">
        <f t="shared" si="131"/>
        <v>0</v>
      </c>
      <c r="BH1290" t="str">
        <f ca="1">IF((OFFSET($A$1, 1290 - 1, 58 - 1)) &gt;= (OFFSET($A$1, 96 - 1, 7 - 1)), "1","0")</f>
        <v>0</v>
      </c>
      <c r="BI1290">
        <f ca="1" xml:space="preserve"> IF( AND( OFFSET($A$1, 1290 - 1, 59 - 1) = "1", OFFSET($A$1, 1290 - 1, 60 - 1) = "1" ), 1, IF( AND( OFFSET($A$1, 1290 - 1, 59 - 1) = "1", OFFSET($A$1, 1290 - 1, 60 - 1) = "0" ), 2, IF( AND( OFFSET($A$1, 1290 - 1, 59 - 1) = "0", OFFSET($A$1, 1290 - 1, 60 - 1) = "1" ), 3, 4 ) ) )</f>
        <v>4</v>
      </c>
    </row>
    <row r="1291" spans="58:61" x14ac:dyDescent="0.2">
      <c r="BF1291" s="3">
        <v>0</v>
      </c>
      <c r="BG1291" s="3" t="str">
        <f t="shared" si="131"/>
        <v>0</v>
      </c>
      <c r="BH1291" t="str">
        <f ca="1">IF((OFFSET($A$1, 1291 - 1, 58 - 1)) &gt;= (OFFSET($A$1, 96 - 1, 7 - 1)), "1","0")</f>
        <v>0</v>
      </c>
      <c r="BI1291">
        <f ca="1" xml:space="preserve"> IF( AND( OFFSET($A$1, 1291 - 1, 59 - 1) = "1", OFFSET($A$1, 1291 - 1, 60 - 1) = "1" ), 1, IF( AND( OFFSET($A$1, 1291 - 1, 59 - 1) = "1", OFFSET($A$1, 1291 - 1, 60 - 1) = "0" ), 2, IF( AND( OFFSET($A$1, 1291 - 1, 59 - 1) = "0", OFFSET($A$1, 1291 - 1, 60 - 1) = "1" ), 3, 4 ) ) )</f>
        <v>4</v>
      </c>
    </row>
    <row r="1292" spans="58:61" x14ac:dyDescent="0.2">
      <c r="BF1292" s="3">
        <v>0</v>
      </c>
      <c r="BG1292" s="3" t="str">
        <f t="shared" si="131"/>
        <v>0</v>
      </c>
      <c r="BH1292" t="str">
        <f ca="1">IF((OFFSET($A$1, 1292 - 1, 58 - 1)) &gt;= (OFFSET($A$1, 96 - 1, 7 - 1)), "1","0")</f>
        <v>0</v>
      </c>
      <c r="BI1292">
        <f ca="1" xml:space="preserve"> IF( AND( OFFSET($A$1, 1292 - 1, 59 - 1) = "1", OFFSET($A$1, 1292 - 1, 60 - 1) = "1" ), 1, IF( AND( OFFSET($A$1, 1292 - 1, 59 - 1) = "1", OFFSET($A$1, 1292 - 1, 60 - 1) = "0" ), 2, IF( AND( OFFSET($A$1, 1292 - 1, 59 - 1) = "0", OFFSET($A$1, 1292 - 1, 60 - 1) = "1" ), 3, 4 ) ) )</f>
        <v>4</v>
      </c>
    </row>
    <row r="1293" spans="58:61" x14ac:dyDescent="0.2">
      <c r="BF1293" s="3">
        <v>0</v>
      </c>
      <c r="BG1293" s="3" t="str">
        <f t="shared" si="131"/>
        <v>0</v>
      </c>
      <c r="BH1293" t="str">
        <f ca="1">IF((OFFSET($A$1, 1293 - 1, 58 - 1)) &gt;= (OFFSET($A$1, 96 - 1, 7 - 1)), "1","0")</f>
        <v>0</v>
      </c>
      <c r="BI1293">
        <f ca="1" xml:space="preserve"> IF( AND( OFFSET($A$1, 1293 - 1, 59 - 1) = "1", OFFSET($A$1, 1293 - 1, 60 - 1) = "1" ), 1, IF( AND( OFFSET($A$1, 1293 - 1, 59 - 1) = "1", OFFSET($A$1, 1293 - 1, 60 - 1) = "0" ), 2, IF( AND( OFFSET($A$1, 1293 - 1, 59 - 1) = "0", OFFSET($A$1, 1293 - 1, 60 - 1) = "1" ), 3, 4 ) ) )</f>
        <v>4</v>
      </c>
    </row>
    <row r="1294" spans="58:61" x14ac:dyDescent="0.2">
      <c r="BF1294" s="3">
        <v>0.36</v>
      </c>
      <c r="BG1294" s="3" t="str">
        <f>"1"</f>
        <v>1</v>
      </c>
      <c r="BH1294" t="str">
        <f ca="1">IF((OFFSET($A$1, 1294 - 1, 58 - 1)) &gt;= (OFFSET($A$1, 96 - 1, 7 - 1)), "1","0")</f>
        <v>0</v>
      </c>
      <c r="BI1294">
        <f ca="1" xml:space="preserve"> IF( AND( OFFSET($A$1, 1294 - 1, 59 - 1) = "1", OFFSET($A$1, 1294 - 1, 60 - 1) = "1" ), 1, IF( AND( OFFSET($A$1, 1294 - 1, 59 - 1) = "1", OFFSET($A$1, 1294 - 1, 60 - 1) = "0" ), 2, IF( AND( OFFSET($A$1, 1294 - 1, 59 - 1) = "0", OFFSET($A$1, 1294 - 1, 60 - 1) = "1" ), 3, 4 ) ) )</f>
        <v>2</v>
      </c>
    </row>
    <row r="1295" spans="58:61" x14ac:dyDescent="0.2">
      <c r="BF1295" s="3">
        <v>0</v>
      </c>
      <c r="BG1295" s="3" t="str">
        <f>"0"</f>
        <v>0</v>
      </c>
      <c r="BH1295" t="str">
        <f ca="1">IF((OFFSET($A$1, 1295 - 1, 58 - 1)) &gt;= (OFFSET($A$1, 96 - 1, 7 - 1)), "1","0")</f>
        <v>0</v>
      </c>
      <c r="BI1295">
        <f ca="1" xml:space="preserve"> IF( AND( OFFSET($A$1, 1295 - 1, 59 - 1) = "1", OFFSET($A$1, 1295 - 1, 60 - 1) = "1" ), 1, IF( AND( OFFSET($A$1, 1295 - 1, 59 - 1) = "1", OFFSET($A$1, 1295 - 1, 60 - 1) = "0" ), 2, IF( AND( OFFSET($A$1, 1295 - 1, 59 - 1) = "0", OFFSET($A$1, 1295 - 1, 60 - 1) = "1" ), 3, 4 ) ) )</f>
        <v>4</v>
      </c>
    </row>
    <row r="1296" spans="58:61" x14ac:dyDescent="0.2">
      <c r="BF1296" s="3">
        <v>0</v>
      </c>
      <c r="BG1296" s="3" t="str">
        <f>"0"</f>
        <v>0</v>
      </c>
      <c r="BH1296" t="str">
        <f ca="1">IF((OFFSET($A$1, 1296 - 1, 58 - 1)) &gt;= (OFFSET($A$1, 96 - 1, 7 - 1)), "1","0")</f>
        <v>0</v>
      </c>
      <c r="BI1296">
        <f ca="1" xml:space="preserve"> IF( AND( OFFSET($A$1, 1296 - 1, 59 - 1) = "1", OFFSET($A$1, 1296 - 1, 60 - 1) = "1" ), 1, IF( AND( OFFSET($A$1, 1296 - 1, 59 - 1) = "1", OFFSET($A$1, 1296 - 1, 60 - 1) = "0" ), 2, IF( AND( OFFSET($A$1, 1296 - 1, 59 - 1) = "0", OFFSET($A$1, 1296 - 1, 60 - 1) = "1" ), 3, 4 ) ) )</f>
        <v>4</v>
      </c>
    </row>
    <row r="1297" spans="58:61" x14ac:dyDescent="0.2">
      <c r="BF1297" s="3">
        <v>0</v>
      </c>
      <c r="BG1297" s="3" t="str">
        <f>"0"</f>
        <v>0</v>
      </c>
      <c r="BH1297" t="str">
        <f ca="1">IF((OFFSET($A$1, 1297 - 1, 58 - 1)) &gt;= (OFFSET($A$1, 96 - 1, 7 - 1)), "1","0")</f>
        <v>0</v>
      </c>
      <c r="BI1297">
        <f ca="1" xml:space="preserve"> IF( AND( OFFSET($A$1, 1297 - 1, 59 - 1) = "1", OFFSET($A$1, 1297 - 1, 60 - 1) = "1" ), 1, IF( AND( OFFSET($A$1, 1297 - 1, 59 - 1) = "1", OFFSET($A$1, 1297 - 1, 60 - 1) = "0" ), 2, IF( AND( OFFSET($A$1, 1297 - 1, 59 - 1) = "0", OFFSET($A$1, 1297 - 1, 60 - 1) = "1" ), 3, 4 ) ) )</f>
        <v>4</v>
      </c>
    </row>
    <row r="1298" spans="58:61" x14ac:dyDescent="0.2">
      <c r="BF1298" s="3">
        <v>0.36</v>
      </c>
      <c r="BG1298" s="3" t="str">
        <f>"1"</f>
        <v>1</v>
      </c>
      <c r="BH1298" t="str">
        <f ca="1">IF((OFFSET($A$1, 1298 - 1, 58 - 1)) &gt;= (OFFSET($A$1, 96 - 1, 7 - 1)), "1","0")</f>
        <v>0</v>
      </c>
      <c r="BI1298">
        <f ca="1" xml:space="preserve"> IF( AND( OFFSET($A$1, 1298 - 1, 59 - 1) = "1", OFFSET($A$1, 1298 - 1, 60 - 1) = "1" ), 1, IF( AND( OFFSET($A$1, 1298 - 1, 59 - 1) = "1", OFFSET($A$1, 1298 - 1, 60 - 1) = "0" ), 2, IF( AND( OFFSET($A$1, 1298 - 1, 59 - 1) = "0", OFFSET($A$1, 1298 - 1, 60 - 1) = "1" ), 3, 4 ) ) )</f>
        <v>2</v>
      </c>
    </row>
    <row r="1299" spans="58:61" x14ac:dyDescent="0.2">
      <c r="BF1299" s="3">
        <v>3.7037037037037042E-2</v>
      </c>
      <c r="BG1299" s="3" t="str">
        <f>"0"</f>
        <v>0</v>
      </c>
      <c r="BH1299" t="str">
        <f ca="1">IF((OFFSET($A$1, 1299 - 1, 58 - 1)) &gt;= (OFFSET($A$1, 96 - 1, 7 - 1)), "1","0")</f>
        <v>0</v>
      </c>
      <c r="BI1299">
        <f ca="1" xml:space="preserve"> IF( AND( OFFSET($A$1, 1299 - 1, 59 - 1) = "1", OFFSET($A$1, 1299 - 1, 60 - 1) = "1" ), 1, IF( AND( OFFSET($A$1, 1299 - 1, 59 - 1) = "1", OFFSET($A$1, 1299 - 1, 60 - 1) = "0" ), 2, IF( AND( OFFSET($A$1, 1299 - 1, 59 - 1) = "0", OFFSET($A$1, 1299 - 1, 60 - 1) = "1" ), 3, 4 ) ) )</f>
        <v>4</v>
      </c>
    </row>
    <row r="1300" spans="58:61" x14ac:dyDescent="0.2">
      <c r="BF1300" s="3">
        <v>0.47692307692307689</v>
      </c>
      <c r="BG1300" s="3" t="str">
        <f>"0"</f>
        <v>0</v>
      </c>
      <c r="BH1300" t="str">
        <f ca="1">IF((OFFSET($A$1, 1300 - 1, 58 - 1)) &gt;= (OFFSET($A$1, 96 - 1, 7 - 1)), "1","0")</f>
        <v>0</v>
      </c>
      <c r="BI1300">
        <f ca="1" xml:space="preserve"> IF( AND( OFFSET($A$1, 1300 - 1, 59 - 1) = "1", OFFSET($A$1, 1300 - 1, 60 - 1) = "1" ), 1, IF( AND( OFFSET($A$1, 1300 - 1, 59 - 1) = "1", OFFSET($A$1, 1300 - 1, 60 - 1) = "0" ), 2, IF( AND( OFFSET($A$1, 1300 - 1, 59 - 1) = "0", OFFSET($A$1, 1300 - 1, 60 - 1) = "1" ), 3, 4 ) ) )</f>
        <v>4</v>
      </c>
    </row>
    <row r="1301" spans="58:61" x14ac:dyDescent="0.2">
      <c r="BF1301" s="3">
        <v>3.7037037037037042E-2</v>
      </c>
      <c r="BG1301" s="3" t="str">
        <f>"1"</f>
        <v>1</v>
      </c>
      <c r="BH1301" t="str">
        <f ca="1">IF((OFFSET($A$1, 1301 - 1, 58 - 1)) &gt;= (OFFSET($A$1, 96 - 1, 7 - 1)), "1","0")</f>
        <v>0</v>
      </c>
      <c r="BI1301">
        <f ca="1" xml:space="preserve"> IF( AND( OFFSET($A$1, 1301 - 1, 59 - 1) = "1", OFFSET($A$1, 1301 - 1, 60 - 1) = "1" ), 1, IF( AND( OFFSET($A$1, 1301 - 1, 59 - 1) = "1", OFFSET($A$1, 1301 - 1, 60 - 1) = "0" ), 2, IF( AND( OFFSET($A$1, 1301 - 1, 59 - 1) = "0", OFFSET($A$1, 1301 - 1, 60 - 1) = "1" ), 3, 4 ) ) )</f>
        <v>2</v>
      </c>
    </row>
    <row r="1302" spans="58:61" x14ac:dyDescent="0.2">
      <c r="BF1302" s="3">
        <v>0</v>
      </c>
      <c r="BG1302" s="3" t="str">
        <f>"0"</f>
        <v>0</v>
      </c>
      <c r="BH1302" t="str">
        <f ca="1">IF((OFFSET($A$1, 1302 - 1, 58 - 1)) &gt;= (OFFSET($A$1, 96 - 1, 7 - 1)), "1","0")</f>
        <v>0</v>
      </c>
      <c r="BI1302">
        <f ca="1" xml:space="preserve"> IF( AND( OFFSET($A$1, 1302 - 1, 59 - 1) = "1", OFFSET($A$1, 1302 - 1, 60 - 1) = "1" ), 1, IF( AND( OFFSET($A$1, 1302 - 1, 59 - 1) = "1", OFFSET($A$1, 1302 - 1, 60 - 1) = "0" ), 2, IF( AND( OFFSET($A$1, 1302 - 1, 59 - 1) = "0", OFFSET($A$1, 1302 - 1, 60 - 1) = "1" ), 3, 4 ) ) )</f>
        <v>4</v>
      </c>
    </row>
    <row r="1303" spans="58:61" x14ac:dyDescent="0.2">
      <c r="BF1303" s="3">
        <v>0.90579710144927539</v>
      </c>
      <c r="BG1303" s="3" t="str">
        <f>"1"</f>
        <v>1</v>
      </c>
      <c r="BH1303" t="str">
        <f ca="1">IF((OFFSET($A$1, 1303 - 1, 58 - 1)) &gt;= (OFFSET($A$1, 96 - 1, 7 - 1)), "1","0")</f>
        <v>1</v>
      </c>
      <c r="BI1303">
        <f ca="1" xml:space="preserve"> IF( AND( OFFSET($A$1, 1303 - 1, 59 - 1) = "1", OFFSET($A$1, 1303 - 1, 60 - 1) = "1" ), 1, IF( AND( OFFSET($A$1, 1303 - 1, 59 - 1) = "1", OFFSET($A$1, 1303 - 1, 60 - 1) = "0" ), 2, IF( AND( OFFSET($A$1, 1303 - 1, 59 - 1) = "0", OFFSET($A$1, 1303 - 1, 60 - 1) = "1" ), 3, 4 ) ) )</f>
        <v>1</v>
      </c>
    </row>
    <row r="1304" spans="58:61" x14ac:dyDescent="0.2">
      <c r="BF1304" s="3">
        <v>0.90579710144927539</v>
      </c>
      <c r="BG1304" s="3" t="str">
        <f>"1"</f>
        <v>1</v>
      </c>
      <c r="BH1304" t="str">
        <f ca="1">IF((OFFSET($A$1, 1304 - 1, 58 - 1)) &gt;= (OFFSET($A$1, 96 - 1, 7 - 1)), "1","0")</f>
        <v>1</v>
      </c>
      <c r="BI1304">
        <f ca="1" xml:space="preserve"> IF( AND( OFFSET($A$1, 1304 - 1, 59 - 1) = "1", OFFSET($A$1, 1304 - 1, 60 - 1) = "1" ), 1, IF( AND( OFFSET($A$1, 1304 - 1, 59 - 1) = "1", OFFSET($A$1, 1304 - 1, 60 - 1) = "0" ), 2, IF( AND( OFFSET($A$1, 1304 - 1, 59 - 1) = "0", OFFSET($A$1, 1304 - 1, 60 - 1) = "1" ), 3, 4 ) ) )</f>
        <v>1</v>
      </c>
    </row>
    <row r="1305" spans="58:61" x14ac:dyDescent="0.2">
      <c r="BF1305" s="3">
        <v>0</v>
      </c>
      <c r="BG1305" s="3" t="str">
        <f t="shared" ref="BG1305:BG1310" si="132">"0"</f>
        <v>0</v>
      </c>
      <c r="BH1305" t="str">
        <f ca="1">IF((OFFSET($A$1, 1305 - 1, 58 - 1)) &gt;= (OFFSET($A$1, 96 - 1, 7 - 1)), "1","0")</f>
        <v>0</v>
      </c>
      <c r="BI1305">
        <f ca="1" xml:space="preserve"> IF( AND( OFFSET($A$1, 1305 - 1, 59 - 1) = "1", OFFSET($A$1, 1305 - 1, 60 - 1) = "1" ), 1, IF( AND( OFFSET($A$1, 1305 - 1, 59 - 1) = "1", OFFSET($A$1, 1305 - 1, 60 - 1) = "0" ), 2, IF( AND( OFFSET($A$1, 1305 - 1, 59 - 1) = "0", OFFSET($A$1, 1305 - 1, 60 - 1) = "1" ), 3, 4 ) ) )</f>
        <v>4</v>
      </c>
    </row>
    <row r="1306" spans="58:61" x14ac:dyDescent="0.2">
      <c r="BF1306" s="3">
        <v>0</v>
      </c>
      <c r="BG1306" s="3" t="str">
        <f t="shared" si="132"/>
        <v>0</v>
      </c>
      <c r="BH1306" t="str">
        <f ca="1">IF((OFFSET($A$1, 1306 - 1, 58 - 1)) &gt;= (OFFSET($A$1, 96 - 1, 7 - 1)), "1","0")</f>
        <v>0</v>
      </c>
      <c r="BI1306">
        <f ca="1" xml:space="preserve"> IF( AND( OFFSET($A$1, 1306 - 1, 59 - 1) = "1", OFFSET($A$1, 1306 - 1, 60 - 1) = "1" ), 1, IF( AND( OFFSET($A$1, 1306 - 1, 59 - 1) = "1", OFFSET($A$1, 1306 - 1, 60 - 1) = "0" ), 2, IF( AND( OFFSET($A$1, 1306 - 1, 59 - 1) = "0", OFFSET($A$1, 1306 - 1, 60 - 1) = "1" ), 3, 4 ) ) )</f>
        <v>4</v>
      </c>
    </row>
    <row r="1307" spans="58:61" x14ac:dyDescent="0.2">
      <c r="BF1307" s="3">
        <v>0</v>
      </c>
      <c r="BG1307" s="3" t="str">
        <f t="shared" si="132"/>
        <v>0</v>
      </c>
      <c r="BH1307" t="str">
        <f ca="1">IF((OFFSET($A$1, 1307 - 1, 58 - 1)) &gt;= (OFFSET($A$1, 96 - 1, 7 - 1)), "1","0")</f>
        <v>0</v>
      </c>
      <c r="BI1307">
        <f ca="1" xml:space="preserve"> IF( AND( OFFSET($A$1, 1307 - 1, 59 - 1) = "1", OFFSET($A$1, 1307 - 1, 60 - 1) = "1" ), 1, IF( AND( OFFSET($A$1, 1307 - 1, 59 - 1) = "1", OFFSET($A$1, 1307 - 1, 60 - 1) = "0" ), 2, IF( AND( OFFSET($A$1, 1307 - 1, 59 - 1) = "0", OFFSET($A$1, 1307 - 1, 60 - 1) = "1" ), 3, 4 ) ) )</f>
        <v>4</v>
      </c>
    </row>
    <row r="1308" spans="58:61" x14ac:dyDescent="0.2">
      <c r="BF1308" s="3">
        <v>0.38775510204081637</v>
      </c>
      <c r="BG1308" s="3" t="str">
        <f t="shared" si="132"/>
        <v>0</v>
      </c>
      <c r="BH1308" t="str">
        <f ca="1">IF((OFFSET($A$1, 1308 - 1, 58 - 1)) &gt;= (OFFSET($A$1, 96 - 1, 7 - 1)), "1","0")</f>
        <v>0</v>
      </c>
      <c r="BI1308">
        <f ca="1" xml:space="preserve"> IF( AND( OFFSET($A$1, 1308 - 1, 59 - 1) = "1", OFFSET($A$1, 1308 - 1, 60 - 1) = "1" ), 1, IF( AND( OFFSET($A$1, 1308 - 1, 59 - 1) = "1", OFFSET($A$1, 1308 - 1, 60 - 1) = "0" ), 2, IF( AND( OFFSET($A$1, 1308 - 1, 59 - 1) = "0", OFFSET($A$1, 1308 - 1, 60 - 1) = "1" ), 3, 4 ) ) )</f>
        <v>4</v>
      </c>
    </row>
    <row r="1309" spans="58:61" x14ac:dyDescent="0.2">
      <c r="BF1309" s="3">
        <v>0</v>
      </c>
      <c r="BG1309" s="3" t="str">
        <f t="shared" si="132"/>
        <v>0</v>
      </c>
      <c r="BH1309" t="str">
        <f ca="1">IF((OFFSET($A$1, 1309 - 1, 58 - 1)) &gt;= (OFFSET($A$1, 96 - 1, 7 - 1)), "1","0")</f>
        <v>0</v>
      </c>
      <c r="BI1309">
        <f ca="1" xml:space="preserve"> IF( AND( OFFSET($A$1, 1309 - 1, 59 - 1) = "1", OFFSET($A$1, 1309 - 1, 60 - 1) = "1" ), 1, IF( AND( OFFSET($A$1, 1309 - 1, 59 - 1) = "1", OFFSET($A$1, 1309 - 1, 60 - 1) = "0" ), 2, IF( AND( OFFSET($A$1, 1309 - 1, 59 - 1) = "0", OFFSET($A$1, 1309 - 1, 60 - 1) = "1" ), 3, 4 ) ) )</f>
        <v>4</v>
      </c>
    </row>
    <row r="1310" spans="58:61" x14ac:dyDescent="0.2">
      <c r="BF1310" s="3">
        <v>0</v>
      </c>
      <c r="BG1310" s="3" t="str">
        <f t="shared" si="132"/>
        <v>0</v>
      </c>
      <c r="BH1310" t="str">
        <f ca="1">IF((OFFSET($A$1, 1310 - 1, 58 - 1)) &gt;= (OFFSET($A$1, 96 - 1, 7 - 1)), "1","0")</f>
        <v>0</v>
      </c>
      <c r="BI1310">
        <f ca="1" xml:space="preserve"> IF( AND( OFFSET($A$1, 1310 - 1, 59 - 1) = "1", OFFSET($A$1, 1310 - 1, 60 - 1) = "1" ), 1, IF( AND( OFFSET($A$1, 1310 - 1, 59 - 1) = "1", OFFSET($A$1, 1310 - 1, 60 - 1) = "0" ), 2, IF( AND( OFFSET($A$1, 1310 - 1, 59 - 1) = "0", OFFSET($A$1, 1310 - 1, 60 - 1) = "1" ), 3, 4 ) ) )</f>
        <v>4</v>
      </c>
    </row>
    <row r="1311" spans="58:61" x14ac:dyDescent="0.2">
      <c r="BF1311" s="3">
        <v>0.38775510204081637</v>
      </c>
      <c r="BG1311" s="3" t="str">
        <f>"1"</f>
        <v>1</v>
      </c>
      <c r="BH1311" t="str">
        <f ca="1">IF((OFFSET($A$1, 1311 - 1, 58 - 1)) &gt;= (OFFSET($A$1, 96 - 1, 7 - 1)), "1","0")</f>
        <v>0</v>
      </c>
      <c r="BI1311">
        <f ca="1" xml:space="preserve"> IF( AND( OFFSET($A$1, 1311 - 1, 59 - 1) = "1", OFFSET($A$1, 1311 - 1, 60 - 1) = "1" ), 1, IF( AND( OFFSET($A$1, 1311 - 1, 59 - 1) = "1", OFFSET($A$1, 1311 - 1, 60 - 1) = "0" ), 2, IF( AND( OFFSET($A$1, 1311 - 1, 59 - 1) = "0", OFFSET($A$1, 1311 - 1, 60 - 1) = "1" ), 3, 4 ) ) )</f>
        <v>2</v>
      </c>
    </row>
    <row r="1312" spans="58:61" x14ac:dyDescent="0.2">
      <c r="BF1312" s="3">
        <v>0</v>
      </c>
      <c r="BG1312" s="3" t="str">
        <f>"0"</f>
        <v>0</v>
      </c>
      <c r="BH1312" t="str">
        <f ca="1">IF((OFFSET($A$1, 1312 - 1, 58 - 1)) &gt;= (OFFSET($A$1, 96 - 1, 7 - 1)), "1","0")</f>
        <v>0</v>
      </c>
      <c r="BI1312">
        <f ca="1" xml:space="preserve"> IF( AND( OFFSET($A$1, 1312 - 1, 59 - 1) = "1", OFFSET($A$1, 1312 - 1, 60 - 1) = "1" ), 1, IF( AND( OFFSET($A$1, 1312 - 1, 59 - 1) = "1", OFFSET($A$1, 1312 - 1, 60 - 1) = "0" ), 2, IF( AND( OFFSET($A$1, 1312 - 1, 59 - 1) = "0", OFFSET($A$1, 1312 - 1, 60 - 1) = "1" ), 3, 4 ) ) )</f>
        <v>4</v>
      </c>
    </row>
    <row r="1313" spans="58:61" x14ac:dyDescent="0.2">
      <c r="BF1313" s="3">
        <v>0</v>
      </c>
      <c r="BG1313" s="3" t="str">
        <f>"0"</f>
        <v>0</v>
      </c>
      <c r="BH1313" t="str">
        <f ca="1">IF((OFFSET($A$1, 1313 - 1, 58 - 1)) &gt;= (OFFSET($A$1, 96 - 1, 7 - 1)), "1","0")</f>
        <v>0</v>
      </c>
      <c r="BI1313">
        <f ca="1" xml:space="preserve"> IF( AND( OFFSET($A$1, 1313 - 1, 59 - 1) = "1", OFFSET($A$1, 1313 - 1, 60 - 1) = "1" ), 1, IF( AND( OFFSET($A$1, 1313 - 1, 59 - 1) = "1", OFFSET($A$1, 1313 - 1, 60 - 1) = "0" ), 2, IF( AND( OFFSET($A$1, 1313 - 1, 59 - 1) = "0", OFFSET($A$1, 1313 - 1, 60 - 1) = "1" ), 3, 4 ) ) )</f>
        <v>4</v>
      </c>
    </row>
    <row r="1314" spans="58:61" x14ac:dyDescent="0.2">
      <c r="BF1314" s="3">
        <v>0</v>
      </c>
      <c r="BG1314" s="3" t="str">
        <f>"0"</f>
        <v>0</v>
      </c>
      <c r="BH1314" t="str">
        <f ca="1">IF((OFFSET($A$1, 1314 - 1, 58 - 1)) &gt;= (OFFSET($A$1, 96 - 1, 7 - 1)), "1","0")</f>
        <v>0</v>
      </c>
      <c r="BI1314">
        <f ca="1" xml:space="preserve"> IF( AND( OFFSET($A$1, 1314 - 1, 59 - 1) = "1", OFFSET($A$1, 1314 - 1, 60 - 1) = "1" ), 1, IF( AND( OFFSET($A$1, 1314 - 1, 59 - 1) = "1", OFFSET($A$1, 1314 - 1, 60 - 1) = "0" ), 2, IF( AND( OFFSET($A$1, 1314 - 1, 59 - 1) = "0", OFFSET($A$1, 1314 - 1, 60 - 1) = "1" ), 3, 4 ) ) )</f>
        <v>4</v>
      </c>
    </row>
    <row r="1315" spans="58:61" x14ac:dyDescent="0.2">
      <c r="BF1315" s="3">
        <v>0.90579710144927539</v>
      </c>
      <c r="BG1315" s="3" t="str">
        <f>"1"</f>
        <v>1</v>
      </c>
      <c r="BH1315" t="str">
        <f ca="1">IF((OFFSET($A$1, 1315 - 1, 58 - 1)) &gt;= (OFFSET($A$1, 96 - 1, 7 - 1)), "1","0")</f>
        <v>1</v>
      </c>
      <c r="BI1315">
        <f ca="1" xml:space="preserve"> IF( AND( OFFSET($A$1, 1315 - 1, 59 - 1) = "1", OFFSET($A$1, 1315 - 1, 60 - 1) = "1" ), 1, IF( AND( OFFSET($A$1, 1315 - 1, 59 - 1) = "1", OFFSET($A$1, 1315 - 1, 60 - 1) = "0" ), 2, IF( AND( OFFSET($A$1, 1315 - 1, 59 - 1) = "0", OFFSET($A$1, 1315 - 1, 60 - 1) = "1" ), 3, 4 ) ) )</f>
        <v>1</v>
      </c>
    </row>
    <row r="1316" spans="58:61" x14ac:dyDescent="0.2">
      <c r="BF1316" s="3">
        <v>0.08</v>
      </c>
      <c r="BG1316" s="3" t="str">
        <f>"0"</f>
        <v>0</v>
      </c>
      <c r="BH1316" t="str">
        <f ca="1">IF((OFFSET($A$1, 1316 - 1, 58 - 1)) &gt;= (OFFSET($A$1, 96 - 1, 7 - 1)), "1","0")</f>
        <v>0</v>
      </c>
      <c r="BI1316">
        <f ca="1" xml:space="preserve"> IF( AND( OFFSET($A$1, 1316 - 1, 59 - 1) = "1", OFFSET($A$1, 1316 - 1, 60 - 1) = "1" ), 1, IF( AND( OFFSET($A$1, 1316 - 1, 59 - 1) = "1", OFFSET($A$1, 1316 - 1, 60 - 1) = "0" ), 2, IF( AND( OFFSET($A$1, 1316 - 1, 59 - 1) = "0", OFFSET($A$1, 1316 - 1, 60 - 1) = "1" ), 3, 4 ) ) )</f>
        <v>4</v>
      </c>
    </row>
    <row r="1317" spans="58:61" x14ac:dyDescent="0.2">
      <c r="BF1317" s="3">
        <v>0.90579710144927539</v>
      </c>
      <c r="BG1317" s="3" t="str">
        <f>"1"</f>
        <v>1</v>
      </c>
      <c r="BH1317" t="str">
        <f ca="1">IF((OFFSET($A$1, 1317 - 1, 58 - 1)) &gt;= (OFFSET($A$1, 96 - 1, 7 - 1)), "1","0")</f>
        <v>1</v>
      </c>
      <c r="BI1317">
        <f ca="1" xml:space="preserve"> IF( AND( OFFSET($A$1, 1317 - 1, 59 - 1) = "1", OFFSET($A$1, 1317 - 1, 60 - 1) = "1" ), 1, IF( AND( OFFSET($A$1, 1317 - 1, 59 - 1) = "1", OFFSET($A$1, 1317 - 1, 60 - 1) = "0" ), 2, IF( AND( OFFSET($A$1, 1317 - 1, 59 - 1) = "0", OFFSET($A$1, 1317 - 1, 60 - 1) = "1" ), 3, 4 ) ) )</f>
        <v>1</v>
      </c>
    </row>
    <row r="1318" spans="58:61" x14ac:dyDescent="0.2">
      <c r="BF1318" s="3">
        <v>0.90579710144927539</v>
      </c>
      <c r="BG1318" s="3" t="str">
        <f>"1"</f>
        <v>1</v>
      </c>
      <c r="BH1318" t="str">
        <f ca="1">IF((OFFSET($A$1, 1318 - 1, 58 - 1)) &gt;= (OFFSET($A$1, 96 - 1, 7 - 1)), "1","0")</f>
        <v>1</v>
      </c>
      <c r="BI1318">
        <f ca="1" xml:space="preserve"> IF( AND( OFFSET($A$1, 1318 - 1, 59 - 1) = "1", OFFSET($A$1, 1318 - 1, 60 - 1) = "1" ), 1, IF( AND( OFFSET($A$1, 1318 - 1, 59 - 1) = "1", OFFSET($A$1, 1318 - 1, 60 - 1) = "0" ), 2, IF( AND( OFFSET($A$1, 1318 - 1, 59 - 1) = "0", OFFSET($A$1, 1318 - 1, 60 - 1) = "1" ), 3, 4 ) ) )</f>
        <v>1</v>
      </c>
    </row>
    <row r="1319" spans="58:61" x14ac:dyDescent="0.2">
      <c r="BF1319" s="3">
        <v>0.1081081081081081</v>
      </c>
      <c r="BG1319" s="3" t="str">
        <f>"1"</f>
        <v>1</v>
      </c>
      <c r="BH1319" t="str">
        <f ca="1">IF((OFFSET($A$1, 1319 - 1, 58 - 1)) &gt;= (OFFSET($A$1, 96 - 1, 7 - 1)), "1","0")</f>
        <v>0</v>
      </c>
      <c r="BI1319">
        <f ca="1" xml:space="preserve"> IF( AND( OFFSET($A$1, 1319 - 1, 59 - 1) = "1", OFFSET($A$1, 1319 - 1, 60 - 1) = "1" ), 1, IF( AND( OFFSET($A$1, 1319 - 1, 59 - 1) = "1", OFFSET($A$1, 1319 - 1, 60 - 1) = "0" ), 2, IF( AND( OFFSET($A$1, 1319 - 1, 59 - 1) = "0", OFFSET($A$1, 1319 - 1, 60 - 1) = "1" ), 3, 4 ) ) )</f>
        <v>2</v>
      </c>
    </row>
    <row r="1320" spans="58:61" x14ac:dyDescent="0.2">
      <c r="BF1320" s="3">
        <v>0</v>
      </c>
      <c r="BG1320" s="3" t="str">
        <f>"0"</f>
        <v>0</v>
      </c>
      <c r="BH1320" t="str">
        <f ca="1">IF((OFFSET($A$1, 1320 - 1, 58 - 1)) &gt;= (OFFSET($A$1, 96 - 1, 7 - 1)), "1","0")</f>
        <v>0</v>
      </c>
      <c r="BI1320">
        <f ca="1" xml:space="preserve"> IF( AND( OFFSET($A$1, 1320 - 1, 59 - 1) = "1", OFFSET($A$1, 1320 - 1, 60 - 1) = "1" ), 1, IF( AND( OFFSET($A$1, 1320 - 1, 59 - 1) = "1", OFFSET($A$1, 1320 - 1, 60 - 1) = "0" ), 2, IF( AND( OFFSET($A$1, 1320 - 1, 59 - 1) = "0", OFFSET($A$1, 1320 - 1, 60 - 1) = "1" ), 3, 4 ) ) )</f>
        <v>4</v>
      </c>
    </row>
    <row r="1321" spans="58:61" x14ac:dyDescent="0.2">
      <c r="BF1321" s="3">
        <v>0</v>
      </c>
      <c r="BG1321" s="3" t="str">
        <f>"0"</f>
        <v>0</v>
      </c>
      <c r="BH1321" t="str">
        <f ca="1">IF((OFFSET($A$1, 1321 - 1, 58 - 1)) &gt;= (OFFSET($A$1, 96 - 1, 7 - 1)), "1","0")</f>
        <v>0</v>
      </c>
      <c r="BI1321">
        <f ca="1" xml:space="preserve"> IF( AND( OFFSET($A$1, 1321 - 1, 59 - 1) = "1", OFFSET($A$1, 1321 - 1, 60 - 1) = "1" ), 1, IF( AND( OFFSET($A$1, 1321 - 1, 59 - 1) = "1", OFFSET($A$1, 1321 - 1, 60 - 1) = "0" ), 2, IF( AND( OFFSET($A$1, 1321 - 1, 59 - 1) = "0", OFFSET($A$1, 1321 - 1, 60 - 1) = "1" ), 3, 4 ) ) )</f>
        <v>4</v>
      </c>
    </row>
    <row r="1322" spans="58:61" x14ac:dyDescent="0.2">
      <c r="BF1322" s="3">
        <v>0</v>
      </c>
      <c r="BG1322" s="3" t="str">
        <f>"0"</f>
        <v>0</v>
      </c>
      <c r="BH1322" t="str">
        <f ca="1">IF((OFFSET($A$1, 1322 - 1, 58 - 1)) &gt;= (OFFSET($A$1, 96 - 1, 7 - 1)), "1","0")</f>
        <v>0</v>
      </c>
      <c r="BI1322">
        <f ca="1" xml:space="preserve"> IF( AND( OFFSET($A$1, 1322 - 1, 59 - 1) = "1", OFFSET($A$1, 1322 - 1, 60 - 1) = "1" ), 1, IF( AND( OFFSET($A$1, 1322 - 1, 59 - 1) = "1", OFFSET($A$1, 1322 - 1, 60 - 1) = "0" ), 2, IF( AND( OFFSET($A$1, 1322 - 1, 59 - 1) = "0", OFFSET($A$1, 1322 - 1, 60 - 1) = "1" ), 3, 4 ) ) )</f>
        <v>4</v>
      </c>
    </row>
    <row r="1323" spans="58:61" x14ac:dyDescent="0.2">
      <c r="BF1323" s="3">
        <v>0</v>
      </c>
      <c r="BG1323" s="3" t="str">
        <f>"0"</f>
        <v>0</v>
      </c>
      <c r="BH1323" t="str">
        <f ca="1">IF((OFFSET($A$1, 1323 - 1, 58 - 1)) &gt;= (OFFSET($A$1, 96 - 1, 7 - 1)), "1","0")</f>
        <v>0</v>
      </c>
      <c r="BI1323">
        <f ca="1" xml:space="preserve"> IF( AND( OFFSET($A$1, 1323 - 1, 59 - 1) = "1", OFFSET($A$1, 1323 - 1, 60 - 1) = "1" ), 1, IF( AND( OFFSET($A$1, 1323 - 1, 59 - 1) = "1", OFFSET($A$1, 1323 - 1, 60 - 1) = "0" ), 2, IF( AND( OFFSET($A$1, 1323 - 1, 59 - 1) = "0", OFFSET($A$1, 1323 - 1, 60 - 1) = "1" ), 3, 4 ) ) )</f>
        <v>4</v>
      </c>
    </row>
    <row r="1324" spans="58:61" x14ac:dyDescent="0.2">
      <c r="BF1324" s="3">
        <v>0.38775510204081637</v>
      </c>
      <c r="BG1324" s="3" t="str">
        <f>"1"</f>
        <v>1</v>
      </c>
      <c r="BH1324" t="str">
        <f ca="1">IF((OFFSET($A$1, 1324 - 1, 58 - 1)) &gt;= (OFFSET($A$1, 96 - 1, 7 - 1)), "1","0")</f>
        <v>0</v>
      </c>
      <c r="BI1324">
        <f ca="1" xml:space="preserve"> IF( AND( OFFSET($A$1, 1324 - 1, 59 - 1) = "1", OFFSET($A$1, 1324 - 1, 60 - 1) = "1" ), 1, IF( AND( OFFSET($A$1, 1324 - 1, 59 - 1) = "1", OFFSET($A$1, 1324 - 1, 60 - 1) = "0" ), 2, IF( AND( OFFSET($A$1, 1324 - 1, 59 - 1) = "0", OFFSET($A$1, 1324 - 1, 60 - 1) = "1" ), 3, 4 ) ) )</f>
        <v>2</v>
      </c>
    </row>
    <row r="1325" spans="58:61" x14ac:dyDescent="0.2">
      <c r="BF1325" s="3">
        <v>0.90579710144927539</v>
      </c>
      <c r="BG1325" s="3" t="str">
        <f>"1"</f>
        <v>1</v>
      </c>
      <c r="BH1325" t="str">
        <f ca="1">IF((OFFSET($A$1, 1325 - 1, 58 - 1)) &gt;= (OFFSET($A$1, 96 - 1, 7 - 1)), "1","0")</f>
        <v>1</v>
      </c>
      <c r="BI1325">
        <f ca="1" xml:space="preserve"> IF( AND( OFFSET($A$1, 1325 - 1, 59 - 1) = "1", OFFSET($A$1, 1325 - 1, 60 - 1) = "1" ), 1, IF( AND( OFFSET($A$1, 1325 - 1, 59 - 1) = "1", OFFSET($A$1, 1325 - 1, 60 - 1) = "0" ), 2, IF( AND( OFFSET($A$1, 1325 - 1, 59 - 1) = "0", OFFSET($A$1, 1325 - 1, 60 - 1) = "1" ), 3, 4 ) ) )</f>
        <v>1</v>
      </c>
    </row>
    <row r="1326" spans="58:61" x14ac:dyDescent="0.2">
      <c r="BF1326" s="3">
        <v>0</v>
      </c>
      <c r="BG1326" s="3" t="str">
        <f t="shared" ref="BG1326:BG1344" si="133">"0"</f>
        <v>0</v>
      </c>
      <c r="BH1326" t="str">
        <f ca="1">IF((OFFSET($A$1, 1326 - 1, 58 - 1)) &gt;= (OFFSET($A$1, 96 - 1, 7 - 1)), "1","0")</f>
        <v>0</v>
      </c>
      <c r="BI1326">
        <f ca="1" xml:space="preserve"> IF( AND( OFFSET($A$1, 1326 - 1, 59 - 1) = "1", OFFSET($A$1, 1326 - 1, 60 - 1) = "1" ), 1, IF( AND( OFFSET($A$1, 1326 - 1, 59 - 1) = "1", OFFSET($A$1, 1326 - 1, 60 - 1) = "0" ), 2, IF( AND( OFFSET($A$1, 1326 - 1, 59 - 1) = "0", OFFSET($A$1, 1326 - 1, 60 - 1) = "1" ), 3, 4 ) ) )</f>
        <v>4</v>
      </c>
    </row>
    <row r="1327" spans="58:61" x14ac:dyDescent="0.2">
      <c r="BF1327" s="3">
        <v>0</v>
      </c>
      <c r="BG1327" s="3" t="str">
        <f t="shared" si="133"/>
        <v>0</v>
      </c>
      <c r="BH1327" t="str">
        <f ca="1">IF((OFFSET($A$1, 1327 - 1, 58 - 1)) &gt;= (OFFSET($A$1, 96 - 1, 7 - 1)), "1","0")</f>
        <v>0</v>
      </c>
      <c r="BI1327">
        <f ca="1" xml:space="preserve"> IF( AND( OFFSET($A$1, 1327 - 1, 59 - 1) = "1", OFFSET($A$1, 1327 - 1, 60 - 1) = "1" ), 1, IF( AND( OFFSET($A$1, 1327 - 1, 59 - 1) = "1", OFFSET($A$1, 1327 - 1, 60 - 1) = "0" ), 2, IF( AND( OFFSET($A$1, 1327 - 1, 59 - 1) = "0", OFFSET($A$1, 1327 - 1, 60 - 1) = "1" ), 3, 4 ) ) )</f>
        <v>4</v>
      </c>
    </row>
    <row r="1328" spans="58:61" x14ac:dyDescent="0.2">
      <c r="BF1328" s="3">
        <v>0.1081081081081081</v>
      </c>
      <c r="BG1328" s="3" t="str">
        <f t="shared" si="133"/>
        <v>0</v>
      </c>
      <c r="BH1328" t="str">
        <f ca="1">IF((OFFSET($A$1, 1328 - 1, 58 - 1)) &gt;= (OFFSET($A$1, 96 - 1, 7 - 1)), "1","0")</f>
        <v>0</v>
      </c>
      <c r="BI1328">
        <f ca="1" xml:space="preserve"> IF( AND( OFFSET($A$1, 1328 - 1, 59 - 1) = "1", OFFSET($A$1, 1328 - 1, 60 - 1) = "1" ), 1, IF( AND( OFFSET($A$1, 1328 - 1, 59 - 1) = "1", OFFSET($A$1, 1328 - 1, 60 - 1) = "0" ), 2, IF( AND( OFFSET($A$1, 1328 - 1, 59 - 1) = "0", OFFSET($A$1, 1328 - 1, 60 - 1) = "1" ), 3, 4 ) ) )</f>
        <v>4</v>
      </c>
    </row>
    <row r="1329" spans="58:61" x14ac:dyDescent="0.2">
      <c r="BF1329" s="3">
        <v>0</v>
      </c>
      <c r="BG1329" s="3" t="str">
        <f t="shared" si="133"/>
        <v>0</v>
      </c>
      <c r="BH1329" t="str">
        <f ca="1">IF((OFFSET($A$1, 1329 - 1, 58 - 1)) &gt;= (OFFSET($A$1, 96 - 1, 7 - 1)), "1","0")</f>
        <v>0</v>
      </c>
      <c r="BI1329">
        <f ca="1" xml:space="preserve"> IF( AND( OFFSET($A$1, 1329 - 1, 59 - 1) = "1", OFFSET($A$1, 1329 - 1, 60 - 1) = "1" ), 1, IF( AND( OFFSET($A$1, 1329 - 1, 59 - 1) = "1", OFFSET($A$1, 1329 - 1, 60 - 1) = "0" ), 2, IF( AND( OFFSET($A$1, 1329 - 1, 59 - 1) = "0", OFFSET($A$1, 1329 - 1, 60 - 1) = "1" ), 3, 4 ) ) )</f>
        <v>4</v>
      </c>
    </row>
    <row r="1330" spans="58:61" x14ac:dyDescent="0.2">
      <c r="BF1330" s="3">
        <v>0</v>
      </c>
      <c r="BG1330" s="3" t="str">
        <f t="shared" si="133"/>
        <v>0</v>
      </c>
      <c r="BH1330" t="str">
        <f ca="1">IF((OFFSET($A$1, 1330 - 1, 58 - 1)) &gt;= (OFFSET($A$1, 96 - 1, 7 - 1)), "1","0")</f>
        <v>0</v>
      </c>
      <c r="BI1330">
        <f ca="1" xml:space="preserve"> IF( AND( OFFSET($A$1, 1330 - 1, 59 - 1) = "1", OFFSET($A$1, 1330 - 1, 60 - 1) = "1" ), 1, IF( AND( OFFSET($A$1, 1330 - 1, 59 - 1) = "1", OFFSET($A$1, 1330 - 1, 60 - 1) = "0" ), 2, IF( AND( OFFSET($A$1, 1330 - 1, 59 - 1) = "0", OFFSET($A$1, 1330 - 1, 60 - 1) = "1" ), 3, 4 ) ) )</f>
        <v>4</v>
      </c>
    </row>
    <row r="1331" spans="58:61" x14ac:dyDescent="0.2">
      <c r="BF1331" s="3">
        <v>0.08</v>
      </c>
      <c r="BG1331" s="3" t="str">
        <f t="shared" si="133"/>
        <v>0</v>
      </c>
      <c r="BH1331" t="str">
        <f ca="1">IF((OFFSET($A$1, 1331 - 1, 58 - 1)) &gt;= (OFFSET($A$1, 96 - 1, 7 - 1)), "1","0")</f>
        <v>0</v>
      </c>
      <c r="BI1331">
        <f ca="1" xml:space="preserve"> IF( AND( OFFSET($A$1, 1331 - 1, 59 - 1) = "1", OFFSET($A$1, 1331 - 1, 60 - 1) = "1" ), 1, IF( AND( OFFSET($A$1, 1331 - 1, 59 - 1) = "1", OFFSET($A$1, 1331 - 1, 60 - 1) = "0" ), 2, IF( AND( OFFSET($A$1, 1331 - 1, 59 - 1) = "0", OFFSET($A$1, 1331 - 1, 60 - 1) = "1" ), 3, 4 ) ) )</f>
        <v>4</v>
      </c>
    </row>
    <row r="1332" spans="58:61" x14ac:dyDescent="0.2">
      <c r="BF1332" s="3">
        <v>0</v>
      </c>
      <c r="BG1332" s="3" t="str">
        <f t="shared" si="133"/>
        <v>0</v>
      </c>
      <c r="BH1332" t="str">
        <f ca="1">IF((OFFSET($A$1, 1332 - 1, 58 - 1)) &gt;= (OFFSET($A$1, 96 - 1, 7 - 1)), "1","0")</f>
        <v>0</v>
      </c>
      <c r="BI1332">
        <f ca="1" xml:space="preserve"> IF( AND( OFFSET($A$1, 1332 - 1, 59 - 1) = "1", OFFSET($A$1, 1332 - 1, 60 - 1) = "1" ), 1, IF( AND( OFFSET($A$1, 1332 - 1, 59 - 1) = "1", OFFSET($A$1, 1332 - 1, 60 - 1) = "0" ), 2, IF( AND( OFFSET($A$1, 1332 - 1, 59 - 1) = "0", OFFSET($A$1, 1332 - 1, 60 - 1) = "1" ), 3, 4 ) ) )</f>
        <v>4</v>
      </c>
    </row>
    <row r="1333" spans="58:61" x14ac:dyDescent="0.2">
      <c r="BF1333" s="3">
        <v>3.7037037037037042E-2</v>
      </c>
      <c r="BG1333" s="3" t="str">
        <f t="shared" si="133"/>
        <v>0</v>
      </c>
      <c r="BH1333" t="str">
        <f ca="1">IF((OFFSET($A$1, 1333 - 1, 58 - 1)) &gt;= (OFFSET($A$1, 96 - 1, 7 - 1)), "1","0")</f>
        <v>0</v>
      </c>
      <c r="BI1333">
        <f ca="1" xml:space="preserve"> IF( AND( OFFSET($A$1, 1333 - 1, 59 - 1) = "1", OFFSET($A$1, 1333 - 1, 60 - 1) = "1" ), 1, IF( AND( OFFSET($A$1, 1333 - 1, 59 - 1) = "1", OFFSET($A$1, 1333 - 1, 60 - 1) = "0" ), 2, IF( AND( OFFSET($A$1, 1333 - 1, 59 - 1) = "0", OFFSET($A$1, 1333 - 1, 60 - 1) = "1" ), 3, 4 ) ) )</f>
        <v>4</v>
      </c>
    </row>
    <row r="1334" spans="58:61" x14ac:dyDescent="0.2">
      <c r="BF1334" s="3">
        <v>4.3478260869565216E-2</v>
      </c>
      <c r="BG1334" s="3" t="str">
        <f t="shared" si="133"/>
        <v>0</v>
      </c>
      <c r="BH1334" t="str">
        <f ca="1">IF((OFFSET($A$1, 1334 - 1, 58 - 1)) &gt;= (OFFSET($A$1, 96 - 1, 7 - 1)), "1","0")</f>
        <v>0</v>
      </c>
      <c r="BI1334">
        <f ca="1" xml:space="preserve"> IF( AND( OFFSET($A$1, 1334 - 1, 59 - 1) = "1", OFFSET($A$1, 1334 - 1, 60 - 1) = "1" ), 1, IF( AND( OFFSET($A$1, 1334 - 1, 59 - 1) = "1", OFFSET($A$1, 1334 - 1, 60 - 1) = "0" ), 2, IF( AND( OFFSET($A$1, 1334 - 1, 59 - 1) = "0", OFFSET($A$1, 1334 - 1, 60 - 1) = "1" ), 3, 4 ) ) )</f>
        <v>4</v>
      </c>
    </row>
    <row r="1335" spans="58:61" x14ac:dyDescent="0.2">
      <c r="BF1335" s="3">
        <v>0.08</v>
      </c>
      <c r="BG1335" s="3" t="str">
        <f t="shared" si="133"/>
        <v>0</v>
      </c>
      <c r="BH1335" t="str">
        <f ca="1">IF((OFFSET($A$1, 1335 - 1, 58 - 1)) &gt;= (OFFSET($A$1, 96 - 1, 7 - 1)), "1","0")</f>
        <v>0</v>
      </c>
      <c r="BI1335">
        <f ca="1" xml:space="preserve"> IF( AND( OFFSET($A$1, 1335 - 1, 59 - 1) = "1", OFFSET($A$1, 1335 - 1, 60 - 1) = "1" ), 1, IF( AND( OFFSET($A$1, 1335 - 1, 59 - 1) = "1", OFFSET($A$1, 1335 - 1, 60 - 1) = "0" ), 2, IF( AND( OFFSET($A$1, 1335 - 1, 59 - 1) = "0", OFFSET($A$1, 1335 - 1, 60 - 1) = "1" ), 3, 4 ) ) )</f>
        <v>4</v>
      </c>
    </row>
    <row r="1336" spans="58:61" x14ac:dyDescent="0.2">
      <c r="BF1336" s="3">
        <v>0.08</v>
      </c>
      <c r="BG1336" s="3" t="str">
        <f t="shared" si="133"/>
        <v>0</v>
      </c>
      <c r="BH1336" t="str">
        <f ca="1">IF((OFFSET($A$1, 1336 - 1, 58 - 1)) &gt;= (OFFSET($A$1, 96 - 1, 7 - 1)), "1","0")</f>
        <v>0</v>
      </c>
      <c r="BI1336">
        <f ca="1" xml:space="preserve"> IF( AND( OFFSET($A$1, 1336 - 1, 59 - 1) = "1", OFFSET($A$1, 1336 - 1, 60 - 1) = "1" ), 1, IF( AND( OFFSET($A$1, 1336 - 1, 59 - 1) = "1", OFFSET($A$1, 1336 - 1, 60 - 1) = "0" ), 2, IF( AND( OFFSET($A$1, 1336 - 1, 59 - 1) = "0", OFFSET($A$1, 1336 - 1, 60 - 1) = "1" ), 3, 4 ) ) )</f>
        <v>4</v>
      </c>
    </row>
    <row r="1337" spans="58:61" x14ac:dyDescent="0.2">
      <c r="BF1337" s="3">
        <v>3.7037037037037042E-2</v>
      </c>
      <c r="BG1337" s="3" t="str">
        <f t="shared" si="133"/>
        <v>0</v>
      </c>
      <c r="BH1337" t="str">
        <f ca="1">IF((OFFSET($A$1, 1337 - 1, 58 - 1)) &gt;= (OFFSET($A$1, 96 - 1, 7 - 1)), "1","0")</f>
        <v>0</v>
      </c>
      <c r="BI1337">
        <f ca="1" xml:space="preserve"> IF( AND( OFFSET($A$1, 1337 - 1, 59 - 1) = "1", OFFSET($A$1, 1337 - 1, 60 - 1) = "1" ), 1, IF( AND( OFFSET($A$1, 1337 - 1, 59 - 1) = "1", OFFSET($A$1, 1337 - 1, 60 - 1) = "0" ), 2, IF( AND( OFFSET($A$1, 1337 - 1, 59 - 1) = "0", OFFSET($A$1, 1337 - 1, 60 - 1) = "1" ), 3, 4 ) ) )</f>
        <v>4</v>
      </c>
    </row>
    <row r="1338" spans="58:61" x14ac:dyDescent="0.2">
      <c r="BF1338" s="3">
        <v>0</v>
      </c>
      <c r="BG1338" s="3" t="str">
        <f t="shared" si="133"/>
        <v>0</v>
      </c>
      <c r="BH1338" t="str">
        <f ca="1">IF((OFFSET($A$1, 1338 - 1, 58 - 1)) &gt;= (OFFSET($A$1, 96 - 1, 7 - 1)), "1","0")</f>
        <v>0</v>
      </c>
      <c r="BI1338">
        <f ca="1" xml:space="preserve"> IF( AND( OFFSET($A$1, 1338 - 1, 59 - 1) = "1", OFFSET($A$1, 1338 - 1, 60 - 1) = "1" ), 1, IF( AND( OFFSET($A$1, 1338 - 1, 59 - 1) = "1", OFFSET($A$1, 1338 - 1, 60 - 1) = "0" ), 2, IF( AND( OFFSET($A$1, 1338 - 1, 59 - 1) = "0", OFFSET($A$1, 1338 - 1, 60 - 1) = "1" ), 3, 4 ) ) )</f>
        <v>4</v>
      </c>
    </row>
    <row r="1339" spans="58:61" x14ac:dyDescent="0.2">
      <c r="BF1339" s="3">
        <v>0</v>
      </c>
      <c r="BG1339" s="3" t="str">
        <f t="shared" si="133"/>
        <v>0</v>
      </c>
      <c r="BH1339" t="str">
        <f ca="1">IF((OFFSET($A$1, 1339 - 1, 58 - 1)) &gt;= (OFFSET($A$1, 96 - 1, 7 - 1)), "1","0")</f>
        <v>0</v>
      </c>
      <c r="BI1339">
        <f ca="1" xml:space="preserve"> IF( AND( OFFSET($A$1, 1339 - 1, 59 - 1) = "1", OFFSET($A$1, 1339 - 1, 60 - 1) = "1" ), 1, IF( AND( OFFSET($A$1, 1339 - 1, 59 - 1) = "1", OFFSET($A$1, 1339 - 1, 60 - 1) = "0" ), 2, IF( AND( OFFSET($A$1, 1339 - 1, 59 - 1) = "0", OFFSET($A$1, 1339 - 1, 60 - 1) = "1" ), 3, 4 ) ) )</f>
        <v>4</v>
      </c>
    </row>
    <row r="1340" spans="58:61" x14ac:dyDescent="0.2">
      <c r="BF1340" s="3">
        <v>0.36</v>
      </c>
      <c r="BG1340" s="3" t="str">
        <f t="shared" si="133"/>
        <v>0</v>
      </c>
      <c r="BH1340" t="str">
        <f ca="1">IF((OFFSET($A$1, 1340 - 1, 58 - 1)) &gt;= (OFFSET($A$1, 96 - 1, 7 - 1)), "1","0")</f>
        <v>0</v>
      </c>
      <c r="BI1340">
        <f ca="1" xml:space="preserve"> IF( AND( OFFSET($A$1, 1340 - 1, 59 - 1) = "1", OFFSET($A$1, 1340 - 1, 60 - 1) = "1" ), 1, IF( AND( OFFSET($A$1, 1340 - 1, 59 - 1) = "1", OFFSET($A$1, 1340 - 1, 60 - 1) = "0" ), 2, IF( AND( OFFSET($A$1, 1340 - 1, 59 - 1) = "0", OFFSET($A$1, 1340 - 1, 60 - 1) = "1" ), 3, 4 ) ) )</f>
        <v>4</v>
      </c>
    </row>
    <row r="1341" spans="58:61" x14ac:dyDescent="0.2">
      <c r="BF1341" s="3">
        <v>0</v>
      </c>
      <c r="BG1341" s="3" t="str">
        <f t="shared" si="133"/>
        <v>0</v>
      </c>
      <c r="BH1341" t="str">
        <f ca="1">IF((OFFSET($A$1, 1341 - 1, 58 - 1)) &gt;= (OFFSET($A$1, 96 - 1, 7 - 1)), "1","0")</f>
        <v>0</v>
      </c>
      <c r="BI1341">
        <f ca="1" xml:space="preserve"> IF( AND( OFFSET($A$1, 1341 - 1, 59 - 1) = "1", OFFSET($A$1, 1341 - 1, 60 - 1) = "1" ), 1, IF( AND( OFFSET($A$1, 1341 - 1, 59 - 1) = "1", OFFSET($A$1, 1341 - 1, 60 - 1) = "0" ), 2, IF( AND( OFFSET($A$1, 1341 - 1, 59 - 1) = "0", OFFSET($A$1, 1341 - 1, 60 - 1) = "1" ), 3, 4 ) ) )</f>
        <v>4</v>
      </c>
    </row>
    <row r="1342" spans="58:61" x14ac:dyDescent="0.2">
      <c r="BF1342" s="3">
        <v>3.7037037037037042E-2</v>
      </c>
      <c r="BG1342" s="3" t="str">
        <f t="shared" si="133"/>
        <v>0</v>
      </c>
      <c r="BH1342" t="str">
        <f ca="1">IF((OFFSET($A$1, 1342 - 1, 58 - 1)) &gt;= (OFFSET($A$1, 96 - 1, 7 - 1)), "1","0")</f>
        <v>0</v>
      </c>
      <c r="BI1342">
        <f ca="1" xml:space="preserve"> IF( AND( OFFSET($A$1, 1342 - 1, 59 - 1) = "1", OFFSET($A$1, 1342 - 1, 60 - 1) = "1" ), 1, IF( AND( OFFSET($A$1, 1342 - 1, 59 - 1) = "1", OFFSET($A$1, 1342 - 1, 60 - 1) = "0" ), 2, IF( AND( OFFSET($A$1, 1342 - 1, 59 - 1) = "0", OFFSET($A$1, 1342 - 1, 60 - 1) = "1" ), 3, 4 ) ) )</f>
        <v>4</v>
      </c>
    </row>
    <row r="1343" spans="58:61" x14ac:dyDescent="0.2">
      <c r="BF1343" s="3">
        <v>0.1081081081081081</v>
      </c>
      <c r="BG1343" s="3" t="str">
        <f t="shared" si="133"/>
        <v>0</v>
      </c>
      <c r="BH1343" t="str">
        <f ca="1">IF((OFFSET($A$1, 1343 - 1, 58 - 1)) &gt;= (OFFSET($A$1, 96 - 1, 7 - 1)), "1","0")</f>
        <v>0</v>
      </c>
      <c r="BI1343">
        <f ca="1" xml:space="preserve"> IF( AND( OFFSET($A$1, 1343 - 1, 59 - 1) = "1", OFFSET($A$1, 1343 - 1, 60 - 1) = "1" ), 1, IF( AND( OFFSET($A$1, 1343 - 1, 59 - 1) = "1", OFFSET($A$1, 1343 - 1, 60 - 1) = "0" ), 2, IF( AND( OFFSET($A$1, 1343 - 1, 59 - 1) = "0", OFFSET($A$1, 1343 - 1, 60 - 1) = "1" ), 3, 4 ) ) )</f>
        <v>4</v>
      </c>
    </row>
    <row r="1344" spans="58:61" x14ac:dyDescent="0.2">
      <c r="BF1344" s="3">
        <v>0.34722222222222221</v>
      </c>
      <c r="BG1344" s="3" t="str">
        <f t="shared" si="133"/>
        <v>0</v>
      </c>
      <c r="BH1344" t="str">
        <f ca="1">IF((OFFSET($A$1, 1344 - 1, 58 - 1)) &gt;= (OFFSET($A$1, 96 - 1, 7 - 1)), "1","0")</f>
        <v>0</v>
      </c>
      <c r="BI1344">
        <f ca="1" xml:space="preserve"> IF( AND( OFFSET($A$1, 1344 - 1, 59 - 1) = "1", OFFSET($A$1, 1344 - 1, 60 - 1) = "1" ), 1, IF( AND( OFFSET($A$1, 1344 - 1, 59 - 1) = "1", OFFSET($A$1, 1344 - 1, 60 - 1) = "0" ), 2, IF( AND( OFFSET($A$1, 1344 - 1, 59 - 1) = "0", OFFSET($A$1, 1344 - 1, 60 - 1) = "1" ), 3, 4 ) ) )</f>
        <v>4</v>
      </c>
    </row>
    <row r="1345" spans="58:61" x14ac:dyDescent="0.2">
      <c r="BF1345" s="3">
        <v>0.36</v>
      </c>
      <c r="BG1345" s="3" t="str">
        <f>"1"</f>
        <v>1</v>
      </c>
      <c r="BH1345" t="str">
        <f ca="1">IF((OFFSET($A$1, 1345 - 1, 58 - 1)) &gt;= (OFFSET($A$1, 96 - 1, 7 - 1)), "1","0")</f>
        <v>0</v>
      </c>
      <c r="BI1345">
        <f ca="1" xml:space="preserve"> IF( AND( OFFSET($A$1, 1345 - 1, 59 - 1) = "1", OFFSET($A$1, 1345 - 1, 60 - 1) = "1" ), 1, IF( AND( OFFSET($A$1, 1345 - 1, 59 - 1) = "1", OFFSET($A$1, 1345 - 1, 60 - 1) = "0" ), 2, IF( AND( OFFSET($A$1, 1345 - 1, 59 - 1) = "0", OFFSET($A$1, 1345 - 1, 60 - 1) = "1" ), 3, 4 ) ) )</f>
        <v>2</v>
      </c>
    </row>
    <row r="1346" spans="58:61" x14ac:dyDescent="0.2">
      <c r="BF1346" s="3">
        <v>0</v>
      </c>
      <c r="BG1346" s="3" t="str">
        <f t="shared" ref="BG1346:BG1351" si="134">"0"</f>
        <v>0</v>
      </c>
      <c r="BH1346" t="str">
        <f ca="1">IF((OFFSET($A$1, 1346 - 1, 58 - 1)) &gt;= (OFFSET($A$1, 96 - 1, 7 - 1)), "1","0")</f>
        <v>0</v>
      </c>
      <c r="BI1346">
        <f ca="1" xml:space="preserve"> IF( AND( OFFSET($A$1, 1346 - 1, 59 - 1) = "1", OFFSET($A$1, 1346 - 1, 60 - 1) = "1" ), 1, IF( AND( OFFSET($A$1, 1346 - 1, 59 - 1) = "1", OFFSET($A$1, 1346 - 1, 60 - 1) = "0" ), 2, IF( AND( OFFSET($A$1, 1346 - 1, 59 - 1) = "0", OFFSET($A$1, 1346 - 1, 60 - 1) = "1" ), 3, 4 ) ) )</f>
        <v>4</v>
      </c>
    </row>
    <row r="1347" spans="58:61" x14ac:dyDescent="0.2">
      <c r="BF1347" s="3">
        <v>0.34722222222222221</v>
      </c>
      <c r="BG1347" s="3" t="str">
        <f t="shared" si="134"/>
        <v>0</v>
      </c>
      <c r="BH1347" t="str">
        <f ca="1">IF((OFFSET($A$1, 1347 - 1, 58 - 1)) &gt;= (OFFSET($A$1, 96 - 1, 7 - 1)), "1","0")</f>
        <v>0</v>
      </c>
      <c r="BI1347">
        <f ca="1" xml:space="preserve"> IF( AND( OFFSET($A$1, 1347 - 1, 59 - 1) = "1", OFFSET($A$1, 1347 - 1, 60 - 1) = "1" ), 1, IF( AND( OFFSET($A$1, 1347 - 1, 59 - 1) = "1", OFFSET($A$1, 1347 - 1, 60 - 1) = "0" ), 2, IF( AND( OFFSET($A$1, 1347 - 1, 59 - 1) = "0", OFFSET($A$1, 1347 - 1, 60 - 1) = "1" ), 3, 4 ) ) )</f>
        <v>4</v>
      </c>
    </row>
    <row r="1348" spans="58:61" x14ac:dyDescent="0.2">
      <c r="BF1348" s="3">
        <v>0</v>
      </c>
      <c r="BG1348" s="3" t="str">
        <f t="shared" si="134"/>
        <v>0</v>
      </c>
      <c r="BH1348" t="str">
        <f ca="1">IF((OFFSET($A$1, 1348 - 1, 58 - 1)) &gt;= (OFFSET($A$1, 96 - 1, 7 - 1)), "1","0")</f>
        <v>0</v>
      </c>
      <c r="BI1348">
        <f ca="1" xml:space="preserve"> IF( AND( OFFSET($A$1, 1348 - 1, 59 - 1) = "1", OFFSET($A$1, 1348 - 1, 60 - 1) = "1" ), 1, IF( AND( OFFSET($A$1, 1348 - 1, 59 - 1) = "1", OFFSET($A$1, 1348 - 1, 60 - 1) = "0" ), 2, IF( AND( OFFSET($A$1, 1348 - 1, 59 - 1) = "0", OFFSET($A$1, 1348 - 1, 60 - 1) = "1" ), 3, 4 ) ) )</f>
        <v>4</v>
      </c>
    </row>
    <row r="1349" spans="58:61" x14ac:dyDescent="0.2">
      <c r="BF1349" s="3">
        <v>0</v>
      </c>
      <c r="BG1349" s="3" t="str">
        <f t="shared" si="134"/>
        <v>0</v>
      </c>
      <c r="BH1349" t="str">
        <f ca="1">IF((OFFSET($A$1, 1349 - 1, 58 - 1)) &gt;= (OFFSET($A$1, 96 - 1, 7 - 1)), "1","0")</f>
        <v>0</v>
      </c>
      <c r="BI1349">
        <f ca="1" xml:space="preserve"> IF( AND( OFFSET($A$1, 1349 - 1, 59 - 1) = "1", OFFSET($A$1, 1349 - 1, 60 - 1) = "1" ), 1, IF( AND( OFFSET($A$1, 1349 - 1, 59 - 1) = "1", OFFSET($A$1, 1349 - 1, 60 - 1) = "0" ), 2, IF( AND( OFFSET($A$1, 1349 - 1, 59 - 1) = "0", OFFSET($A$1, 1349 - 1, 60 - 1) = "1" ), 3, 4 ) ) )</f>
        <v>4</v>
      </c>
    </row>
    <row r="1350" spans="58:61" x14ac:dyDescent="0.2">
      <c r="BF1350" s="3">
        <v>0.08</v>
      </c>
      <c r="BG1350" s="3" t="str">
        <f t="shared" si="134"/>
        <v>0</v>
      </c>
      <c r="BH1350" t="str">
        <f ca="1">IF((OFFSET($A$1, 1350 - 1, 58 - 1)) &gt;= (OFFSET($A$1, 96 - 1, 7 - 1)), "1","0")</f>
        <v>0</v>
      </c>
      <c r="BI1350">
        <f ca="1" xml:space="preserve"> IF( AND( OFFSET($A$1, 1350 - 1, 59 - 1) = "1", OFFSET($A$1, 1350 - 1, 60 - 1) = "1" ), 1, IF( AND( OFFSET($A$1, 1350 - 1, 59 - 1) = "1", OFFSET($A$1, 1350 - 1, 60 - 1) = "0" ), 2, IF( AND( OFFSET($A$1, 1350 - 1, 59 - 1) = "0", OFFSET($A$1, 1350 - 1, 60 - 1) = "1" ), 3, 4 ) ) )</f>
        <v>4</v>
      </c>
    </row>
    <row r="1351" spans="58:61" x14ac:dyDescent="0.2">
      <c r="BF1351" s="3">
        <v>0.08</v>
      </c>
      <c r="BG1351" s="3" t="str">
        <f t="shared" si="134"/>
        <v>0</v>
      </c>
      <c r="BH1351" t="str">
        <f ca="1">IF((OFFSET($A$1, 1351 - 1, 58 - 1)) &gt;= (OFFSET($A$1, 96 - 1, 7 - 1)), "1","0")</f>
        <v>0</v>
      </c>
      <c r="BI1351">
        <f ca="1" xml:space="preserve"> IF( AND( OFFSET($A$1, 1351 - 1, 59 - 1) = "1", OFFSET($A$1, 1351 - 1, 60 - 1) = "1" ), 1, IF( AND( OFFSET($A$1, 1351 - 1, 59 - 1) = "1", OFFSET($A$1, 1351 - 1, 60 - 1) = "0" ), 2, IF( AND( OFFSET($A$1, 1351 - 1, 59 - 1) = "0", OFFSET($A$1, 1351 - 1, 60 - 1) = "1" ), 3, 4 ) ) )</f>
        <v>4</v>
      </c>
    </row>
    <row r="1352" spans="58:61" x14ac:dyDescent="0.2">
      <c r="BF1352" s="3">
        <v>0.38775510204081637</v>
      </c>
      <c r="BG1352" s="3" t="str">
        <f>"1"</f>
        <v>1</v>
      </c>
      <c r="BH1352" t="str">
        <f ca="1">IF((OFFSET($A$1, 1352 - 1, 58 - 1)) &gt;= (OFFSET($A$1, 96 - 1, 7 - 1)), "1","0")</f>
        <v>0</v>
      </c>
      <c r="BI1352">
        <f ca="1" xml:space="preserve"> IF( AND( OFFSET($A$1, 1352 - 1, 59 - 1) = "1", OFFSET($A$1, 1352 - 1, 60 - 1) = "1" ), 1, IF( AND( OFFSET($A$1, 1352 - 1, 59 - 1) = "1", OFFSET($A$1, 1352 - 1, 60 - 1) = "0" ), 2, IF( AND( OFFSET($A$1, 1352 - 1, 59 - 1) = "0", OFFSET($A$1, 1352 - 1, 60 - 1) = "1" ), 3, 4 ) ) )</f>
        <v>2</v>
      </c>
    </row>
    <row r="1353" spans="58:61" x14ac:dyDescent="0.2">
      <c r="BF1353" s="3">
        <v>0</v>
      </c>
      <c r="BG1353" s="3" t="str">
        <f>"0"</f>
        <v>0</v>
      </c>
      <c r="BH1353" t="str">
        <f ca="1">IF((OFFSET($A$1, 1353 - 1, 58 - 1)) &gt;= (OFFSET($A$1, 96 - 1, 7 - 1)), "1","0")</f>
        <v>0</v>
      </c>
      <c r="BI1353">
        <f ca="1" xml:space="preserve"> IF( AND( OFFSET($A$1, 1353 - 1, 59 - 1) = "1", OFFSET($A$1, 1353 - 1, 60 - 1) = "1" ), 1, IF( AND( OFFSET($A$1, 1353 - 1, 59 - 1) = "1", OFFSET($A$1, 1353 - 1, 60 - 1) = "0" ), 2, IF( AND( OFFSET($A$1, 1353 - 1, 59 - 1) = "0", OFFSET($A$1, 1353 - 1, 60 - 1) = "1" ), 3, 4 ) ) )</f>
        <v>4</v>
      </c>
    </row>
    <row r="1354" spans="58:61" x14ac:dyDescent="0.2">
      <c r="BF1354" s="3">
        <v>0.36</v>
      </c>
      <c r="BG1354" s="3" t="str">
        <f>"1"</f>
        <v>1</v>
      </c>
      <c r="BH1354" t="str">
        <f ca="1">IF((OFFSET($A$1, 1354 - 1, 58 - 1)) &gt;= (OFFSET($A$1, 96 - 1, 7 - 1)), "1","0")</f>
        <v>0</v>
      </c>
      <c r="BI1354">
        <f ca="1" xml:space="preserve"> IF( AND( OFFSET($A$1, 1354 - 1, 59 - 1) = "1", OFFSET($A$1, 1354 - 1, 60 - 1) = "1" ), 1, IF( AND( OFFSET($A$1, 1354 - 1, 59 - 1) = "1", OFFSET($A$1, 1354 - 1, 60 - 1) = "0" ), 2, IF( AND( OFFSET($A$1, 1354 - 1, 59 - 1) = "0", OFFSET($A$1, 1354 - 1, 60 - 1) = "1" ), 3, 4 ) ) )</f>
        <v>2</v>
      </c>
    </row>
    <row r="1355" spans="58:61" x14ac:dyDescent="0.2">
      <c r="BF1355" s="3">
        <v>0</v>
      </c>
      <c r="BG1355" s="3" t="str">
        <f t="shared" ref="BG1355:BG1361" si="135">"0"</f>
        <v>0</v>
      </c>
      <c r="BH1355" t="str">
        <f ca="1">IF((OFFSET($A$1, 1355 - 1, 58 - 1)) &gt;= (OFFSET($A$1, 96 - 1, 7 - 1)), "1","0")</f>
        <v>0</v>
      </c>
      <c r="BI1355">
        <f ca="1" xml:space="preserve"> IF( AND( OFFSET($A$1, 1355 - 1, 59 - 1) = "1", OFFSET($A$1, 1355 - 1, 60 - 1) = "1" ), 1, IF( AND( OFFSET($A$1, 1355 - 1, 59 - 1) = "1", OFFSET($A$1, 1355 - 1, 60 - 1) = "0" ), 2, IF( AND( OFFSET($A$1, 1355 - 1, 59 - 1) = "0", OFFSET($A$1, 1355 - 1, 60 - 1) = "1" ), 3, 4 ) ) )</f>
        <v>4</v>
      </c>
    </row>
    <row r="1356" spans="58:61" x14ac:dyDescent="0.2">
      <c r="BF1356" s="3">
        <v>0.47692307692307689</v>
      </c>
      <c r="BG1356" s="3" t="str">
        <f t="shared" si="135"/>
        <v>0</v>
      </c>
      <c r="BH1356" t="str">
        <f ca="1">IF((OFFSET($A$1, 1356 - 1, 58 - 1)) &gt;= (OFFSET($A$1, 96 - 1, 7 - 1)), "1","0")</f>
        <v>0</v>
      </c>
      <c r="BI1356">
        <f ca="1" xml:space="preserve"> IF( AND( OFFSET($A$1, 1356 - 1, 59 - 1) = "1", OFFSET($A$1, 1356 - 1, 60 - 1) = "1" ), 1, IF( AND( OFFSET($A$1, 1356 - 1, 59 - 1) = "1", OFFSET($A$1, 1356 - 1, 60 - 1) = "0" ), 2, IF( AND( OFFSET($A$1, 1356 - 1, 59 - 1) = "0", OFFSET($A$1, 1356 - 1, 60 - 1) = "1" ), 3, 4 ) ) )</f>
        <v>4</v>
      </c>
    </row>
    <row r="1357" spans="58:61" x14ac:dyDescent="0.2">
      <c r="BF1357" s="3">
        <v>3.7037037037037042E-2</v>
      </c>
      <c r="BG1357" s="3" t="str">
        <f t="shared" si="135"/>
        <v>0</v>
      </c>
      <c r="BH1357" t="str">
        <f ca="1">IF((OFFSET($A$1, 1357 - 1, 58 - 1)) &gt;= (OFFSET($A$1, 96 - 1, 7 - 1)), "1","0")</f>
        <v>0</v>
      </c>
      <c r="BI1357">
        <f ca="1" xml:space="preserve"> IF( AND( OFFSET($A$1, 1357 - 1, 59 - 1) = "1", OFFSET($A$1, 1357 - 1, 60 - 1) = "1" ), 1, IF( AND( OFFSET($A$1, 1357 - 1, 59 - 1) = "1", OFFSET($A$1, 1357 - 1, 60 - 1) = "0" ), 2, IF( AND( OFFSET($A$1, 1357 - 1, 59 - 1) = "0", OFFSET($A$1, 1357 - 1, 60 - 1) = "1" ), 3, 4 ) ) )</f>
        <v>4</v>
      </c>
    </row>
    <row r="1358" spans="58:61" x14ac:dyDescent="0.2">
      <c r="BF1358" s="3">
        <v>0</v>
      </c>
      <c r="BG1358" s="3" t="str">
        <f t="shared" si="135"/>
        <v>0</v>
      </c>
      <c r="BH1358" t="str">
        <f ca="1">IF((OFFSET($A$1, 1358 - 1, 58 - 1)) &gt;= (OFFSET($A$1, 96 - 1, 7 - 1)), "1","0")</f>
        <v>0</v>
      </c>
      <c r="BI1358">
        <f ca="1" xml:space="preserve"> IF( AND( OFFSET($A$1, 1358 - 1, 59 - 1) = "1", OFFSET($A$1, 1358 - 1, 60 - 1) = "1" ), 1, IF( AND( OFFSET($A$1, 1358 - 1, 59 - 1) = "1", OFFSET($A$1, 1358 - 1, 60 - 1) = "0" ), 2, IF( AND( OFFSET($A$1, 1358 - 1, 59 - 1) = "0", OFFSET($A$1, 1358 - 1, 60 - 1) = "1" ), 3, 4 ) ) )</f>
        <v>4</v>
      </c>
    </row>
    <row r="1359" spans="58:61" x14ac:dyDescent="0.2">
      <c r="BF1359" s="3">
        <v>0</v>
      </c>
      <c r="BG1359" s="3" t="str">
        <f t="shared" si="135"/>
        <v>0</v>
      </c>
      <c r="BH1359" t="str">
        <f ca="1">IF((OFFSET($A$1, 1359 - 1, 58 - 1)) &gt;= (OFFSET($A$1, 96 - 1, 7 - 1)), "1","0")</f>
        <v>0</v>
      </c>
      <c r="BI1359">
        <f ca="1" xml:space="preserve"> IF( AND( OFFSET($A$1, 1359 - 1, 59 - 1) = "1", OFFSET($A$1, 1359 - 1, 60 - 1) = "1" ), 1, IF( AND( OFFSET($A$1, 1359 - 1, 59 - 1) = "1", OFFSET($A$1, 1359 - 1, 60 - 1) = "0" ), 2, IF( AND( OFFSET($A$1, 1359 - 1, 59 - 1) = "0", OFFSET($A$1, 1359 - 1, 60 - 1) = "1" ), 3, 4 ) ) )</f>
        <v>4</v>
      </c>
    </row>
    <row r="1360" spans="58:61" x14ac:dyDescent="0.2">
      <c r="BF1360" s="3">
        <v>0.08</v>
      </c>
      <c r="BG1360" s="3" t="str">
        <f t="shared" si="135"/>
        <v>0</v>
      </c>
      <c r="BH1360" t="str">
        <f ca="1">IF((OFFSET($A$1, 1360 - 1, 58 - 1)) &gt;= (OFFSET($A$1, 96 - 1, 7 - 1)), "1","0")</f>
        <v>0</v>
      </c>
      <c r="BI1360">
        <f ca="1" xml:space="preserve"> IF( AND( OFFSET($A$1, 1360 - 1, 59 - 1) = "1", OFFSET($A$1, 1360 - 1, 60 - 1) = "1" ), 1, IF( AND( OFFSET($A$1, 1360 - 1, 59 - 1) = "1", OFFSET($A$1, 1360 - 1, 60 - 1) = "0" ), 2, IF( AND( OFFSET($A$1, 1360 - 1, 59 - 1) = "0", OFFSET($A$1, 1360 - 1, 60 - 1) = "1" ), 3, 4 ) ) )</f>
        <v>4</v>
      </c>
    </row>
    <row r="1361" spans="58:61" x14ac:dyDescent="0.2">
      <c r="BF1361" s="3">
        <v>0</v>
      </c>
      <c r="BG1361" s="3" t="str">
        <f t="shared" si="135"/>
        <v>0</v>
      </c>
      <c r="BH1361" t="str">
        <f ca="1">IF((OFFSET($A$1, 1361 - 1, 58 - 1)) &gt;= (OFFSET($A$1, 96 - 1, 7 - 1)), "1","0")</f>
        <v>0</v>
      </c>
      <c r="BI1361">
        <f ca="1" xml:space="preserve"> IF( AND( OFFSET($A$1, 1361 - 1, 59 - 1) = "1", OFFSET($A$1, 1361 - 1, 60 - 1) = "1" ), 1, IF( AND( OFFSET($A$1, 1361 - 1, 59 - 1) = "1", OFFSET($A$1, 1361 - 1, 60 - 1) = "0" ), 2, IF( AND( OFFSET($A$1, 1361 - 1, 59 - 1) = "0", OFFSET($A$1, 1361 - 1, 60 - 1) = "1" ), 3, 4 ) ) )</f>
        <v>4</v>
      </c>
    </row>
    <row r="1362" spans="58:61" x14ac:dyDescent="0.2">
      <c r="BF1362" s="3">
        <v>0.90579710144927539</v>
      </c>
      <c r="BG1362" s="3" t="str">
        <f>"1"</f>
        <v>1</v>
      </c>
      <c r="BH1362" t="str">
        <f ca="1">IF((OFFSET($A$1, 1362 - 1, 58 - 1)) &gt;= (OFFSET($A$1, 96 - 1, 7 - 1)), "1","0")</f>
        <v>1</v>
      </c>
      <c r="BI1362">
        <f ca="1" xml:space="preserve"> IF( AND( OFFSET($A$1, 1362 - 1, 59 - 1) = "1", OFFSET($A$1, 1362 - 1, 60 - 1) = "1" ), 1, IF( AND( OFFSET($A$1, 1362 - 1, 59 - 1) = "1", OFFSET($A$1, 1362 - 1, 60 - 1) = "0" ), 2, IF( AND( OFFSET($A$1, 1362 - 1, 59 - 1) = "0", OFFSET($A$1, 1362 - 1, 60 - 1) = "1" ), 3, 4 ) ) )</f>
        <v>1</v>
      </c>
    </row>
    <row r="1363" spans="58:61" x14ac:dyDescent="0.2">
      <c r="BF1363" s="3">
        <v>0</v>
      </c>
      <c r="BG1363" s="3" t="str">
        <f>"0"</f>
        <v>0</v>
      </c>
      <c r="BH1363" t="str">
        <f ca="1">IF((OFFSET($A$1, 1363 - 1, 58 - 1)) &gt;= (OFFSET($A$1, 96 - 1, 7 - 1)), "1","0")</f>
        <v>0</v>
      </c>
      <c r="BI1363">
        <f ca="1" xml:space="preserve"> IF( AND( OFFSET($A$1, 1363 - 1, 59 - 1) = "1", OFFSET($A$1, 1363 - 1, 60 - 1) = "1" ), 1, IF( AND( OFFSET($A$1, 1363 - 1, 59 - 1) = "1", OFFSET($A$1, 1363 - 1, 60 - 1) = "0" ), 2, IF( AND( OFFSET($A$1, 1363 - 1, 59 - 1) = "0", OFFSET($A$1, 1363 - 1, 60 - 1) = "1" ), 3, 4 ) ) )</f>
        <v>4</v>
      </c>
    </row>
    <row r="1364" spans="58:61" x14ac:dyDescent="0.2">
      <c r="BF1364" s="3">
        <v>0</v>
      </c>
      <c r="BG1364" s="3" t="str">
        <f>"0"</f>
        <v>0</v>
      </c>
      <c r="BH1364" t="str">
        <f ca="1">IF((OFFSET($A$1, 1364 - 1, 58 - 1)) &gt;= (OFFSET($A$1, 96 - 1, 7 - 1)), "1","0")</f>
        <v>0</v>
      </c>
      <c r="BI1364">
        <f ca="1" xml:space="preserve"> IF( AND( OFFSET($A$1, 1364 - 1, 59 - 1) = "1", OFFSET($A$1, 1364 - 1, 60 - 1) = "1" ), 1, IF( AND( OFFSET($A$1, 1364 - 1, 59 - 1) = "1", OFFSET($A$1, 1364 - 1, 60 - 1) = "0" ), 2, IF( AND( OFFSET($A$1, 1364 - 1, 59 - 1) = "0", OFFSET($A$1, 1364 - 1, 60 - 1) = "1" ), 3, 4 ) ) )</f>
        <v>4</v>
      </c>
    </row>
    <row r="1365" spans="58:61" x14ac:dyDescent="0.2">
      <c r="BF1365" s="3">
        <v>0</v>
      </c>
      <c r="BG1365" s="3" t="str">
        <f>"0"</f>
        <v>0</v>
      </c>
      <c r="BH1365" t="str">
        <f ca="1">IF((OFFSET($A$1, 1365 - 1, 58 - 1)) &gt;= (OFFSET($A$1, 96 - 1, 7 - 1)), "1","0")</f>
        <v>0</v>
      </c>
      <c r="BI1365">
        <f ca="1" xml:space="preserve"> IF( AND( OFFSET($A$1, 1365 - 1, 59 - 1) = "1", OFFSET($A$1, 1365 - 1, 60 - 1) = "1" ), 1, IF( AND( OFFSET($A$1, 1365 - 1, 59 - 1) = "1", OFFSET($A$1, 1365 - 1, 60 - 1) = "0" ), 2, IF( AND( OFFSET($A$1, 1365 - 1, 59 - 1) = "0", OFFSET($A$1, 1365 - 1, 60 - 1) = "1" ), 3, 4 ) ) )</f>
        <v>4</v>
      </c>
    </row>
    <row r="1366" spans="58:61" x14ac:dyDescent="0.2">
      <c r="BF1366" s="3">
        <v>0.90579710144927539</v>
      </c>
      <c r="BG1366" s="3" t="str">
        <f>"1"</f>
        <v>1</v>
      </c>
      <c r="BH1366" t="str">
        <f ca="1">IF((OFFSET($A$1, 1366 - 1, 58 - 1)) &gt;= (OFFSET($A$1, 96 - 1, 7 - 1)), "1","0")</f>
        <v>1</v>
      </c>
      <c r="BI1366">
        <f ca="1" xml:space="preserve"> IF( AND( OFFSET($A$1, 1366 - 1, 59 - 1) = "1", OFFSET($A$1, 1366 - 1, 60 - 1) = "1" ), 1, IF( AND( OFFSET($A$1, 1366 - 1, 59 - 1) = "1", OFFSET($A$1, 1366 - 1, 60 - 1) = "0" ), 2, IF( AND( OFFSET($A$1, 1366 - 1, 59 - 1) = "0", OFFSET($A$1, 1366 - 1, 60 - 1) = "1" ), 3, 4 ) ) )</f>
        <v>1</v>
      </c>
    </row>
    <row r="1367" spans="58:61" x14ac:dyDescent="0.2">
      <c r="BF1367" s="3">
        <v>0</v>
      </c>
      <c r="BG1367" s="3" t="str">
        <f t="shared" ref="BG1367:BG1372" si="136">"0"</f>
        <v>0</v>
      </c>
      <c r="BH1367" t="str">
        <f ca="1">IF((OFFSET($A$1, 1367 - 1, 58 - 1)) &gt;= (OFFSET($A$1, 96 - 1, 7 - 1)), "1","0")</f>
        <v>0</v>
      </c>
      <c r="BI1367">
        <f ca="1" xml:space="preserve"> IF( AND( OFFSET($A$1, 1367 - 1, 59 - 1) = "1", OFFSET($A$1, 1367 - 1, 60 - 1) = "1" ), 1, IF( AND( OFFSET($A$1, 1367 - 1, 59 - 1) = "1", OFFSET($A$1, 1367 - 1, 60 - 1) = "0" ), 2, IF( AND( OFFSET($A$1, 1367 - 1, 59 - 1) = "0", OFFSET($A$1, 1367 - 1, 60 - 1) = "1" ), 3, 4 ) ) )</f>
        <v>4</v>
      </c>
    </row>
    <row r="1368" spans="58:61" x14ac:dyDescent="0.2">
      <c r="BF1368" s="3">
        <v>0</v>
      </c>
      <c r="BG1368" s="3" t="str">
        <f t="shared" si="136"/>
        <v>0</v>
      </c>
      <c r="BH1368" t="str">
        <f ca="1">IF((OFFSET($A$1, 1368 - 1, 58 - 1)) &gt;= (OFFSET($A$1, 96 - 1, 7 - 1)), "1","0")</f>
        <v>0</v>
      </c>
      <c r="BI1368">
        <f ca="1" xml:space="preserve"> IF( AND( OFFSET($A$1, 1368 - 1, 59 - 1) = "1", OFFSET($A$1, 1368 - 1, 60 - 1) = "1" ), 1, IF( AND( OFFSET($A$1, 1368 - 1, 59 - 1) = "1", OFFSET($A$1, 1368 - 1, 60 - 1) = "0" ), 2, IF( AND( OFFSET($A$1, 1368 - 1, 59 - 1) = "0", OFFSET($A$1, 1368 - 1, 60 - 1) = "1" ), 3, 4 ) ) )</f>
        <v>4</v>
      </c>
    </row>
    <row r="1369" spans="58:61" x14ac:dyDescent="0.2">
      <c r="BF1369" s="3">
        <v>0</v>
      </c>
      <c r="BG1369" s="3" t="str">
        <f t="shared" si="136"/>
        <v>0</v>
      </c>
      <c r="BH1369" t="str">
        <f ca="1">IF((OFFSET($A$1, 1369 - 1, 58 - 1)) &gt;= (OFFSET($A$1, 96 - 1, 7 - 1)), "1","0")</f>
        <v>0</v>
      </c>
      <c r="BI1369">
        <f ca="1" xml:space="preserve"> IF( AND( OFFSET($A$1, 1369 - 1, 59 - 1) = "1", OFFSET($A$1, 1369 - 1, 60 - 1) = "1" ), 1, IF( AND( OFFSET($A$1, 1369 - 1, 59 - 1) = "1", OFFSET($A$1, 1369 - 1, 60 - 1) = "0" ), 2, IF( AND( OFFSET($A$1, 1369 - 1, 59 - 1) = "0", OFFSET($A$1, 1369 - 1, 60 - 1) = "1" ), 3, 4 ) ) )</f>
        <v>4</v>
      </c>
    </row>
    <row r="1370" spans="58:61" x14ac:dyDescent="0.2">
      <c r="BF1370" s="3">
        <v>0</v>
      </c>
      <c r="BG1370" s="3" t="str">
        <f t="shared" si="136"/>
        <v>0</v>
      </c>
      <c r="BH1370" t="str">
        <f ca="1">IF((OFFSET($A$1, 1370 - 1, 58 - 1)) &gt;= (OFFSET($A$1, 96 - 1, 7 - 1)), "1","0")</f>
        <v>0</v>
      </c>
      <c r="BI1370">
        <f ca="1" xml:space="preserve"> IF( AND( OFFSET($A$1, 1370 - 1, 59 - 1) = "1", OFFSET($A$1, 1370 - 1, 60 - 1) = "1" ), 1, IF( AND( OFFSET($A$1, 1370 - 1, 59 - 1) = "1", OFFSET($A$1, 1370 - 1, 60 - 1) = "0" ), 2, IF( AND( OFFSET($A$1, 1370 - 1, 59 - 1) = "0", OFFSET($A$1, 1370 - 1, 60 - 1) = "1" ), 3, 4 ) ) )</f>
        <v>4</v>
      </c>
    </row>
    <row r="1371" spans="58:61" x14ac:dyDescent="0.2">
      <c r="BF1371" s="3">
        <v>0</v>
      </c>
      <c r="BG1371" s="3" t="str">
        <f t="shared" si="136"/>
        <v>0</v>
      </c>
      <c r="BH1371" t="str">
        <f ca="1">IF((OFFSET($A$1, 1371 - 1, 58 - 1)) &gt;= (OFFSET($A$1, 96 - 1, 7 - 1)), "1","0")</f>
        <v>0</v>
      </c>
      <c r="BI1371">
        <f ca="1" xml:space="preserve"> IF( AND( OFFSET($A$1, 1371 - 1, 59 - 1) = "1", OFFSET($A$1, 1371 - 1, 60 - 1) = "1" ), 1, IF( AND( OFFSET($A$1, 1371 - 1, 59 - 1) = "1", OFFSET($A$1, 1371 - 1, 60 - 1) = "0" ), 2, IF( AND( OFFSET($A$1, 1371 - 1, 59 - 1) = "0", OFFSET($A$1, 1371 - 1, 60 - 1) = "1" ), 3, 4 ) ) )</f>
        <v>4</v>
      </c>
    </row>
    <row r="1372" spans="58:61" x14ac:dyDescent="0.2">
      <c r="BF1372" s="3">
        <v>0</v>
      </c>
      <c r="BG1372" s="3" t="str">
        <f t="shared" si="136"/>
        <v>0</v>
      </c>
      <c r="BH1372" t="str">
        <f ca="1">IF((OFFSET($A$1, 1372 - 1, 58 - 1)) &gt;= (OFFSET($A$1, 96 - 1, 7 - 1)), "1","0")</f>
        <v>0</v>
      </c>
      <c r="BI1372">
        <f ca="1" xml:space="preserve"> IF( AND( OFFSET($A$1, 1372 - 1, 59 - 1) = "1", OFFSET($A$1, 1372 - 1, 60 - 1) = "1" ), 1, IF( AND( OFFSET($A$1, 1372 - 1, 59 - 1) = "1", OFFSET($A$1, 1372 - 1, 60 - 1) = "0" ), 2, IF( AND( OFFSET($A$1, 1372 - 1, 59 - 1) = "0", OFFSET($A$1, 1372 - 1, 60 - 1) = "1" ), 3, 4 ) ) )</f>
        <v>4</v>
      </c>
    </row>
    <row r="1373" spans="58:61" x14ac:dyDescent="0.2">
      <c r="BF1373" s="3">
        <v>0.47692307692307689</v>
      </c>
      <c r="BG1373" s="3" t="str">
        <f>"1"</f>
        <v>1</v>
      </c>
      <c r="BH1373" t="str">
        <f ca="1">IF((OFFSET($A$1, 1373 - 1, 58 - 1)) &gt;= (OFFSET($A$1, 96 - 1, 7 - 1)), "1","0")</f>
        <v>0</v>
      </c>
      <c r="BI1373">
        <f ca="1" xml:space="preserve"> IF( AND( OFFSET($A$1, 1373 - 1, 59 - 1) = "1", OFFSET($A$1, 1373 - 1, 60 - 1) = "1" ), 1, IF( AND( OFFSET($A$1, 1373 - 1, 59 - 1) = "1", OFFSET($A$1, 1373 - 1, 60 - 1) = "0" ), 2, IF( AND( OFFSET($A$1, 1373 - 1, 59 - 1) = "0", OFFSET($A$1, 1373 - 1, 60 - 1) = "1" ), 3, 4 ) ) )</f>
        <v>2</v>
      </c>
    </row>
    <row r="1374" spans="58:61" x14ac:dyDescent="0.2">
      <c r="BF1374" s="3">
        <v>0.08</v>
      </c>
      <c r="BG1374" s="3" t="str">
        <f>"0"</f>
        <v>0</v>
      </c>
      <c r="BH1374" t="str">
        <f ca="1">IF((OFFSET($A$1, 1374 - 1, 58 - 1)) &gt;= (OFFSET($A$1, 96 - 1, 7 - 1)), "1","0")</f>
        <v>0</v>
      </c>
      <c r="BI1374">
        <f ca="1" xml:space="preserve"> IF( AND( OFFSET($A$1, 1374 - 1, 59 - 1) = "1", OFFSET($A$1, 1374 - 1, 60 - 1) = "1" ), 1, IF( AND( OFFSET($A$1, 1374 - 1, 59 - 1) = "1", OFFSET($A$1, 1374 - 1, 60 - 1) = "0" ), 2, IF( AND( OFFSET($A$1, 1374 - 1, 59 - 1) = "0", OFFSET($A$1, 1374 - 1, 60 - 1) = "1" ), 3, 4 ) ) )</f>
        <v>4</v>
      </c>
    </row>
    <row r="1375" spans="58:61" x14ac:dyDescent="0.2">
      <c r="BF1375" s="3">
        <v>0.47692307692307689</v>
      </c>
      <c r="BG1375" s="3" t="str">
        <f>"0"</f>
        <v>0</v>
      </c>
      <c r="BH1375" t="str">
        <f ca="1">IF((OFFSET($A$1, 1375 - 1, 58 - 1)) &gt;= (OFFSET($A$1, 96 - 1, 7 - 1)), "1","0")</f>
        <v>0</v>
      </c>
      <c r="BI1375">
        <f ca="1" xml:space="preserve"> IF( AND( OFFSET($A$1, 1375 - 1, 59 - 1) = "1", OFFSET($A$1, 1375 - 1, 60 - 1) = "1" ), 1, IF( AND( OFFSET($A$1, 1375 - 1, 59 - 1) = "1", OFFSET($A$1, 1375 - 1, 60 - 1) = "0" ), 2, IF( AND( OFFSET($A$1, 1375 - 1, 59 - 1) = "0", OFFSET($A$1, 1375 - 1, 60 - 1) = "1" ), 3, 4 ) ) )</f>
        <v>4</v>
      </c>
    </row>
    <row r="1376" spans="58:61" x14ac:dyDescent="0.2">
      <c r="BF1376" s="3">
        <v>0</v>
      </c>
      <c r="BG1376" s="3" t="str">
        <f>"0"</f>
        <v>0</v>
      </c>
      <c r="BH1376" t="str">
        <f ca="1">IF((OFFSET($A$1, 1376 - 1, 58 - 1)) &gt;= (OFFSET($A$1, 96 - 1, 7 - 1)), "1","0")</f>
        <v>0</v>
      </c>
      <c r="BI1376">
        <f ca="1" xml:space="preserve"> IF( AND( OFFSET($A$1, 1376 - 1, 59 - 1) = "1", OFFSET($A$1, 1376 - 1, 60 - 1) = "1" ), 1, IF( AND( OFFSET($A$1, 1376 - 1, 59 - 1) = "1", OFFSET($A$1, 1376 - 1, 60 - 1) = "0" ), 2, IF( AND( OFFSET($A$1, 1376 - 1, 59 - 1) = "0", OFFSET($A$1, 1376 - 1, 60 - 1) = "1" ), 3, 4 ) ) )</f>
        <v>4</v>
      </c>
    </row>
    <row r="1377" spans="58:61" x14ac:dyDescent="0.2">
      <c r="BF1377" s="3">
        <v>3.7037037037037042E-2</v>
      </c>
      <c r="BG1377" s="3" t="str">
        <f>"0"</f>
        <v>0</v>
      </c>
      <c r="BH1377" t="str">
        <f ca="1">IF((OFFSET($A$1, 1377 - 1, 58 - 1)) &gt;= (OFFSET($A$1, 96 - 1, 7 - 1)), "1","0")</f>
        <v>0</v>
      </c>
      <c r="BI1377">
        <f ca="1" xml:space="preserve"> IF( AND( OFFSET($A$1, 1377 - 1, 59 - 1) = "1", OFFSET($A$1, 1377 - 1, 60 - 1) = "1" ), 1, IF( AND( OFFSET($A$1, 1377 - 1, 59 - 1) = "1", OFFSET($A$1, 1377 - 1, 60 - 1) = "0" ), 2, IF( AND( OFFSET($A$1, 1377 - 1, 59 - 1) = "0", OFFSET($A$1, 1377 - 1, 60 - 1) = "1" ), 3, 4 ) ) )</f>
        <v>4</v>
      </c>
    </row>
    <row r="1378" spans="58:61" x14ac:dyDescent="0.2">
      <c r="BF1378" s="3">
        <v>0.47692307692307689</v>
      </c>
      <c r="BG1378" s="3" t="str">
        <f>"1"</f>
        <v>1</v>
      </c>
      <c r="BH1378" t="str">
        <f ca="1">IF((OFFSET($A$1, 1378 - 1, 58 - 1)) &gt;= (OFFSET($A$1, 96 - 1, 7 - 1)), "1","0")</f>
        <v>0</v>
      </c>
      <c r="BI1378">
        <f ca="1" xml:space="preserve"> IF( AND( OFFSET($A$1, 1378 - 1, 59 - 1) = "1", OFFSET($A$1, 1378 - 1, 60 - 1) = "1" ), 1, IF( AND( OFFSET($A$1, 1378 - 1, 59 - 1) = "1", OFFSET($A$1, 1378 - 1, 60 - 1) = "0" ), 2, IF( AND( OFFSET($A$1, 1378 - 1, 59 - 1) = "0", OFFSET($A$1, 1378 - 1, 60 - 1) = "1" ), 3, 4 ) ) )</f>
        <v>2</v>
      </c>
    </row>
    <row r="1379" spans="58:61" x14ac:dyDescent="0.2">
      <c r="BF1379" s="3">
        <v>0</v>
      </c>
      <c r="BG1379" s="3" t="str">
        <f>"0"</f>
        <v>0</v>
      </c>
      <c r="BH1379" t="str">
        <f ca="1">IF((OFFSET($A$1, 1379 - 1, 58 - 1)) &gt;= (OFFSET($A$1, 96 - 1, 7 - 1)), "1","0")</f>
        <v>0</v>
      </c>
      <c r="BI1379">
        <f ca="1" xml:space="preserve"> IF( AND( OFFSET($A$1, 1379 - 1, 59 - 1) = "1", OFFSET($A$1, 1379 - 1, 60 - 1) = "1" ), 1, IF( AND( OFFSET($A$1, 1379 - 1, 59 - 1) = "1", OFFSET($A$1, 1379 - 1, 60 - 1) = "0" ), 2, IF( AND( OFFSET($A$1, 1379 - 1, 59 - 1) = "0", OFFSET($A$1, 1379 - 1, 60 - 1) = "1" ), 3, 4 ) ) )</f>
        <v>4</v>
      </c>
    </row>
    <row r="1380" spans="58:61" x14ac:dyDescent="0.2">
      <c r="BF1380" s="3">
        <v>0.47692307692307689</v>
      </c>
      <c r="BG1380" s="3" t="str">
        <f>"0"</f>
        <v>0</v>
      </c>
      <c r="BH1380" t="str">
        <f ca="1">IF((OFFSET($A$1, 1380 - 1, 58 - 1)) &gt;= (OFFSET($A$1, 96 - 1, 7 - 1)), "1","0")</f>
        <v>0</v>
      </c>
      <c r="BI1380">
        <f ca="1" xml:space="preserve"> IF( AND( OFFSET($A$1, 1380 - 1, 59 - 1) = "1", OFFSET($A$1, 1380 - 1, 60 - 1) = "1" ), 1, IF( AND( OFFSET($A$1, 1380 - 1, 59 - 1) = "1", OFFSET($A$1, 1380 - 1, 60 - 1) = "0" ), 2, IF( AND( OFFSET($A$1, 1380 - 1, 59 - 1) = "0", OFFSET($A$1, 1380 - 1, 60 - 1) = "1" ), 3, 4 ) ) )</f>
        <v>4</v>
      </c>
    </row>
    <row r="1381" spans="58:61" x14ac:dyDescent="0.2">
      <c r="BF1381" s="3">
        <v>0</v>
      </c>
      <c r="BG1381" s="3" t="str">
        <f>"0"</f>
        <v>0</v>
      </c>
      <c r="BH1381" t="str">
        <f ca="1">IF((OFFSET($A$1, 1381 - 1, 58 - 1)) &gt;= (OFFSET($A$1, 96 - 1, 7 - 1)), "1","0")</f>
        <v>0</v>
      </c>
      <c r="BI1381">
        <f ca="1" xml:space="preserve"> IF( AND( OFFSET($A$1, 1381 - 1, 59 - 1) = "1", OFFSET($A$1, 1381 - 1, 60 - 1) = "1" ), 1, IF( AND( OFFSET($A$1, 1381 - 1, 59 - 1) = "1", OFFSET($A$1, 1381 - 1, 60 - 1) = "0" ), 2, IF( AND( OFFSET($A$1, 1381 - 1, 59 - 1) = "0", OFFSET($A$1, 1381 - 1, 60 - 1) = "1" ), 3, 4 ) ) )</f>
        <v>4</v>
      </c>
    </row>
    <row r="1382" spans="58:61" x14ac:dyDescent="0.2">
      <c r="BF1382" s="3">
        <v>0</v>
      </c>
      <c r="BG1382" s="3" t="str">
        <f>"0"</f>
        <v>0</v>
      </c>
      <c r="BH1382" t="str">
        <f ca="1">IF((OFFSET($A$1, 1382 - 1, 58 - 1)) &gt;= (OFFSET($A$1, 96 - 1, 7 - 1)), "1","0")</f>
        <v>0</v>
      </c>
      <c r="BI1382">
        <f ca="1" xml:space="preserve"> IF( AND( OFFSET($A$1, 1382 - 1, 59 - 1) = "1", OFFSET($A$1, 1382 - 1, 60 - 1) = "1" ), 1, IF( AND( OFFSET($A$1, 1382 - 1, 59 - 1) = "1", OFFSET($A$1, 1382 - 1, 60 - 1) = "0" ), 2, IF( AND( OFFSET($A$1, 1382 - 1, 59 - 1) = "0", OFFSET($A$1, 1382 - 1, 60 - 1) = "1" ), 3, 4 ) ) )</f>
        <v>4</v>
      </c>
    </row>
    <row r="1383" spans="58:61" x14ac:dyDescent="0.2">
      <c r="BF1383" s="3">
        <v>0.90579710144927539</v>
      </c>
      <c r="BG1383" s="3" t="str">
        <f>"1"</f>
        <v>1</v>
      </c>
      <c r="BH1383" t="str">
        <f ca="1">IF((OFFSET($A$1, 1383 - 1, 58 - 1)) &gt;= (OFFSET($A$1, 96 - 1, 7 - 1)), "1","0")</f>
        <v>1</v>
      </c>
      <c r="BI1383">
        <f ca="1" xml:space="preserve"> IF( AND( OFFSET($A$1, 1383 - 1, 59 - 1) = "1", OFFSET($A$1, 1383 - 1, 60 - 1) = "1" ), 1, IF( AND( OFFSET($A$1, 1383 - 1, 59 - 1) = "1", OFFSET($A$1, 1383 - 1, 60 - 1) = "0" ), 2, IF( AND( OFFSET($A$1, 1383 - 1, 59 - 1) = "0", OFFSET($A$1, 1383 - 1, 60 - 1) = "1" ), 3, 4 ) ) )</f>
        <v>1</v>
      </c>
    </row>
    <row r="1384" spans="58:61" x14ac:dyDescent="0.2">
      <c r="BF1384" s="3">
        <v>0</v>
      </c>
      <c r="BG1384" s="3" t="str">
        <f>"0"</f>
        <v>0</v>
      </c>
      <c r="BH1384" t="str">
        <f ca="1">IF((OFFSET($A$1, 1384 - 1, 58 - 1)) &gt;= (OFFSET($A$1, 96 - 1, 7 - 1)), "1","0")</f>
        <v>0</v>
      </c>
      <c r="BI1384">
        <f ca="1" xml:space="preserve"> IF( AND( OFFSET($A$1, 1384 - 1, 59 - 1) = "1", OFFSET($A$1, 1384 - 1, 60 - 1) = "1" ), 1, IF( AND( OFFSET($A$1, 1384 - 1, 59 - 1) = "1", OFFSET($A$1, 1384 - 1, 60 - 1) = "0" ), 2, IF( AND( OFFSET($A$1, 1384 - 1, 59 - 1) = "0", OFFSET($A$1, 1384 - 1, 60 - 1) = "1" ), 3, 4 ) ) )</f>
        <v>4</v>
      </c>
    </row>
    <row r="1385" spans="58:61" x14ac:dyDescent="0.2">
      <c r="BF1385" s="3">
        <v>0</v>
      </c>
      <c r="BG1385" s="3" t="str">
        <f>"0"</f>
        <v>0</v>
      </c>
      <c r="BH1385" t="str">
        <f ca="1">IF((OFFSET($A$1, 1385 - 1, 58 - 1)) &gt;= (OFFSET($A$1, 96 - 1, 7 - 1)), "1","0")</f>
        <v>0</v>
      </c>
      <c r="BI1385">
        <f ca="1" xml:space="preserve"> IF( AND( OFFSET($A$1, 1385 - 1, 59 - 1) = "1", OFFSET($A$1, 1385 - 1, 60 - 1) = "1" ), 1, IF( AND( OFFSET($A$1, 1385 - 1, 59 - 1) = "1", OFFSET($A$1, 1385 - 1, 60 - 1) = "0" ), 2, IF( AND( OFFSET($A$1, 1385 - 1, 59 - 1) = "0", OFFSET($A$1, 1385 - 1, 60 - 1) = "1" ), 3, 4 ) ) )</f>
        <v>4</v>
      </c>
    </row>
    <row r="1386" spans="58:61" x14ac:dyDescent="0.2">
      <c r="BF1386" s="3">
        <v>4.3478260869565216E-2</v>
      </c>
      <c r="BG1386" s="3" t="str">
        <f>"0"</f>
        <v>0</v>
      </c>
      <c r="BH1386" t="str">
        <f ca="1">IF((OFFSET($A$1, 1386 - 1, 58 - 1)) &gt;= (OFFSET($A$1, 96 - 1, 7 - 1)), "1","0")</f>
        <v>0</v>
      </c>
      <c r="BI1386">
        <f ca="1" xml:space="preserve"> IF( AND( OFFSET($A$1, 1386 - 1, 59 - 1) = "1", OFFSET($A$1, 1386 - 1, 60 - 1) = "1" ), 1, IF( AND( OFFSET($A$1, 1386 - 1, 59 - 1) = "1", OFFSET($A$1, 1386 - 1, 60 - 1) = "0" ), 2, IF( AND( OFFSET($A$1, 1386 - 1, 59 - 1) = "0", OFFSET($A$1, 1386 - 1, 60 - 1) = "1" ), 3, 4 ) ) )</f>
        <v>4</v>
      </c>
    </row>
    <row r="1387" spans="58:61" x14ac:dyDescent="0.2">
      <c r="BF1387" s="3">
        <v>0.90579710144927539</v>
      </c>
      <c r="BG1387" s="3" t="str">
        <f>"1"</f>
        <v>1</v>
      </c>
      <c r="BH1387" t="str">
        <f ca="1">IF((OFFSET($A$1, 1387 - 1, 58 - 1)) &gt;= (OFFSET($A$1, 96 - 1, 7 - 1)), "1","0")</f>
        <v>1</v>
      </c>
      <c r="BI1387">
        <f ca="1" xml:space="preserve"> IF( AND( OFFSET($A$1, 1387 - 1, 59 - 1) = "1", OFFSET($A$1, 1387 - 1, 60 - 1) = "1" ), 1, IF( AND( OFFSET($A$1, 1387 - 1, 59 - 1) = "1", OFFSET($A$1, 1387 - 1, 60 - 1) = "0" ), 2, IF( AND( OFFSET($A$1, 1387 - 1, 59 - 1) = "0", OFFSET($A$1, 1387 - 1, 60 - 1) = "1" ), 3, 4 ) ) )</f>
        <v>1</v>
      </c>
    </row>
    <row r="1388" spans="58:61" x14ac:dyDescent="0.2">
      <c r="BF1388" s="3">
        <v>3.7037037037037042E-2</v>
      </c>
      <c r="BG1388" s="3" t="str">
        <f t="shared" ref="BG1388:BG1395" si="137">"0"</f>
        <v>0</v>
      </c>
      <c r="BH1388" t="str">
        <f ca="1">IF((OFFSET($A$1, 1388 - 1, 58 - 1)) &gt;= (OFFSET($A$1, 96 - 1, 7 - 1)), "1","0")</f>
        <v>0</v>
      </c>
      <c r="BI1388">
        <f ca="1" xml:space="preserve"> IF( AND( OFFSET($A$1, 1388 - 1, 59 - 1) = "1", OFFSET($A$1, 1388 - 1, 60 - 1) = "1" ), 1, IF( AND( OFFSET($A$1, 1388 - 1, 59 - 1) = "1", OFFSET($A$1, 1388 - 1, 60 - 1) = "0" ), 2, IF( AND( OFFSET($A$1, 1388 - 1, 59 - 1) = "0", OFFSET($A$1, 1388 - 1, 60 - 1) = "1" ), 3, 4 ) ) )</f>
        <v>4</v>
      </c>
    </row>
    <row r="1389" spans="58:61" x14ac:dyDescent="0.2">
      <c r="BF1389" s="3">
        <v>0.34722222222222221</v>
      </c>
      <c r="BG1389" s="3" t="str">
        <f t="shared" si="137"/>
        <v>0</v>
      </c>
      <c r="BH1389" t="str">
        <f ca="1">IF((OFFSET($A$1, 1389 - 1, 58 - 1)) &gt;= (OFFSET($A$1, 96 - 1, 7 - 1)), "1","0")</f>
        <v>0</v>
      </c>
      <c r="BI1389">
        <f ca="1" xml:space="preserve"> IF( AND( OFFSET($A$1, 1389 - 1, 59 - 1) = "1", OFFSET($A$1, 1389 - 1, 60 - 1) = "1" ), 1, IF( AND( OFFSET($A$1, 1389 - 1, 59 - 1) = "1", OFFSET($A$1, 1389 - 1, 60 - 1) = "0" ), 2, IF( AND( OFFSET($A$1, 1389 - 1, 59 - 1) = "0", OFFSET($A$1, 1389 - 1, 60 - 1) = "1" ), 3, 4 ) ) )</f>
        <v>4</v>
      </c>
    </row>
    <row r="1390" spans="58:61" x14ac:dyDescent="0.2">
      <c r="BF1390" s="3">
        <v>0</v>
      </c>
      <c r="BG1390" s="3" t="str">
        <f t="shared" si="137"/>
        <v>0</v>
      </c>
      <c r="BH1390" t="str">
        <f ca="1">IF((OFFSET($A$1, 1390 - 1, 58 - 1)) &gt;= (OFFSET($A$1, 96 - 1, 7 - 1)), "1","0")</f>
        <v>0</v>
      </c>
      <c r="BI1390">
        <f ca="1" xml:space="preserve"> IF( AND( OFFSET($A$1, 1390 - 1, 59 - 1) = "1", OFFSET($A$1, 1390 - 1, 60 - 1) = "1" ), 1, IF( AND( OFFSET($A$1, 1390 - 1, 59 - 1) = "1", OFFSET($A$1, 1390 - 1, 60 - 1) = "0" ), 2, IF( AND( OFFSET($A$1, 1390 - 1, 59 - 1) = "0", OFFSET($A$1, 1390 - 1, 60 - 1) = "1" ), 3, 4 ) ) )</f>
        <v>4</v>
      </c>
    </row>
    <row r="1391" spans="58:61" x14ac:dyDescent="0.2">
      <c r="BF1391" s="3">
        <v>0</v>
      </c>
      <c r="BG1391" s="3" t="str">
        <f t="shared" si="137"/>
        <v>0</v>
      </c>
      <c r="BH1391" t="str">
        <f ca="1">IF((OFFSET($A$1, 1391 - 1, 58 - 1)) &gt;= (OFFSET($A$1, 96 - 1, 7 - 1)), "1","0")</f>
        <v>0</v>
      </c>
      <c r="BI1391">
        <f ca="1" xml:space="preserve"> IF( AND( OFFSET($A$1, 1391 - 1, 59 - 1) = "1", OFFSET($A$1, 1391 - 1, 60 - 1) = "1" ), 1, IF( AND( OFFSET($A$1, 1391 - 1, 59 - 1) = "1", OFFSET($A$1, 1391 - 1, 60 - 1) = "0" ), 2, IF( AND( OFFSET($A$1, 1391 - 1, 59 - 1) = "0", OFFSET($A$1, 1391 - 1, 60 - 1) = "1" ), 3, 4 ) ) )</f>
        <v>4</v>
      </c>
    </row>
    <row r="1392" spans="58:61" x14ac:dyDescent="0.2">
      <c r="BF1392" s="3">
        <v>0.08</v>
      </c>
      <c r="BG1392" s="3" t="str">
        <f t="shared" si="137"/>
        <v>0</v>
      </c>
      <c r="BH1392" t="str">
        <f ca="1">IF((OFFSET($A$1, 1392 - 1, 58 - 1)) &gt;= (OFFSET($A$1, 96 - 1, 7 - 1)), "1","0")</f>
        <v>0</v>
      </c>
      <c r="BI1392">
        <f ca="1" xml:space="preserve"> IF( AND( OFFSET($A$1, 1392 - 1, 59 - 1) = "1", OFFSET($A$1, 1392 - 1, 60 - 1) = "1" ), 1, IF( AND( OFFSET($A$1, 1392 - 1, 59 - 1) = "1", OFFSET($A$1, 1392 - 1, 60 - 1) = "0" ), 2, IF( AND( OFFSET($A$1, 1392 - 1, 59 - 1) = "0", OFFSET($A$1, 1392 - 1, 60 - 1) = "1" ), 3, 4 ) ) )</f>
        <v>4</v>
      </c>
    </row>
    <row r="1393" spans="58:61" x14ac:dyDescent="0.2">
      <c r="BF1393" s="3">
        <v>0</v>
      </c>
      <c r="BG1393" s="3" t="str">
        <f t="shared" si="137"/>
        <v>0</v>
      </c>
      <c r="BH1393" t="str">
        <f ca="1">IF((OFFSET($A$1, 1393 - 1, 58 - 1)) &gt;= (OFFSET($A$1, 96 - 1, 7 - 1)), "1","0")</f>
        <v>0</v>
      </c>
      <c r="BI1393">
        <f ca="1" xml:space="preserve"> IF( AND( OFFSET($A$1, 1393 - 1, 59 - 1) = "1", OFFSET($A$1, 1393 - 1, 60 - 1) = "1" ), 1, IF( AND( OFFSET($A$1, 1393 - 1, 59 - 1) = "1", OFFSET($A$1, 1393 - 1, 60 - 1) = "0" ), 2, IF( AND( OFFSET($A$1, 1393 - 1, 59 - 1) = "0", OFFSET($A$1, 1393 - 1, 60 - 1) = "1" ), 3, 4 ) ) )</f>
        <v>4</v>
      </c>
    </row>
    <row r="1394" spans="58:61" x14ac:dyDescent="0.2">
      <c r="BF1394" s="3">
        <v>0.38775510204081637</v>
      </c>
      <c r="BG1394" s="3" t="str">
        <f t="shared" si="137"/>
        <v>0</v>
      </c>
      <c r="BH1394" t="str">
        <f ca="1">IF((OFFSET($A$1, 1394 - 1, 58 - 1)) &gt;= (OFFSET($A$1, 96 - 1, 7 - 1)), "1","0")</f>
        <v>0</v>
      </c>
      <c r="BI1394">
        <f ca="1" xml:space="preserve"> IF( AND( OFFSET($A$1, 1394 - 1, 59 - 1) = "1", OFFSET($A$1, 1394 - 1, 60 - 1) = "1" ), 1, IF( AND( OFFSET($A$1, 1394 - 1, 59 - 1) = "1", OFFSET($A$1, 1394 - 1, 60 - 1) = "0" ), 2, IF( AND( OFFSET($A$1, 1394 - 1, 59 - 1) = "0", OFFSET($A$1, 1394 - 1, 60 - 1) = "1" ), 3, 4 ) ) )</f>
        <v>4</v>
      </c>
    </row>
    <row r="1395" spans="58:61" x14ac:dyDescent="0.2">
      <c r="BF1395" s="3">
        <v>0.47692307692307689</v>
      </c>
      <c r="BG1395" s="3" t="str">
        <f t="shared" si="137"/>
        <v>0</v>
      </c>
      <c r="BH1395" t="str">
        <f ca="1">IF((OFFSET($A$1, 1395 - 1, 58 - 1)) &gt;= (OFFSET($A$1, 96 - 1, 7 - 1)), "1","0")</f>
        <v>0</v>
      </c>
      <c r="BI1395">
        <f ca="1" xml:space="preserve"> IF( AND( OFFSET($A$1, 1395 - 1, 59 - 1) = "1", OFFSET($A$1, 1395 - 1, 60 - 1) = "1" ), 1, IF( AND( OFFSET($A$1, 1395 - 1, 59 - 1) = "1", OFFSET($A$1, 1395 - 1, 60 - 1) = "0" ), 2, IF( AND( OFFSET($A$1, 1395 - 1, 59 - 1) = "0", OFFSET($A$1, 1395 - 1, 60 - 1) = "1" ), 3, 4 ) ) )</f>
        <v>4</v>
      </c>
    </row>
    <row r="1396" spans="58:61" x14ac:dyDescent="0.2">
      <c r="BF1396" s="3">
        <v>0.90579710144927539</v>
      </c>
      <c r="BG1396" s="3" t="str">
        <f>"1"</f>
        <v>1</v>
      </c>
      <c r="BH1396" t="str">
        <f ca="1">IF((OFFSET($A$1, 1396 - 1, 58 - 1)) &gt;= (OFFSET($A$1, 96 - 1, 7 - 1)), "1","0")</f>
        <v>1</v>
      </c>
      <c r="BI1396">
        <f ca="1" xml:space="preserve"> IF( AND( OFFSET($A$1, 1396 - 1, 59 - 1) = "1", OFFSET($A$1, 1396 - 1, 60 - 1) = "1" ), 1, IF( AND( OFFSET($A$1, 1396 - 1, 59 - 1) = "1", OFFSET($A$1, 1396 - 1, 60 - 1) = "0" ), 2, IF( AND( OFFSET($A$1, 1396 - 1, 59 - 1) = "0", OFFSET($A$1, 1396 - 1, 60 - 1) = "1" ), 3, 4 ) ) )</f>
        <v>1</v>
      </c>
    </row>
    <row r="1397" spans="58:61" x14ac:dyDescent="0.2">
      <c r="BF1397" s="3">
        <v>0</v>
      </c>
      <c r="BG1397" s="3" t="str">
        <f t="shared" ref="BG1397:BG1411" si="138">"0"</f>
        <v>0</v>
      </c>
      <c r="BH1397" t="str">
        <f ca="1">IF((OFFSET($A$1, 1397 - 1, 58 - 1)) &gt;= (OFFSET($A$1, 96 - 1, 7 - 1)), "1","0")</f>
        <v>0</v>
      </c>
      <c r="BI1397">
        <f ca="1" xml:space="preserve"> IF( AND( OFFSET($A$1, 1397 - 1, 59 - 1) = "1", OFFSET($A$1, 1397 - 1, 60 - 1) = "1" ), 1, IF( AND( OFFSET($A$1, 1397 - 1, 59 - 1) = "1", OFFSET($A$1, 1397 - 1, 60 - 1) = "0" ), 2, IF( AND( OFFSET($A$1, 1397 - 1, 59 - 1) = "0", OFFSET($A$1, 1397 - 1, 60 - 1) = "1" ), 3, 4 ) ) )</f>
        <v>4</v>
      </c>
    </row>
    <row r="1398" spans="58:61" x14ac:dyDescent="0.2">
      <c r="BF1398" s="3">
        <v>0</v>
      </c>
      <c r="BG1398" s="3" t="str">
        <f t="shared" si="138"/>
        <v>0</v>
      </c>
      <c r="BH1398" t="str">
        <f ca="1">IF((OFFSET($A$1, 1398 - 1, 58 - 1)) &gt;= (OFFSET($A$1, 96 - 1, 7 - 1)), "1","0")</f>
        <v>0</v>
      </c>
      <c r="BI1398">
        <f ca="1" xml:space="preserve"> IF( AND( OFFSET($A$1, 1398 - 1, 59 - 1) = "1", OFFSET($A$1, 1398 - 1, 60 - 1) = "1" ), 1, IF( AND( OFFSET($A$1, 1398 - 1, 59 - 1) = "1", OFFSET($A$1, 1398 - 1, 60 - 1) = "0" ), 2, IF( AND( OFFSET($A$1, 1398 - 1, 59 - 1) = "0", OFFSET($A$1, 1398 - 1, 60 - 1) = "1" ), 3, 4 ) ) )</f>
        <v>4</v>
      </c>
    </row>
    <row r="1399" spans="58:61" x14ac:dyDescent="0.2">
      <c r="BF1399" s="3">
        <v>0.1081081081081081</v>
      </c>
      <c r="BG1399" s="3" t="str">
        <f t="shared" si="138"/>
        <v>0</v>
      </c>
      <c r="BH1399" t="str">
        <f ca="1">IF((OFFSET($A$1, 1399 - 1, 58 - 1)) &gt;= (OFFSET($A$1, 96 - 1, 7 - 1)), "1","0")</f>
        <v>0</v>
      </c>
      <c r="BI1399">
        <f ca="1" xml:space="preserve"> IF( AND( OFFSET($A$1, 1399 - 1, 59 - 1) = "1", OFFSET($A$1, 1399 - 1, 60 - 1) = "1" ), 1, IF( AND( OFFSET($A$1, 1399 - 1, 59 - 1) = "1", OFFSET($A$1, 1399 - 1, 60 - 1) = "0" ), 2, IF( AND( OFFSET($A$1, 1399 - 1, 59 - 1) = "0", OFFSET($A$1, 1399 - 1, 60 - 1) = "1" ), 3, 4 ) ) )</f>
        <v>4</v>
      </c>
    </row>
    <row r="1400" spans="58:61" x14ac:dyDescent="0.2">
      <c r="BF1400" s="3">
        <v>0</v>
      </c>
      <c r="BG1400" s="3" t="str">
        <f t="shared" si="138"/>
        <v>0</v>
      </c>
      <c r="BH1400" t="str">
        <f ca="1">IF((OFFSET($A$1, 1400 - 1, 58 - 1)) &gt;= (OFFSET($A$1, 96 - 1, 7 - 1)), "1","0")</f>
        <v>0</v>
      </c>
      <c r="BI1400">
        <f ca="1" xml:space="preserve"> IF( AND( OFFSET($A$1, 1400 - 1, 59 - 1) = "1", OFFSET($A$1, 1400 - 1, 60 - 1) = "1" ), 1, IF( AND( OFFSET($A$1, 1400 - 1, 59 - 1) = "1", OFFSET($A$1, 1400 - 1, 60 - 1) = "0" ), 2, IF( AND( OFFSET($A$1, 1400 - 1, 59 - 1) = "0", OFFSET($A$1, 1400 - 1, 60 - 1) = "1" ), 3, 4 ) ) )</f>
        <v>4</v>
      </c>
    </row>
    <row r="1401" spans="58:61" x14ac:dyDescent="0.2">
      <c r="BF1401" s="3">
        <v>0</v>
      </c>
      <c r="BG1401" s="3" t="str">
        <f t="shared" si="138"/>
        <v>0</v>
      </c>
      <c r="BH1401" t="str">
        <f ca="1">IF((OFFSET($A$1, 1401 - 1, 58 - 1)) &gt;= (OFFSET($A$1, 96 - 1, 7 - 1)), "1","0")</f>
        <v>0</v>
      </c>
      <c r="BI1401">
        <f ca="1" xml:space="preserve"> IF( AND( OFFSET($A$1, 1401 - 1, 59 - 1) = "1", OFFSET($A$1, 1401 - 1, 60 - 1) = "1" ), 1, IF( AND( OFFSET($A$1, 1401 - 1, 59 - 1) = "1", OFFSET($A$1, 1401 - 1, 60 - 1) = "0" ), 2, IF( AND( OFFSET($A$1, 1401 - 1, 59 - 1) = "0", OFFSET($A$1, 1401 - 1, 60 - 1) = "1" ), 3, 4 ) ) )</f>
        <v>4</v>
      </c>
    </row>
    <row r="1402" spans="58:61" x14ac:dyDescent="0.2">
      <c r="BF1402" s="3">
        <v>0</v>
      </c>
      <c r="BG1402" s="3" t="str">
        <f t="shared" si="138"/>
        <v>0</v>
      </c>
      <c r="BH1402" t="str">
        <f ca="1">IF((OFFSET($A$1, 1402 - 1, 58 - 1)) &gt;= (OFFSET($A$1, 96 - 1, 7 - 1)), "1","0")</f>
        <v>0</v>
      </c>
      <c r="BI1402">
        <f ca="1" xml:space="preserve"> IF( AND( OFFSET($A$1, 1402 - 1, 59 - 1) = "1", OFFSET($A$1, 1402 - 1, 60 - 1) = "1" ), 1, IF( AND( OFFSET($A$1, 1402 - 1, 59 - 1) = "1", OFFSET($A$1, 1402 - 1, 60 - 1) = "0" ), 2, IF( AND( OFFSET($A$1, 1402 - 1, 59 - 1) = "0", OFFSET($A$1, 1402 - 1, 60 - 1) = "1" ), 3, 4 ) ) )</f>
        <v>4</v>
      </c>
    </row>
    <row r="1403" spans="58:61" x14ac:dyDescent="0.2">
      <c r="BF1403" s="3">
        <v>0.1081081081081081</v>
      </c>
      <c r="BG1403" s="3" t="str">
        <f t="shared" si="138"/>
        <v>0</v>
      </c>
      <c r="BH1403" t="str">
        <f ca="1">IF((OFFSET($A$1, 1403 - 1, 58 - 1)) &gt;= (OFFSET($A$1, 96 - 1, 7 - 1)), "1","0")</f>
        <v>0</v>
      </c>
      <c r="BI1403">
        <f ca="1" xml:space="preserve"> IF( AND( OFFSET($A$1, 1403 - 1, 59 - 1) = "1", OFFSET($A$1, 1403 - 1, 60 - 1) = "1" ), 1, IF( AND( OFFSET($A$1, 1403 - 1, 59 - 1) = "1", OFFSET($A$1, 1403 - 1, 60 - 1) = "0" ), 2, IF( AND( OFFSET($A$1, 1403 - 1, 59 - 1) = "0", OFFSET($A$1, 1403 - 1, 60 - 1) = "1" ), 3, 4 ) ) )</f>
        <v>4</v>
      </c>
    </row>
    <row r="1404" spans="58:61" x14ac:dyDescent="0.2">
      <c r="BF1404" s="3">
        <v>0</v>
      </c>
      <c r="BG1404" s="3" t="str">
        <f t="shared" si="138"/>
        <v>0</v>
      </c>
      <c r="BH1404" t="str">
        <f ca="1">IF((OFFSET($A$1, 1404 - 1, 58 - 1)) &gt;= (OFFSET($A$1, 96 - 1, 7 - 1)), "1","0")</f>
        <v>0</v>
      </c>
      <c r="BI1404">
        <f ca="1" xml:space="preserve"> IF( AND( OFFSET($A$1, 1404 - 1, 59 - 1) = "1", OFFSET($A$1, 1404 - 1, 60 - 1) = "1" ), 1, IF( AND( OFFSET($A$1, 1404 - 1, 59 - 1) = "1", OFFSET($A$1, 1404 - 1, 60 - 1) = "0" ), 2, IF( AND( OFFSET($A$1, 1404 - 1, 59 - 1) = "0", OFFSET($A$1, 1404 - 1, 60 - 1) = "1" ), 3, 4 ) ) )</f>
        <v>4</v>
      </c>
    </row>
    <row r="1405" spans="58:61" x14ac:dyDescent="0.2">
      <c r="BF1405" s="3">
        <v>0</v>
      </c>
      <c r="BG1405" s="3" t="str">
        <f t="shared" si="138"/>
        <v>0</v>
      </c>
      <c r="BH1405" t="str">
        <f ca="1">IF((OFFSET($A$1, 1405 - 1, 58 - 1)) &gt;= (OFFSET($A$1, 96 - 1, 7 - 1)), "1","0")</f>
        <v>0</v>
      </c>
      <c r="BI1405">
        <f ca="1" xml:space="preserve"> IF( AND( OFFSET($A$1, 1405 - 1, 59 - 1) = "1", OFFSET($A$1, 1405 - 1, 60 - 1) = "1" ), 1, IF( AND( OFFSET($A$1, 1405 - 1, 59 - 1) = "1", OFFSET($A$1, 1405 - 1, 60 - 1) = "0" ), 2, IF( AND( OFFSET($A$1, 1405 - 1, 59 - 1) = "0", OFFSET($A$1, 1405 - 1, 60 - 1) = "1" ), 3, 4 ) ) )</f>
        <v>4</v>
      </c>
    </row>
    <row r="1406" spans="58:61" x14ac:dyDescent="0.2">
      <c r="BF1406" s="3">
        <v>0</v>
      </c>
      <c r="BG1406" s="3" t="str">
        <f t="shared" si="138"/>
        <v>0</v>
      </c>
      <c r="BH1406" t="str">
        <f ca="1">IF((OFFSET($A$1, 1406 - 1, 58 - 1)) &gt;= (OFFSET($A$1, 96 - 1, 7 - 1)), "1","0")</f>
        <v>0</v>
      </c>
      <c r="BI1406">
        <f ca="1" xml:space="preserve"> IF( AND( OFFSET($A$1, 1406 - 1, 59 - 1) = "1", OFFSET($A$1, 1406 - 1, 60 - 1) = "1" ), 1, IF( AND( OFFSET($A$1, 1406 - 1, 59 - 1) = "1", OFFSET($A$1, 1406 - 1, 60 - 1) = "0" ), 2, IF( AND( OFFSET($A$1, 1406 - 1, 59 - 1) = "0", OFFSET($A$1, 1406 - 1, 60 - 1) = "1" ), 3, 4 ) ) )</f>
        <v>4</v>
      </c>
    </row>
    <row r="1407" spans="58:61" x14ac:dyDescent="0.2">
      <c r="BF1407" s="3">
        <v>0</v>
      </c>
      <c r="BG1407" s="3" t="str">
        <f t="shared" si="138"/>
        <v>0</v>
      </c>
      <c r="BH1407" t="str">
        <f ca="1">IF((OFFSET($A$1, 1407 - 1, 58 - 1)) &gt;= (OFFSET($A$1, 96 - 1, 7 - 1)), "1","0")</f>
        <v>0</v>
      </c>
      <c r="BI1407">
        <f ca="1" xml:space="preserve"> IF( AND( OFFSET($A$1, 1407 - 1, 59 - 1) = "1", OFFSET($A$1, 1407 - 1, 60 - 1) = "1" ), 1, IF( AND( OFFSET($A$1, 1407 - 1, 59 - 1) = "1", OFFSET($A$1, 1407 - 1, 60 - 1) = "0" ), 2, IF( AND( OFFSET($A$1, 1407 - 1, 59 - 1) = "0", OFFSET($A$1, 1407 - 1, 60 - 1) = "1" ), 3, 4 ) ) )</f>
        <v>4</v>
      </c>
    </row>
    <row r="1408" spans="58:61" x14ac:dyDescent="0.2">
      <c r="BF1408" s="3">
        <v>4.3478260869565216E-2</v>
      </c>
      <c r="BG1408" s="3" t="str">
        <f t="shared" si="138"/>
        <v>0</v>
      </c>
      <c r="BH1408" t="str">
        <f ca="1">IF((OFFSET($A$1, 1408 - 1, 58 - 1)) &gt;= (OFFSET($A$1, 96 - 1, 7 - 1)), "1","0")</f>
        <v>0</v>
      </c>
      <c r="BI1408">
        <f ca="1" xml:space="preserve"> IF( AND( OFFSET($A$1, 1408 - 1, 59 - 1) = "1", OFFSET($A$1, 1408 - 1, 60 - 1) = "1" ), 1, IF( AND( OFFSET($A$1, 1408 - 1, 59 - 1) = "1", OFFSET($A$1, 1408 - 1, 60 - 1) = "0" ), 2, IF( AND( OFFSET($A$1, 1408 - 1, 59 - 1) = "0", OFFSET($A$1, 1408 - 1, 60 - 1) = "1" ), 3, 4 ) ) )</f>
        <v>4</v>
      </c>
    </row>
    <row r="1409" spans="58:61" x14ac:dyDescent="0.2">
      <c r="BF1409" s="3">
        <v>0.47692307692307689</v>
      </c>
      <c r="BG1409" s="3" t="str">
        <f t="shared" si="138"/>
        <v>0</v>
      </c>
      <c r="BH1409" t="str">
        <f ca="1">IF((OFFSET($A$1, 1409 - 1, 58 - 1)) &gt;= (OFFSET($A$1, 96 - 1, 7 - 1)), "1","0")</f>
        <v>0</v>
      </c>
      <c r="BI1409">
        <f ca="1" xml:space="preserve"> IF( AND( OFFSET($A$1, 1409 - 1, 59 - 1) = "1", OFFSET($A$1, 1409 - 1, 60 - 1) = "1" ), 1, IF( AND( OFFSET($A$1, 1409 - 1, 59 - 1) = "1", OFFSET($A$1, 1409 - 1, 60 - 1) = "0" ), 2, IF( AND( OFFSET($A$1, 1409 - 1, 59 - 1) = "0", OFFSET($A$1, 1409 - 1, 60 - 1) = "1" ), 3, 4 ) ) )</f>
        <v>4</v>
      </c>
    </row>
    <row r="1410" spans="58:61" x14ac:dyDescent="0.2">
      <c r="BF1410" s="3">
        <v>0</v>
      </c>
      <c r="BG1410" s="3" t="str">
        <f t="shared" si="138"/>
        <v>0</v>
      </c>
      <c r="BH1410" t="str">
        <f ca="1">IF((OFFSET($A$1, 1410 - 1, 58 - 1)) &gt;= (OFFSET($A$1, 96 - 1, 7 - 1)), "1","0")</f>
        <v>0</v>
      </c>
      <c r="BI1410">
        <f ca="1" xml:space="preserve"> IF( AND( OFFSET($A$1, 1410 - 1, 59 - 1) = "1", OFFSET($A$1, 1410 - 1, 60 - 1) = "1" ), 1, IF( AND( OFFSET($A$1, 1410 - 1, 59 - 1) = "1", OFFSET($A$1, 1410 - 1, 60 - 1) = "0" ), 2, IF( AND( OFFSET($A$1, 1410 - 1, 59 - 1) = "0", OFFSET($A$1, 1410 - 1, 60 - 1) = "1" ), 3, 4 ) ) )</f>
        <v>4</v>
      </c>
    </row>
    <row r="1411" spans="58:61" x14ac:dyDescent="0.2">
      <c r="BF1411" s="3">
        <v>0</v>
      </c>
      <c r="BG1411" s="3" t="str">
        <f t="shared" si="138"/>
        <v>0</v>
      </c>
      <c r="BH1411" t="str">
        <f ca="1">IF((OFFSET($A$1, 1411 - 1, 58 - 1)) &gt;= (OFFSET($A$1, 96 - 1, 7 - 1)), "1","0")</f>
        <v>0</v>
      </c>
      <c r="BI1411">
        <f ca="1" xml:space="preserve"> IF( AND( OFFSET($A$1, 1411 - 1, 59 - 1) = "1", OFFSET($A$1, 1411 - 1, 60 - 1) = "1" ), 1, IF( AND( OFFSET($A$1, 1411 - 1, 59 - 1) = "1", OFFSET($A$1, 1411 - 1, 60 - 1) = "0" ), 2, IF( AND( OFFSET($A$1, 1411 - 1, 59 - 1) = "0", OFFSET($A$1, 1411 - 1, 60 - 1) = "1" ), 3, 4 ) ) )</f>
        <v>4</v>
      </c>
    </row>
    <row r="1412" spans="58:61" x14ac:dyDescent="0.2">
      <c r="BF1412" s="3">
        <v>0.90579710144927539</v>
      </c>
      <c r="BG1412" s="3" t="str">
        <f>"1"</f>
        <v>1</v>
      </c>
      <c r="BH1412" t="str">
        <f ca="1">IF((OFFSET($A$1, 1412 - 1, 58 - 1)) &gt;= (OFFSET($A$1, 96 - 1, 7 - 1)), "1","0")</f>
        <v>1</v>
      </c>
      <c r="BI1412">
        <f ca="1" xml:space="preserve"> IF( AND( OFFSET($A$1, 1412 - 1, 59 - 1) = "1", OFFSET($A$1, 1412 - 1, 60 - 1) = "1" ), 1, IF( AND( OFFSET($A$1, 1412 - 1, 59 - 1) = "1", OFFSET($A$1, 1412 - 1, 60 - 1) = "0" ), 2, IF( AND( OFFSET($A$1, 1412 - 1, 59 - 1) = "0", OFFSET($A$1, 1412 - 1, 60 - 1) = "1" ), 3, 4 ) ) )</f>
        <v>1</v>
      </c>
    </row>
    <row r="1413" spans="58:61" x14ac:dyDescent="0.2">
      <c r="BF1413" s="3">
        <v>0</v>
      </c>
      <c r="BG1413" s="3" t="str">
        <f>"0"</f>
        <v>0</v>
      </c>
      <c r="BH1413" t="str">
        <f ca="1">IF((OFFSET($A$1, 1413 - 1, 58 - 1)) &gt;= (OFFSET($A$1, 96 - 1, 7 - 1)), "1","0")</f>
        <v>0</v>
      </c>
      <c r="BI1413">
        <f ca="1" xml:space="preserve"> IF( AND( OFFSET($A$1, 1413 - 1, 59 - 1) = "1", OFFSET($A$1, 1413 - 1, 60 - 1) = "1" ), 1, IF( AND( OFFSET($A$1, 1413 - 1, 59 - 1) = "1", OFFSET($A$1, 1413 - 1, 60 - 1) = "0" ), 2, IF( AND( OFFSET($A$1, 1413 - 1, 59 - 1) = "0", OFFSET($A$1, 1413 - 1, 60 - 1) = "1" ), 3, 4 ) ) )</f>
        <v>4</v>
      </c>
    </row>
    <row r="1414" spans="58:61" x14ac:dyDescent="0.2">
      <c r="BF1414" s="3">
        <v>0.90579710144927539</v>
      </c>
      <c r="BG1414" s="3" t="str">
        <f>"1"</f>
        <v>1</v>
      </c>
      <c r="BH1414" t="str">
        <f ca="1">IF((OFFSET($A$1, 1414 - 1, 58 - 1)) &gt;= (OFFSET($A$1, 96 - 1, 7 - 1)), "1","0")</f>
        <v>1</v>
      </c>
      <c r="BI1414">
        <f ca="1" xml:space="preserve"> IF( AND( OFFSET($A$1, 1414 - 1, 59 - 1) = "1", OFFSET($A$1, 1414 - 1, 60 - 1) = "1" ), 1, IF( AND( OFFSET($A$1, 1414 - 1, 59 - 1) = "1", OFFSET($A$1, 1414 - 1, 60 - 1) = "0" ), 2, IF( AND( OFFSET($A$1, 1414 - 1, 59 - 1) = "0", OFFSET($A$1, 1414 - 1, 60 - 1) = "1" ), 3, 4 ) ) )</f>
        <v>1</v>
      </c>
    </row>
    <row r="1415" spans="58:61" x14ac:dyDescent="0.2">
      <c r="BF1415" s="3">
        <v>0</v>
      </c>
      <c r="BG1415" s="3" t="str">
        <f t="shared" ref="BG1415:BG1426" si="139">"0"</f>
        <v>0</v>
      </c>
      <c r="BH1415" t="str">
        <f ca="1">IF((OFFSET($A$1, 1415 - 1, 58 - 1)) &gt;= (OFFSET($A$1, 96 - 1, 7 - 1)), "1","0")</f>
        <v>0</v>
      </c>
      <c r="BI1415">
        <f ca="1" xml:space="preserve"> IF( AND( OFFSET($A$1, 1415 - 1, 59 - 1) = "1", OFFSET($A$1, 1415 - 1, 60 - 1) = "1" ), 1, IF( AND( OFFSET($A$1, 1415 - 1, 59 - 1) = "1", OFFSET($A$1, 1415 - 1, 60 - 1) = "0" ), 2, IF( AND( OFFSET($A$1, 1415 - 1, 59 - 1) = "0", OFFSET($A$1, 1415 - 1, 60 - 1) = "1" ), 3, 4 ) ) )</f>
        <v>4</v>
      </c>
    </row>
    <row r="1416" spans="58:61" x14ac:dyDescent="0.2">
      <c r="BF1416" s="3">
        <v>0</v>
      </c>
      <c r="BG1416" s="3" t="str">
        <f t="shared" si="139"/>
        <v>0</v>
      </c>
      <c r="BH1416" t="str">
        <f ca="1">IF((OFFSET($A$1, 1416 - 1, 58 - 1)) &gt;= (OFFSET($A$1, 96 - 1, 7 - 1)), "1","0")</f>
        <v>0</v>
      </c>
      <c r="BI1416">
        <f ca="1" xml:space="preserve"> IF( AND( OFFSET($A$1, 1416 - 1, 59 - 1) = "1", OFFSET($A$1, 1416 - 1, 60 - 1) = "1" ), 1, IF( AND( OFFSET($A$1, 1416 - 1, 59 - 1) = "1", OFFSET($A$1, 1416 - 1, 60 - 1) = "0" ), 2, IF( AND( OFFSET($A$1, 1416 - 1, 59 - 1) = "0", OFFSET($A$1, 1416 - 1, 60 - 1) = "1" ), 3, 4 ) ) )</f>
        <v>4</v>
      </c>
    </row>
    <row r="1417" spans="58:61" x14ac:dyDescent="0.2">
      <c r="BF1417" s="3">
        <v>3.7037037037037042E-2</v>
      </c>
      <c r="BG1417" s="3" t="str">
        <f t="shared" si="139"/>
        <v>0</v>
      </c>
      <c r="BH1417" t="str">
        <f ca="1">IF((OFFSET($A$1, 1417 - 1, 58 - 1)) &gt;= (OFFSET($A$1, 96 - 1, 7 - 1)), "1","0")</f>
        <v>0</v>
      </c>
      <c r="BI1417">
        <f ca="1" xml:space="preserve"> IF( AND( OFFSET($A$1, 1417 - 1, 59 - 1) = "1", OFFSET($A$1, 1417 - 1, 60 - 1) = "1" ), 1, IF( AND( OFFSET($A$1, 1417 - 1, 59 - 1) = "1", OFFSET($A$1, 1417 - 1, 60 - 1) = "0" ), 2, IF( AND( OFFSET($A$1, 1417 - 1, 59 - 1) = "0", OFFSET($A$1, 1417 - 1, 60 - 1) = "1" ), 3, 4 ) ) )</f>
        <v>4</v>
      </c>
    </row>
    <row r="1418" spans="58:61" x14ac:dyDescent="0.2">
      <c r="BF1418" s="3">
        <v>0</v>
      </c>
      <c r="BG1418" s="3" t="str">
        <f t="shared" si="139"/>
        <v>0</v>
      </c>
      <c r="BH1418" t="str">
        <f ca="1">IF((OFFSET($A$1, 1418 - 1, 58 - 1)) &gt;= (OFFSET($A$1, 96 - 1, 7 - 1)), "1","0")</f>
        <v>0</v>
      </c>
      <c r="BI1418">
        <f ca="1" xml:space="preserve"> IF( AND( OFFSET($A$1, 1418 - 1, 59 - 1) = "1", OFFSET($A$1, 1418 - 1, 60 - 1) = "1" ), 1, IF( AND( OFFSET($A$1, 1418 - 1, 59 - 1) = "1", OFFSET($A$1, 1418 - 1, 60 - 1) = "0" ), 2, IF( AND( OFFSET($A$1, 1418 - 1, 59 - 1) = "0", OFFSET($A$1, 1418 - 1, 60 - 1) = "1" ), 3, 4 ) ) )</f>
        <v>4</v>
      </c>
    </row>
    <row r="1419" spans="58:61" x14ac:dyDescent="0.2">
      <c r="BF1419" s="3">
        <v>0</v>
      </c>
      <c r="BG1419" s="3" t="str">
        <f t="shared" si="139"/>
        <v>0</v>
      </c>
      <c r="BH1419" t="str">
        <f ca="1">IF((OFFSET($A$1, 1419 - 1, 58 - 1)) &gt;= (OFFSET($A$1, 96 - 1, 7 - 1)), "1","0")</f>
        <v>0</v>
      </c>
      <c r="BI1419">
        <f ca="1" xml:space="preserve"> IF( AND( OFFSET($A$1, 1419 - 1, 59 - 1) = "1", OFFSET($A$1, 1419 - 1, 60 - 1) = "1" ), 1, IF( AND( OFFSET($A$1, 1419 - 1, 59 - 1) = "1", OFFSET($A$1, 1419 - 1, 60 - 1) = "0" ), 2, IF( AND( OFFSET($A$1, 1419 - 1, 59 - 1) = "0", OFFSET($A$1, 1419 - 1, 60 - 1) = "1" ), 3, 4 ) ) )</f>
        <v>4</v>
      </c>
    </row>
    <row r="1420" spans="58:61" x14ac:dyDescent="0.2">
      <c r="BF1420" s="3">
        <v>0</v>
      </c>
      <c r="BG1420" s="3" t="str">
        <f t="shared" si="139"/>
        <v>0</v>
      </c>
      <c r="BH1420" t="str">
        <f ca="1">IF((OFFSET($A$1, 1420 - 1, 58 - 1)) &gt;= (OFFSET($A$1, 96 - 1, 7 - 1)), "1","0")</f>
        <v>0</v>
      </c>
      <c r="BI1420">
        <f ca="1" xml:space="preserve"> IF( AND( OFFSET($A$1, 1420 - 1, 59 - 1) = "1", OFFSET($A$1, 1420 - 1, 60 - 1) = "1" ), 1, IF( AND( OFFSET($A$1, 1420 - 1, 59 - 1) = "1", OFFSET($A$1, 1420 - 1, 60 - 1) = "0" ), 2, IF( AND( OFFSET($A$1, 1420 - 1, 59 - 1) = "0", OFFSET($A$1, 1420 - 1, 60 - 1) = "1" ), 3, 4 ) ) )</f>
        <v>4</v>
      </c>
    </row>
    <row r="1421" spans="58:61" x14ac:dyDescent="0.2">
      <c r="BF1421" s="3">
        <v>0</v>
      </c>
      <c r="BG1421" s="3" t="str">
        <f t="shared" si="139"/>
        <v>0</v>
      </c>
      <c r="BH1421" t="str">
        <f ca="1">IF((OFFSET($A$1, 1421 - 1, 58 - 1)) &gt;= (OFFSET($A$1, 96 - 1, 7 - 1)), "1","0")</f>
        <v>0</v>
      </c>
      <c r="BI1421">
        <f ca="1" xml:space="preserve"> IF( AND( OFFSET($A$1, 1421 - 1, 59 - 1) = "1", OFFSET($A$1, 1421 - 1, 60 - 1) = "1" ), 1, IF( AND( OFFSET($A$1, 1421 - 1, 59 - 1) = "1", OFFSET($A$1, 1421 - 1, 60 - 1) = "0" ), 2, IF( AND( OFFSET($A$1, 1421 - 1, 59 - 1) = "0", OFFSET($A$1, 1421 - 1, 60 - 1) = "1" ), 3, 4 ) ) )</f>
        <v>4</v>
      </c>
    </row>
    <row r="1422" spans="58:61" x14ac:dyDescent="0.2">
      <c r="BF1422" s="3">
        <v>0</v>
      </c>
      <c r="BG1422" s="3" t="str">
        <f t="shared" si="139"/>
        <v>0</v>
      </c>
      <c r="BH1422" t="str">
        <f ca="1">IF((OFFSET($A$1, 1422 - 1, 58 - 1)) &gt;= (OFFSET($A$1, 96 - 1, 7 - 1)), "1","0")</f>
        <v>0</v>
      </c>
      <c r="BI1422">
        <f ca="1" xml:space="preserve"> IF( AND( OFFSET($A$1, 1422 - 1, 59 - 1) = "1", OFFSET($A$1, 1422 - 1, 60 - 1) = "1" ), 1, IF( AND( OFFSET($A$1, 1422 - 1, 59 - 1) = "1", OFFSET($A$1, 1422 - 1, 60 - 1) = "0" ), 2, IF( AND( OFFSET($A$1, 1422 - 1, 59 - 1) = "0", OFFSET($A$1, 1422 - 1, 60 - 1) = "1" ), 3, 4 ) ) )</f>
        <v>4</v>
      </c>
    </row>
    <row r="1423" spans="58:61" x14ac:dyDescent="0.2">
      <c r="BF1423" s="3">
        <v>3.7037037037037042E-2</v>
      </c>
      <c r="BG1423" s="3" t="str">
        <f t="shared" si="139"/>
        <v>0</v>
      </c>
      <c r="BH1423" t="str">
        <f ca="1">IF((OFFSET($A$1, 1423 - 1, 58 - 1)) &gt;= (OFFSET($A$1, 96 - 1, 7 - 1)), "1","0")</f>
        <v>0</v>
      </c>
      <c r="BI1423">
        <f ca="1" xml:space="preserve"> IF( AND( OFFSET($A$1, 1423 - 1, 59 - 1) = "1", OFFSET($A$1, 1423 - 1, 60 - 1) = "1" ), 1, IF( AND( OFFSET($A$1, 1423 - 1, 59 - 1) = "1", OFFSET($A$1, 1423 - 1, 60 - 1) = "0" ), 2, IF( AND( OFFSET($A$1, 1423 - 1, 59 - 1) = "0", OFFSET($A$1, 1423 - 1, 60 - 1) = "1" ), 3, 4 ) ) )</f>
        <v>4</v>
      </c>
    </row>
    <row r="1424" spans="58:61" x14ac:dyDescent="0.2">
      <c r="BF1424" s="3">
        <v>3.7037037037037042E-2</v>
      </c>
      <c r="BG1424" s="3" t="str">
        <f t="shared" si="139"/>
        <v>0</v>
      </c>
      <c r="BH1424" t="str">
        <f ca="1">IF((OFFSET($A$1, 1424 - 1, 58 - 1)) &gt;= (OFFSET($A$1, 96 - 1, 7 - 1)), "1","0")</f>
        <v>0</v>
      </c>
      <c r="BI1424">
        <f ca="1" xml:space="preserve"> IF( AND( OFFSET($A$1, 1424 - 1, 59 - 1) = "1", OFFSET($A$1, 1424 - 1, 60 - 1) = "1" ), 1, IF( AND( OFFSET($A$1, 1424 - 1, 59 - 1) = "1", OFFSET($A$1, 1424 - 1, 60 - 1) = "0" ), 2, IF( AND( OFFSET($A$1, 1424 - 1, 59 - 1) = "0", OFFSET($A$1, 1424 - 1, 60 - 1) = "1" ), 3, 4 ) ) )</f>
        <v>4</v>
      </c>
    </row>
    <row r="1425" spans="58:61" x14ac:dyDescent="0.2">
      <c r="BF1425" s="3">
        <v>3.7037037037037042E-2</v>
      </c>
      <c r="BG1425" s="3" t="str">
        <f t="shared" si="139"/>
        <v>0</v>
      </c>
      <c r="BH1425" t="str">
        <f ca="1">IF((OFFSET($A$1, 1425 - 1, 58 - 1)) &gt;= (OFFSET($A$1, 96 - 1, 7 - 1)), "1","0")</f>
        <v>0</v>
      </c>
      <c r="BI1425">
        <f ca="1" xml:space="preserve"> IF( AND( OFFSET($A$1, 1425 - 1, 59 - 1) = "1", OFFSET($A$1, 1425 - 1, 60 - 1) = "1" ), 1, IF( AND( OFFSET($A$1, 1425 - 1, 59 - 1) = "1", OFFSET($A$1, 1425 - 1, 60 - 1) = "0" ), 2, IF( AND( OFFSET($A$1, 1425 - 1, 59 - 1) = "0", OFFSET($A$1, 1425 - 1, 60 - 1) = "1" ), 3, 4 ) ) )</f>
        <v>4</v>
      </c>
    </row>
    <row r="1426" spans="58:61" x14ac:dyDescent="0.2">
      <c r="BF1426" s="3">
        <v>0.08</v>
      </c>
      <c r="BG1426" s="3" t="str">
        <f t="shared" si="139"/>
        <v>0</v>
      </c>
      <c r="BH1426" t="str">
        <f ca="1">IF((OFFSET($A$1, 1426 - 1, 58 - 1)) &gt;= (OFFSET($A$1, 96 - 1, 7 - 1)), "1","0")</f>
        <v>0</v>
      </c>
      <c r="BI1426">
        <f ca="1" xml:space="preserve"> IF( AND( OFFSET($A$1, 1426 - 1, 59 - 1) = "1", OFFSET($A$1, 1426 - 1, 60 - 1) = "1" ), 1, IF( AND( OFFSET($A$1, 1426 - 1, 59 - 1) = "1", OFFSET($A$1, 1426 - 1, 60 - 1) = "0" ), 2, IF( AND( OFFSET($A$1, 1426 - 1, 59 - 1) = "0", OFFSET($A$1, 1426 - 1, 60 - 1) = "1" ), 3, 4 ) ) )</f>
        <v>4</v>
      </c>
    </row>
    <row r="1427" spans="58:61" x14ac:dyDescent="0.2">
      <c r="BF1427" s="3">
        <v>0.36</v>
      </c>
      <c r="BG1427" s="3" t="str">
        <f>"1"</f>
        <v>1</v>
      </c>
      <c r="BH1427" t="str">
        <f ca="1">IF((OFFSET($A$1, 1427 - 1, 58 - 1)) &gt;= (OFFSET($A$1, 96 - 1, 7 - 1)), "1","0")</f>
        <v>0</v>
      </c>
      <c r="BI1427">
        <f ca="1" xml:space="preserve"> IF( AND( OFFSET($A$1, 1427 - 1, 59 - 1) = "1", OFFSET($A$1, 1427 - 1, 60 - 1) = "1" ), 1, IF( AND( OFFSET($A$1, 1427 - 1, 59 - 1) = "1", OFFSET($A$1, 1427 - 1, 60 - 1) = "0" ), 2, IF( AND( OFFSET($A$1, 1427 - 1, 59 - 1) = "0", OFFSET($A$1, 1427 - 1, 60 - 1) = "1" ), 3, 4 ) ) )</f>
        <v>2</v>
      </c>
    </row>
    <row r="1428" spans="58:61" x14ac:dyDescent="0.2">
      <c r="BF1428" s="3">
        <v>3.7037037037037042E-2</v>
      </c>
      <c r="BG1428" s="3" t="str">
        <f>"0"</f>
        <v>0</v>
      </c>
      <c r="BH1428" t="str">
        <f ca="1">IF((OFFSET($A$1, 1428 - 1, 58 - 1)) &gt;= (OFFSET($A$1, 96 - 1, 7 - 1)), "1","0")</f>
        <v>0</v>
      </c>
      <c r="BI1428">
        <f ca="1" xml:space="preserve"> IF( AND( OFFSET($A$1, 1428 - 1, 59 - 1) = "1", OFFSET($A$1, 1428 - 1, 60 - 1) = "1" ), 1, IF( AND( OFFSET($A$1, 1428 - 1, 59 - 1) = "1", OFFSET($A$1, 1428 - 1, 60 - 1) = "0" ), 2, IF( AND( OFFSET($A$1, 1428 - 1, 59 - 1) = "0", OFFSET($A$1, 1428 - 1, 60 - 1) = "1" ), 3, 4 ) ) )</f>
        <v>4</v>
      </c>
    </row>
    <row r="1429" spans="58:61" x14ac:dyDescent="0.2">
      <c r="BF1429" s="3">
        <v>0.47692307692307689</v>
      </c>
      <c r="BG1429" s="3" t="str">
        <f>"0"</f>
        <v>0</v>
      </c>
      <c r="BH1429" t="str">
        <f ca="1">IF((OFFSET($A$1, 1429 - 1, 58 - 1)) &gt;= (OFFSET($A$1, 96 - 1, 7 - 1)), "1","0")</f>
        <v>0</v>
      </c>
      <c r="BI1429">
        <f ca="1" xml:space="preserve"> IF( AND( OFFSET($A$1, 1429 - 1, 59 - 1) = "1", OFFSET($A$1, 1429 - 1, 60 - 1) = "1" ), 1, IF( AND( OFFSET($A$1, 1429 - 1, 59 - 1) = "1", OFFSET($A$1, 1429 - 1, 60 - 1) = "0" ), 2, IF( AND( OFFSET($A$1, 1429 - 1, 59 - 1) = "0", OFFSET($A$1, 1429 - 1, 60 - 1) = "1" ), 3, 4 ) ) )</f>
        <v>4</v>
      </c>
    </row>
    <row r="1430" spans="58:61" x14ac:dyDescent="0.2">
      <c r="BF1430" s="3">
        <v>0</v>
      </c>
      <c r="BG1430" s="3" t="str">
        <f>"0"</f>
        <v>0</v>
      </c>
      <c r="BH1430" t="str">
        <f ca="1">IF((OFFSET($A$1, 1430 - 1, 58 - 1)) &gt;= (OFFSET($A$1, 96 - 1, 7 - 1)), "1","0")</f>
        <v>0</v>
      </c>
      <c r="BI1430">
        <f ca="1" xml:space="preserve"> IF( AND( OFFSET($A$1, 1430 - 1, 59 - 1) = "1", OFFSET($A$1, 1430 - 1, 60 - 1) = "1" ), 1, IF( AND( OFFSET($A$1, 1430 - 1, 59 - 1) = "1", OFFSET($A$1, 1430 - 1, 60 - 1) = "0" ), 2, IF( AND( OFFSET($A$1, 1430 - 1, 59 - 1) = "0", OFFSET($A$1, 1430 - 1, 60 - 1) = "1" ), 3, 4 ) ) )</f>
        <v>4</v>
      </c>
    </row>
    <row r="1431" spans="58:61" x14ac:dyDescent="0.2">
      <c r="BF1431" s="3">
        <v>3.7037037037037042E-2</v>
      </c>
      <c r="BG1431" s="3" t="str">
        <f>"0"</f>
        <v>0</v>
      </c>
      <c r="BH1431" t="str">
        <f ca="1">IF((OFFSET($A$1, 1431 - 1, 58 - 1)) &gt;= (OFFSET($A$1, 96 - 1, 7 - 1)), "1","0")</f>
        <v>0</v>
      </c>
      <c r="BI1431">
        <f ca="1" xml:space="preserve"> IF( AND( OFFSET($A$1, 1431 - 1, 59 - 1) = "1", OFFSET($A$1, 1431 - 1, 60 - 1) = "1" ), 1, IF( AND( OFFSET($A$1, 1431 - 1, 59 - 1) = "1", OFFSET($A$1, 1431 - 1, 60 - 1) = "0" ), 2, IF( AND( OFFSET($A$1, 1431 - 1, 59 - 1) = "0", OFFSET($A$1, 1431 - 1, 60 - 1) = "1" ), 3, 4 ) ) )</f>
        <v>4</v>
      </c>
    </row>
    <row r="1432" spans="58:61" x14ac:dyDescent="0.2">
      <c r="BF1432" s="3">
        <v>0.90579710144927539</v>
      </c>
      <c r="BG1432" s="3" t="str">
        <f>"1"</f>
        <v>1</v>
      </c>
      <c r="BH1432" t="str">
        <f ca="1">IF((OFFSET($A$1, 1432 - 1, 58 - 1)) &gt;= (OFFSET($A$1, 96 - 1, 7 - 1)), "1","0")</f>
        <v>1</v>
      </c>
      <c r="BI1432">
        <f ca="1" xml:space="preserve"> IF( AND( OFFSET($A$1, 1432 - 1, 59 - 1) = "1", OFFSET($A$1, 1432 - 1, 60 - 1) = "1" ), 1, IF( AND( OFFSET($A$1, 1432 - 1, 59 - 1) = "1", OFFSET($A$1, 1432 - 1, 60 - 1) = "0" ), 2, IF( AND( OFFSET($A$1, 1432 - 1, 59 - 1) = "0", OFFSET($A$1, 1432 - 1, 60 - 1) = "1" ), 3, 4 ) ) )</f>
        <v>1</v>
      </c>
    </row>
    <row r="1433" spans="58:61" x14ac:dyDescent="0.2">
      <c r="BF1433" s="3">
        <v>0.34722222222222221</v>
      </c>
      <c r="BG1433" s="3" t="str">
        <f>"0"</f>
        <v>0</v>
      </c>
      <c r="BH1433" t="str">
        <f ca="1">IF((OFFSET($A$1, 1433 - 1, 58 - 1)) &gt;= (OFFSET($A$1, 96 - 1, 7 - 1)), "1","0")</f>
        <v>0</v>
      </c>
      <c r="BI1433">
        <f ca="1" xml:space="preserve"> IF( AND( OFFSET($A$1, 1433 - 1, 59 - 1) = "1", OFFSET($A$1, 1433 - 1, 60 - 1) = "1" ), 1, IF( AND( OFFSET($A$1, 1433 - 1, 59 - 1) = "1", OFFSET($A$1, 1433 - 1, 60 - 1) = "0" ), 2, IF( AND( OFFSET($A$1, 1433 - 1, 59 - 1) = "0", OFFSET($A$1, 1433 - 1, 60 - 1) = "1" ), 3, 4 ) ) )</f>
        <v>4</v>
      </c>
    </row>
    <row r="1434" spans="58:61" x14ac:dyDescent="0.2">
      <c r="BF1434" s="3">
        <v>0.34722222222222221</v>
      </c>
      <c r="BG1434" s="3" t="str">
        <f>"1"</f>
        <v>1</v>
      </c>
      <c r="BH1434" t="str">
        <f ca="1">IF((OFFSET($A$1, 1434 - 1, 58 - 1)) &gt;= (OFFSET($A$1, 96 - 1, 7 - 1)), "1","0")</f>
        <v>0</v>
      </c>
      <c r="BI1434">
        <f ca="1" xml:space="preserve"> IF( AND( OFFSET($A$1, 1434 - 1, 59 - 1) = "1", OFFSET($A$1, 1434 - 1, 60 - 1) = "1" ), 1, IF( AND( OFFSET($A$1, 1434 - 1, 59 - 1) = "1", OFFSET($A$1, 1434 - 1, 60 - 1) = "0" ), 2, IF( AND( OFFSET($A$1, 1434 - 1, 59 - 1) = "0", OFFSET($A$1, 1434 - 1, 60 - 1) = "1" ), 3, 4 ) ) )</f>
        <v>2</v>
      </c>
    </row>
    <row r="1435" spans="58:61" x14ac:dyDescent="0.2">
      <c r="BF1435" s="3">
        <v>0.36</v>
      </c>
      <c r="BG1435" s="3" t="str">
        <f t="shared" ref="BG1435:BG1445" si="140">"0"</f>
        <v>0</v>
      </c>
      <c r="BH1435" t="str">
        <f ca="1">IF((OFFSET($A$1, 1435 - 1, 58 - 1)) &gt;= (OFFSET($A$1, 96 - 1, 7 - 1)), "1","0")</f>
        <v>0</v>
      </c>
      <c r="BI1435">
        <f ca="1" xml:space="preserve"> IF( AND( OFFSET($A$1, 1435 - 1, 59 - 1) = "1", OFFSET($A$1, 1435 - 1, 60 - 1) = "1" ), 1, IF( AND( OFFSET($A$1, 1435 - 1, 59 - 1) = "1", OFFSET($A$1, 1435 - 1, 60 - 1) = "0" ), 2, IF( AND( OFFSET($A$1, 1435 - 1, 59 - 1) = "0", OFFSET($A$1, 1435 - 1, 60 - 1) = "1" ), 3, 4 ) ) )</f>
        <v>4</v>
      </c>
    </row>
    <row r="1436" spans="58:61" x14ac:dyDescent="0.2">
      <c r="BF1436" s="3">
        <v>0</v>
      </c>
      <c r="BG1436" s="3" t="str">
        <f t="shared" si="140"/>
        <v>0</v>
      </c>
      <c r="BH1436" t="str">
        <f ca="1">IF((OFFSET($A$1, 1436 - 1, 58 - 1)) &gt;= (OFFSET($A$1, 96 - 1, 7 - 1)), "1","0")</f>
        <v>0</v>
      </c>
      <c r="BI1436">
        <f ca="1" xml:space="preserve"> IF( AND( OFFSET($A$1, 1436 - 1, 59 - 1) = "1", OFFSET($A$1, 1436 - 1, 60 - 1) = "1" ), 1, IF( AND( OFFSET($A$1, 1436 - 1, 59 - 1) = "1", OFFSET($A$1, 1436 - 1, 60 - 1) = "0" ), 2, IF( AND( OFFSET($A$1, 1436 - 1, 59 - 1) = "0", OFFSET($A$1, 1436 - 1, 60 - 1) = "1" ), 3, 4 ) ) )</f>
        <v>4</v>
      </c>
    </row>
    <row r="1437" spans="58:61" x14ac:dyDescent="0.2">
      <c r="BF1437" s="3">
        <v>4.3478260869565216E-2</v>
      </c>
      <c r="BG1437" s="3" t="str">
        <f t="shared" si="140"/>
        <v>0</v>
      </c>
      <c r="BH1437" t="str">
        <f ca="1">IF((OFFSET($A$1, 1437 - 1, 58 - 1)) &gt;= (OFFSET($A$1, 96 - 1, 7 - 1)), "1","0")</f>
        <v>0</v>
      </c>
      <c r="BI1437">
        <f ca="1" xml:space="preserve"> IF( AND( OFFSET($A$1, 1437 - 1, 59 - 1) = "1", OFFSET($A$1, 1437 - 1, 60 - 1) = "1" ), 1, IF( AND( OFFSET($A$1, 1437 - 1, 59 - 1) = "1", OFFSET($A$1, 1437 - 1, 60 - 1) = "0" ), 2, IF( AND( OFFSET($A$1, 1437 - 1, 59 - 1) = "0", OFFSET($A$1, 1437 - 1, 60 - 1) = "1" ), 3, 4 ) ) )</f>
        <v>4</v>
      </c>
    </row>
    <row r="1438" spans="58:61" x14ac:dyDescent="0.2">
      <c r="BF1438" s="3">
        <v>0</v>
      </c>
      <c r="BG1438" s="3" t="str">
        <f t="shared" si="140"/>
        <v>0</v>
      </c>
      <c r="BH1438" t="str">
        <f ca="1">IF((OFFSET($A$1, 1438 - 1, 58 - 1)) &gt;= (OFFSET($A$1, 96 - 1, 7 - 1)), "1","0")</f>
        <v>0</v>
      </c>
      <c r="BI1438">
        <f ca="1" xml:space="preserve"> IF( AND( OFFSET($A$1, 1438 - 1, 59 - 1) = "1", OFFSET($A$1, 1438 - 1, 60 - 1) = "1" ), 1, IF( AND( OFFSET($A$1, 1438 - 1, 59 - 1) = "1", OFFSET($A$1, 1438 - 1, 60 - 1) = "0" ), 2, IF( AND( OFFSET($A$1, 1438 - 1, 59 - 1) = "0", OFFSET($A$1, 1438 - 1, 60 - 1) = "1" ), 3, 4 ) ) )</f>
        <v>4</v>
      </c>
    </row>
    <row r="1439" spans="58:61" x14ac:dyDescent="0.2">
      <c r="BF1439" s="3">
        <v>0</v>
      </c>
      <c r="BG1439" s="3" t="str">
        <f t="shared" si="140"/>
        <v>0</v>
      </c>
      <c r="BH1439" t="str">
        <f ca="1">IF((OFFSET($A$1, 1439 - 1, 58 - 1)) &gt;= (OFFSET($A$1, 96 - 1, 7 - 1)), "1","0")</f>
        <v>0</v>
      </c>
      <c r="BI1439">
        <f ca="1" xml:space="preserve"> IF( AND( OFFSET($A$1, 1439 - 1, 59 - 1) = "1", OFFSET($A$1, 1439 - 1, 60 - 1) = "1" ), 1, IF( AND( OFFSET($A$1, 1439 - 1, 59 - 1) = "1", OFFSET($A$1, 1439 - 1, 60 - 1) = "0" ), 2, IF( AND( OFFSET($A$1, 1439 - 1, 59 - 1) = "0", OFFSET($A$1, 1439 - 1, 60 - 1) = "1" ), 3, 4 ) ) )</f>
        <v>4</v>
      </c>
    </row>
    <row r="1440" spans="58:61" x14ac:dyDescent="0.2">
      <c r="BF1440" s="3">
        <v>0</v>
      </c>
      <c r="BG1440" s="3" t="str">
        <f t="shared" si="140"/>
        <v>0</v>
      </c>
      <c r="BH1440" t="str">
        <f ca="1">IF((OFFSET($A$1, 1440 - 1, 58 - 1)) &gt;= (OFFSET($A$1, 96 - 1, 7 - 1)), "1","0")</f>
        <v>0</v>
      </c>
      <c r="BI1440">
        <f ca="1" xml:space="preserve"> IF( AND( OFFSET($A$1, 1440 - 1, 59 - 1) = "1", OFFSET($A$1, 1440 - 1, 60 - 1) = "1" ), 1, IF( AND( OFFSET($A$1, 1440 - 1, 59 - 1) = "1", OFFSET($A$1, 1440 - 1, 60 - 1) = "0" ), 2, IF( AND( OFFSET($A$1, 1440 - 1, 59 - 1) = "0", OFFSET($A$1, 1440 - 1, 60 - 1) = "1" ), 3, 4 ) ) )</f>
        <v>4</v>
      </c>
    </row>
    <row r="1441" spans="58:61" x14ac:dyDescent="0.2">
      <c r="BF1441" s="3">
        <v>0</v>
      </c>
      <c r="BG1441" s="3" t="str">
        <f t="shared" si="140"/>
        <v>0</v>
      </c>
      <c r="BH1441" t="str">
        <f ca="1">IF((OFFSET($A$1, 1441 - 1, 58 - 1)) &gt;= (OFFSET($A$1, 96 - 1, 7 - 1)), "1","0")</f>
        <v>0</v>
      </c>
      <c r="BI1441">
        <f ca="1" xml:space="preserve"> IF( AND( OFFSET($A$1, 1441 - 1, 59 - 1) = "1", OFFSET($A$1, 1441 - 1, 60 - 1) = "1" ), 1, IF( AND( OFFSET($A$1, 1441 - 1, 59 - 1) = "1", OFFSET($A$1, 1441 - 1, 60 - 1) = "0" ), 2, IF( AND( OFFSET($A$1, 1441 - 1, 59 - 1) = "0", OFFSET($A$1, 1441 - 1, 60 - 1) = "1" ), 3, 4 ) ) )</f>
        <v>4</v>
      </c>
    </row>
    <row r="1442" spans="58:61" x14ac:dyDescent="0.2">
      <c r="BF1442" s="3">
        <v>0</v>
      </c>
      <c r="BG1442" s="3" t="str">
        <f t="shared" si="140"/>
        <v>0</v>
      </c>
      <c r="BH1442" t="str">
        <f ca="1">IF((OFFSET($A$1, 1442 - 1, 58 - 1)) &gt;= (OFFSET($A$1, 96 - 1, 7 - 1)), "1","0")</f>
        <v>0</v>
      </c>
      <c r="BI1442">
        <f ca="1" xml:space="preserve"> IF( AND( OFFSET($A$1, 1442 - 1, 59 - 1) = "1", OFFSET($A$1, 1442 - 1, 60 - 1) = "1" ), 1, IF( AND( OFFSET($A$1, 1442 - 1, 59 - 1) = "1", OFFSET($A$1, 1442 - 1, 60 - 1) = "0" ), 2, IF( AND( OFFSET($A$1, 1442 - 1, 59 - 1) = "0", OFFSET($A$1, 1442 - 1, 60 - 1) = "1" ), 3, 4 ) ) )</f>
        <v>4</v>
      </c>
    </row>
    <row r="1443" spans="58:61" x14ac:dyDescent="0.2">
      <c r="BF1443" s="3">
        <v>0</v>
      </c>
      <c r="BG1443" s="3" t="str">
        <f t="shared" si="140"/>
        <v>0</v>
      </c>
      <c r="BH1443" t="str">
        <f ca="1">IF((OFFSET($A$1, 1443 - 1, 58 - 1)) &gt;= (OFFSET($A$1, 96 - 1, 7 - 1)), "1","0")</f>
        <v>0</v>
      </c>
      <c r="BI1443">
        <f ca="1" xml:space="preserve"> IF( AND( OFFSET($A$1, 1443 - 1, 59 - 1) = "1", OFFSET($A$1, 1443 - 1, 60 - 1) = "1" ), 1, IF( AND( OFFSET($A$1, 1443 - 1, 59 - 1) = "1", OFFSET($A$1, 1443 - 1, 60 - 1) = "0" ), 2, IF( AND( OFFSET($A$1, 1443 - 1, 59 - 1) = "0", OFFSET($A$1, 1443 - 1, 60 - 1) = "1" ), 3, 4 ) ) )</f>
        <v>4</v>
      </c>
    </row>
    <row r="1444" spans="58:61" x14ac:dyDescent="0.2">
      <c r="BF1444" s="3">
        <v>0</v>
      </c>
      <c r="BG1444" s="3" t="str">
        <f t="shared" si="140"/>
        <v>0</v>
      </c>
      <c r="BH1444" t="str">
        <f ca="1">IF((OFFSET($A$1, 1444 - 1, 58 - 1)) &gt;= (OFFSET($A$1, 96 - 1, 7 - 1)), "1","0")</f>
        <v>0</v>
      </c>
      <c r="BI1444">
        <f ca="1" xml:space="preserve"> IF( AND( OFFSET($A$1, 1444 - 1, 59 - 1) = "1", OFFSET($A$1, 1444 - 1, 60 - 1) = "1" ), 1, IF( AND( OFFSET($A$1, 1444 - 1, 59 - 1) = "1", OFFSET($A$1, 1444 - 1, 60 - 1) = "0" ), 2, IF( AND( OFFSET($A$1, 1444 - 1, 59 - 1) = "0", OFFSET($A$1, 1444 - 1, 60 - 1) = "1" ), 3, 4 ) ) )</f>
        <v>4</v>
      </c>
    </row>
    <row r="1445" spans="58:61" x14ac:dyDescent="0.2">
      <c r="BF1445" s="3">
        <v>0</v>
      </c>
      <c r="BG1445" s="3" t="str">
        <f t="shared" si="140"/>
        <v>0</v>
      </c>
      <c r="BH1445" t="str">
        <f ca="1">IF((OFFSET($A$1, 1445 - 1, 58 - 1)) &gt;= (OFFSET($A$1, 96 - 1, 7 - 1)), "1","0")</f>
        <v>0</v>
      </c>
      <c r="BI1445">
        <f ca="1" xml:space="preserve"> IF( AND( OFFSET($A$1, 1445 - 1, 59 - 1) = "1", OFFSET($A$1, 1445 - 1, 60 - 1) = "1" ), 1, IF( AND( OFFSET($A$1, 1445 - 1, 59 - 1) = "1", OFFSET($A$1, 1445 - 1, 60 - 1) = "0" ), 2, IF( AND( OFFSET($A$1, 1445 - 1, 59 - 1) = "0", OFFSET($A$1, 1445 - 1, 60 - 1) = "1" ), 3, 4 ) ) )</f>
        <v>4</v>
      </c>
    </row>
    <row r="1446" spans="58:61" x14ac:dyDescent="0.2">
      <c r="BF1446" s="3">
        <v>0.36</v>
      </c>
      <c r="BG1446" s="3" t="str">
        <f>"1"</f>
        <v>1</v>
      </c>
      <c r="BH1446" t="str">
        <f ca="1">IF((OFFSET($A$1, 1446 - 1, 58 - 1)) &gt;= (OFFSET($A$1, 96 - 1, 7 - 1)), "1","0")</f>
        <v>0</v>
      </c>
      <c r="BI1446">
        <f ca="1" xml:space="preserve"> IF( AND( OFFSET($A$1, 1446 - 1, 59 - 1) = "1", OFFSET($A$1, 1446 - 1, 60 - 1) = "1" ), 1, IF( AND( OFFSET($A$1, 1446 - 1, 59 - 1) = "1", OFFSET($A$1, 1446 - 1, 60 - 1) = "0" ), 2, IF( AND( OFFSET($A$1, 1446 - 1, 59 - 1) = "0", OFFSET($A$1, 1446 - 1, 60 - 1) = "1" ), 3, 4 ) ) )</f>
        <v>2</v>
      </c>
    </row>
    <row r="1447" spans="58:61" x14ac:dyDescent="0.2">
      <c r="BF1447" s="3">
        <v>0.36</v>
      </c>
      <c r="BG1447" s="3" t="str">
        <f>"1"</f>
        <v>1</v>
      </c>
      <c r="BH1447" t="str">
        <f ca="1">IF((OFFSET($A$1, 1447 - 1, 58 - 1)) &gt;= (OFFSET($A$1, 96 - 1, 7 - 1)), "1","0")</f>
        <v>0</v>
      </c>
      <c r="BI1447">
        <f ca="1" xml:space="preserve"> IF( AND( OFFSET($A$1, 1447 - 1, 59 - 1) = "1", OFFSET($A$1, 1447 - 1, 60 - 1) = "1" ), 1, IF( AND( OFFSET($A$1, 1447 - 1, 59 - 1) = "1", OFFSET($A$1, 1447 - 1, 60 - 1) = "0" ), 2, IF( AND( OFFSET($A$1, 1447 - 1, 59 - 1) = "0", OFFSET($A$1, 1447 - 1, 60 - 1) = "1" ), 3, 4 ) ) )</f>
        <v>2</v>
      </c>
    </row>
    <row r="1448" spans="58:61" x14ac:dyDescent="0.2">
      <c r="BF1448" s="3">
        <v>0.08</v>
      </c>
      <c r="BG1448" s="3" t="str">
        <f>"0"</f>
        <v>0</v>
      </c>
      <c r="BH1448" t="str">
        <f ca="1">IF((OFFSET($A$1, 1448 - 1, 58 - 1)) &gt;= (OFFSET($A$1, 96 - 1, 7 - 1)), "1","0")</f>
        <v>0</v>
      </c>
      <c r="BI1448">
        <f ca="1" xml:space="preserve"> IF( AND( OFFSET($A$1, 1448 - 1, 59 - 1) = "1", OFFSET($A$1, 1448 - 1, 60 - 1) = "1" ), 1, IF( AND( OFFSET($A$1, 1448 - 1, 59 - 1) = "1", OFFSET($A$1, 1448 - 1, 60 - 1) = "0" ), 2, IF( AND( OFFSET($A$1, 1448 - 1, 59 - 1) = "0", OFFSET($A$1, 1448 - 1, 60 - 1) = "1" ), 3, 4 ) ) )</f>
        <v>4</v>
      </c>
    </row>
    <row r="1449" spans="58:61" x14ac:dyDescent="0.2">
      <c r="BF1449" s="3">
        <v>0</v>
      </c>
      <c r="BG1449" s="3" t="str">
        <f>"0"</f>
        <v>0</v>
      </c>
      <c r="BH1449" t="str">
        <f ca="1">IF((OFFSET($A$1, 1449 - 1, 58 - 1)) &gt;= (OFFSET($A$1, 96 - 1, 7 - 1)), "1","0")</f>
        <v>0</v>
      </c>
      <c r="BI1449">
        <f ca="1" xml:space="preserve"> IF( AND( OFFSET($A$1, 1449 - 1, 59 - 1) = "1", OFFSET($A$1, 1449 - 1, 60 - 1) = "1" ), 1, IF( AND( OFFSET($A$1, 1449 - 1, 59 - 1) = "1", OFFSET($A$1, 1449 - 1, 60 - 1) = "0" ), 2, IF( AND( OFFSET($A$1, 1449 - 1, 59 - 1) = "0", OFFSET($A$1, 1449 - 1, 60 - 1) = "1" ), 3, 4 ) ) )</f>
        <v>4</v>
      </c>
    </row>
    <row r="1450" spans="58:61" x14ac:dyDescent="0.2">
      <c r="BF1450" s="3">
        <v>0</v>
      </c>
      <c r="BG1450" s="3" t="str">
        <f>"0"</f>
        <v>0</v>
      </c>
      <c r="BH1450" t="str">
        <f ca="1">IF((OFFSET($A$1, 1450 - 1, 58 - 1)) &gt;= (OFFSET($A$1, 96 - 1, 7 - 1)), "1","0")</f>
        <v>0</v>
      </c>
      <c r="BI1450">
        <f ca="1" xml:space="preserve"> IF( AND( OFFSET($A$1, 1450 - 1, 59 - 1) = "1", OFFSET($A$1, 1450 - 1, 60 - 1) = "1" ), 1, IF( AND( OFFSET($A$1, 1450 - 1, 59 - 1) = "1", OFFSET($A$1, 1450 - 1, 60 - 1) = "0" ), 2, IF( AND( OFFSET($A$1, 1450 - 1, 59 - 1) = "0", OFFSET($A$1, 1450 - 1, 60 - 1) = "1" ), 3, 4 ) ) )</f>
        <v>4</v>
      </c>
    </row>
    <row r="1451" spans="58:61" x14ac:dyDescent="0.2">
      <c r="BF1451" s="3">
        <v>0.47692307692307689</v>
      </c>
      <c r="BG1451" s="3" t="str">
        <f>"1"</f>
        <v>1</v>
      </c>
      <c r="BH1451" t="str">
        <f ca="1">IF((OFFSET($A$1, 1451 - 1, 58 - 1)) &gt;= (OFFSET($A$1, 96 - 1, 7 - 1)), "1","0")</f>
        <v>0</v>
      </c>
      <c r="BI1451">
        <f ca="1" xml:space="preserve"> IF( AND( OFFSET($A$1, 1451 - 1, 59 - 1) = "1", OFFSET($A$1, 1451 - 1, 60 - 1) = "1" ), 1, IF( AND( OFFSET($A$1, 1451 - 1, 59 - 1) = "1", OFFSET($A$1, 1451 - 1, 60 - 1) = "0" ), 2, IF( AND( OFFSET($A$1, 1451 - 1, 59 - 1) = "0", OFFSET($A$1, 1451 - 1, 60 - 1) = "1" ), 3, 4 ) ) )</f>
        <v>2</v>
      </c>
    </row>
    <row r="1452" spans="58:61" x14ac:dyDescent="0.2">
      <c r="BF1452" s="3">
        <v>0.08</v>
      </c>
      <c r="BG1452" s="3" t="str">
        <f>"1"</f>
        <v>1</v>
      </c>
      <c r="BH1452" t="str">
        <f ca="1">IF((OFFSET($A$1, 1452 - 1, 58 - 1)) &gt;= (OFFSET($A$1, 96 - 1, 7 - 1)), "1","0")</f>
        <v>0</v>
      </c>
      <c r="BI1452">
        <f ca="1" xml:space="preserve"> IF( AND( OFFSET($A$1, 1452 - 1, 59 - 1) = "1", OFFSET($A$1, 1452 - 1, 60 - 1) = "1" ), 1, IF( AND( OFFSET($A$1, 1452 - 1, 59 - 1) = "1", OFFSET($A$1, 1452 - 1, 60 - 1) = "0" ), 2, IF( AND( OFFSET($A$1, 1452 - 1, 59 - 1) = "0", OFFSET($A$1, 1452 - 1, 60 - 1) = "1" ), 3, 4 ) ) )</f>
        <v>2</v>
      </c>
    </row>
    <row r="1453" spans="58:61" x14ac:dyDescent="0.2">
      <c r="BF1453" s="3">
        <v>0</v>
      </c>
      <c r="BG1453" s="3" t="str">
        <f>"0"</f>
        <v>0</v>
      </c>
      <c r="BH1453" t="str">
        <f ca="1">IF((OFFSET($A$1, 1453 - 1, 58 - 1)) &gt;= (OFFSET($A$1, 96 - 1, 7 - 1)), "1","0")</f>
        <v>0</v>
      </c>
      <c r="BI1453">
        <f ca="1" xml:space="preserve"> IF( AND( OFFSET($A$1, 1453 - 1, 59 - 1) = "1", OFFSET($A$1, 1453 - 1, 60 - 1) = "1" ), 1, IF( AND( OFFSET($A$1, 1453 - 1, 59 - 1) = "1", OFFSET($A$1, 1453 - 1, 60 - 1) = "0" ), 2, IF( AND( OFFSET($A$1, 1453 - 1, 59 - 1) = "0", OFFSET($A$1, 1453 - 1, 60 - 1) = "1" ), 3, 4 ) ) )</f>
        <v>4</v>
      </c>
    </row>
    <row r="1454" spans="58:61" x14ac:dyDescent="0.2">
      <c r="BF1454" s="3">
        <v>3.7037037037037042E-2</v>
      </c>
      <c r="BG1454" s="3" t="str">
        <f>"0"</f>
        <v>0</v>
      </c>
      <c r="BH1454" t="str">
        <f ca="1">IF((OFFSET($A$1, 1454 - 1, 58 - 1)) &gt;= (OFFSET($A$1, 96 - 1, 7 - 1)), "1","0")</f>
        <v>0</v>
      </c>
      <c r="BI1454">
        <f ca="1" xml:space="preserve"> IF( AND( OFFSET($A$1, 1454 - 1, 59 - 1) = "1", OFFSET($A$1, 1454 - 1, 60 - 1) = "1" ), 1, IF( AND( OFFSET($A$1, 1454 - 1, 59 - 1) = "1", OFFSET($A$1, 1454 - 1, 60 - 1) = "0" ), 2, IF( AND( OFFSET($A$1, 1454 - 1, 59 - 1) = "0", OFFSET($A$1, 1454 - 1, 60 - 1) = "1" ), 3, 4 ) ) )</f>
        <v>4</v>
      </c>
    </row>
    <row r="1455" spans="58:61" x14ac:dyDescent="0.2">
      <c r="BF1455" s="3">
        <v>0.36</v>
      </c>
      <c r="BG1455" s="3" t="str">
        <f>"0"</f>
        <v>0</v>
      </c>
      <c r="BH1455" t="str">
        <f ca="1">IF((OFFSET($A$1, 1455 - 1, 58 - 1)) &gt;= (OFFSET($A$1, 96 - 1, 7 - 1)), "1","0")</f>
        <v>0</v>
      </c>
      <c r="BI1455">
        <f ca="1" xml:space="preserve"> IF( AND( OFFSET($A$1, 1455 - 1, 59 - 1) = "1", OFFSET($A$1, 1455 - 1, 60 - 1) = "1" ), 1, IF( AND( OFFSET($A$1, 1455 - 1, 59 - 1) = "1", OFFSET($A$1, 1455 - 1, 60 - 1) = "0" ), 2, IF( AND( OFFSET($A$1, 1455 - 1, 59 - 1) = "0", OFFSET($A$1, 1455 - 1, 60 - 1) = "1" ), 3, 4 ) ) )</f>
        <v>4</v>
      </c>
    </row>
    <row r="1456" spans="58:61" x14ac:dyDescent="0.2">
      <c r="BF1456" s="3">
        <v>0</v>
      </c>
      <c r="BG1456" s="3" t="str">
        <f>"0"</f>
        <v>0</v>
      </c>
      <c r="BH1456" t="str">
        <f ca="1">IF((OFFSET($A$1, 1456 - 1, 58 - 1)) &gt;= (OFFSET($A$1, 96 - 1, 7 - 1)), "1","0")</f>
        <v>0</v>
      </c>
      <c r="BI1456">
        <f ca="1" xml:space="preserve"> IF( AND( OFFSET($A$1, 1456 - 1, 59 - 1) = "1", OFFSET($A$1, 1456 - 1, 60 - 1) = "1" ), 1, IF( AND( OFFSET($A$1, 1456 - 1, 59 - 1) = "1", OFFSET($A$1, 1456 - 1, 60 - 1) = "0" ), 2, IF( AND( OFFSET($A$1, 1456 - 1, 59 - 1) = "0", OFFSET($A$1, 1456 - 1, 60 - 1) = "1" ), 3, 4 ) ) )</f>
        <v>4</v>
      </c>
    </row>
    <row r="1457" spans="58:61" x14ac:dyDescent="0.2">
      <c r="BF1457" s="3">
        <v>0.90579710144927539</v>
      </c>
      <c r="BG1457" s="3" t="str">
        <f>"1"</f>
        <v>1</v>
      </c>
      <c r="BH1457" t="str">
        <f ca="1">IF((OFFSET($A$1, 1457 - 1, 58 - 1)) &gt;= (OFFSET($A$1, 96 - 1, 7 - 1)), "1","0")</f>
        <v>1</v>
      </c>
      <c r="BI1457">
        <f ca="1" xml:space="preserve"> IF( AND( OFFSET($A$1, 1457 - 1, 59 - 1) = "1", OFFSET($A$1, 1457 - 1, 60 - 1) = "1" ), 1, IF( AND( OFFSET($A$1, 1457 - 1, 59 - 1) = "1", OFFSET($A$1, 1457 - 1, 60 - 1) = "0" ), 2, IF( AND( OFFSET($A$1, 1457 - 1, 59 - 1) = "0", OFFSET($A$1, 1457 - 1, 60 - 1) = "1" ), 3, 4 ) ) )</f>
        <v>1</v>
      </c>
    </row>
    <row r="1458" spans="58:61" x14ac:dyDescent="0.2">
      <c r="BF1458" s="3">
        <v>3.7037037037037042E-2</v>
      </c>
      <c r="BG1458" s="3" t="str">
        <f>"0"</f>
        <v>0</v>
      </c>
      <c r="BH1458" t="str">
        <f ca="1">IF((OFFSET($A$1, 1458 - 1, 58 - 1)) &gt;= (OFFSET($A$1, 96 - 1, 7 - 1)), "1","0")</f>
        <v>0</v>
      </c>
      <c r="BI1458">
        <f ca="1" xml:space="preserve"> IF( AND( OFFSET($A$1, 1458 - 1, 59 - 1) = "1", OFFSET($A$1, 1458 - 1, 60 - 1) = "1" ), 1, IF( AND( OFFSET($A$1, 1458 - 1, 59 - 1) = "1", OFFSET($A$1, 1458 - 1, 60 - 1) = "0" ), 2, IF( AND( OFFSET($A$1, 1458 - 1, 59 - 1) = "0", OFFSET($A$1, 1458 - 1, 60 - 1) = "1" ), 3, 4 ) ) )</f>
        <v>4</v>
      </c>
    </row>
    <row r="1459" spans="58:61" x14ac:dyDescent="0.2">
      <c r="BF1459" s="3">
        <v>0</v>
      </c>
      <c r="BG1459" s="3" t="str">
        <f>"0"</f>
        <v>0</v>
      </c>
      <c r="BH1459" t="str">
        <f ca="1">IF((OFFSET($A$1, 1459 - 1, 58 - 1)) &gt;= (OFFSET($A$1, 96 - 1, 7 - 1)), "1","0")</f>
        <v>0</v>
      </c>
      <c r="BI1459">
        <f ca="1" xml:space="preserve"> IF( AND( OFFSET($A$1, 1459 - 1, 59 - 1) = "1", OFFSET($A$1, 1459 - 1, 60 - 1) = "1" ), 1, IF( AND( OFFSET($A$1, 1459 - 1, 59 - 1) = "1", OFFSET($A$1, 1459 - 1, 60 - 1) = "0" ), 2, IF( AND( OFFSET($A$1, 1459 - 1, 59 - 1) = "0", OFFSET($A$1, 1459 - 1, 60 - 1) = "1" ), 3, 4 ) ) )</f>
        <v>4</v>
      </c>
    </row>
    <row r="1460" spans="58:61" x14ac:dyDescent="0.2">
      <c r="BF1460" s="3">
        <v>0.34722222222222221</v>
      </c>
      <c r="BG1460" s="3" t="str">
        <f>"1"</f>
        <v>1</v>
      </c>
      <c r="BH1460" t="str">
        <f ca="1">IF((OFFSET($A$1, 1460 - 1, 58 - 1)) &gt;= (OFFSET($A$1, 96 - 1, 7 - 1)), "1","0")</f>
        <v>0</v>
      </c>
      <c r="BI1460">
        <f ca="1" xml:space="preserve"> IF( AND( OFFSET($A$1, 1460 - 1, 59 - 1) = "1", OFFSET($A$1, 1460 - 1, 60 - 1) = "1" ), 1, IF( AND( OFFSET($A$1, 1460 - 1, 59 - 1) = "1", OFFSET($A$1, 1460 - 1, 60 - 1) = "0" ), 2, IF( AND( OFFSET($A$1, 1460 - 1, 59 - 1) = "0", OFFSET($A$1, 1460 - 1, 60 - 1) = "1" ), 3, 4 ) ) )</f>
        <v>2</v>
      </c>
    </row>
    <row r="1461" spans="58:61" x14ac:dyDescent="0.2">
      <c r="BF1461" s="3">
        <v>0</v>
      </c>
      <c r="BG1461" s="3" t="str">
        <f t="shared" ref="BG1461:BG1466" si="141">"0"</f>
        <v>0</v>
      </c>
      <c r="BH1461" t="str">
        <f ca="1">IF((OFFSET($A$1, 1461 - 1, 58 - 1)) &gt;= (OFFSET($A$1, 96 - 1, 7 - 1)), "1","0")</f>
        <v>0</v>
      </c>
      <c r="BI1461">
        <f ca="1" xml:space="preserve"> IF( AND( OFFSET($A$1, 1461 - 1, 59 - 1) = "1", OFFSET($A$1, 1461 - 1, 60 - 1) = "1" ), 1, IF( AND( OFFSET($A$1, 1461 - 1, 59 - 1) = "1", OFFSET($A$1, 1461 - 1, 60 - 1) = "0" ), 2, IF( AND( OFFSET($A$1, 1461 - 1, 59 - 1) = "0", OFFSET($A$1, 1461 - 1, 60 - 1) = "1" ), 3, 4 ) ) )</f>
        <v>4</v>
      </c>
    </row>
    <row r="1462" spans="58:61" x14ac:dyDescent="0.2">
      <c r="BF1462" s="3">
        <v>0</v>
      </c>
      <c r="BG1462" s="3" t="str">
        <f t="shared" si="141"/>
        <v>0</v>
      </c>
      <c r="BH1462" t="str">
        <f ca="1">IF((OFFSET($A$1, 1462 - 1, 58 - 1)) &gt;= (OFFSET($A$1, 96 - 1, 7 - 1)), "1","0")</f>
        <v>0</v>
      </c>
      <c r="BI1462">
        <f ca="1" xml:space="preserve"> IF( AND( OFFSET($A$1, 1462 - 1, 59 - 1) = "1", OFFSET($A$1, 1462 - 1, 60 - 1) = "1" ), 1, IF( AND( OFFSET($A$1, 1462 - 1, 59 - 1) = "1", OFFSET($A$1, 1462 - 1, 60 - 1) = "0" ), 2, IF( AND( OFFSET($A$1, 1462 - 1, 59 - 1) = "0", OFFSET($A$1, 1462 - 1, 60 - 1) = "1" ), 3, 4 ) ) )</f>
        <v>4</v>
      </c>
    </row>
    <row r="1463" spans="58:61" x14ac:dyDescent="0.2">
      <c r="BF1463" s="3">
        <v>0.47692307692307689</v>
      </c>
      <c r="BG1463" s="3" t="str">
        <f t="shared" si="141"/>
        <v>0</v>
      </c>
      <c r="BH1463" t="str">
        <f ca="1">IF((OFFSET($A$1, 1463 - 1, 58 - 1)) &gt;= (OFFSET($A$1, 96 - 1, 7 - 1)), "1","0")</f>
        <v>0</v>
      </c>
      <c r="BI1463">
        <f ca="1" xml:space="preserve"> IF( AND( OFFSET($A$1, 1463 - 1, 59 - 1) = "1", OFFSET($A$1, 1463 - 1, 60 - 1) = "1" ), 1, IF( AND( OFFSET($A$1, 1463 - 1, 59 - 1) = "1", OFFSET($A$1, 1463 - 1, 60 - 1) = "0" ), 2, IF( AND( OFFSET($A$1, 1463 - 1, 59 - 1) = "0", OFFSET($A$1, 1463 - 1, 60 - 1) = "1" ), 3, 4 ) ) )</f>
        <v>4</v>
      </c>
    </row>
    <row r="1464" spans="58:61" x14ac:dyDescent="0.2">
      <c r="BF1464" s="3">
        <v>0</v>
      </c>
      <c r="BG1464" s="3" t="str">
        <f t="shared" si="141"/>
        <v>0</v>
      </c>
      <c r="BH1464" t="str">
        <f ca="1">IF((OFFSET($A$1, 1464 - 1, 58 - 1)) &gt;= (OFFSET($A$1, 96 - 1, 7 - 1)), "1","0")</f>
        <v>0</v>
      </c>
      <c r="BI1464">
        <f ca="1" xml:space="preserve"> IF( AND( OFFSET($A$1, 1464 - 1, 59 - 1) = "1", OFFSET($A$1, 1464 - 1, 60 - 1) = "1" ), 1, IF( AND( OFFSET($A$1, 1464 - 1, 59 - 1) = "1", OFFSET($A$1, 1464 - 1, 60 - 1) = "0" ), 2, IF( AND( OFFSET($A$1, 1464 - 1, 59 - 1) = "0", OFFSET($A$1, 1464 - 1, 60 - 1) = "1" ), 3, 4 ) ) )</f>
        <v>4</v>
      </c>
    </row>
    <row r="1465" spans="58:61" x14ac:dyDescent="0.2">
      <c r="BF1465" s="3">
        <v>0.36</v>
      </c>
      <c r="BG1465" s="3" t="str">
        <f t="shared" si="141"/>
        <v>0</v>
      </c>
      <c r="BH1465" t="str">
        <f ca="1">IF((OFFSET($A$1, 1465 - 1, 58 - 1)) &gt;= (OFFSET($A$1, 96 - 1, 7 - 1)), "1","0")</f>
        <v>0</v>
      </c>
      <c r="BI1465">
        <f ca="1" xml:space="preserve"> IF( AND( OFFSET($A$1, 1465 - 1, 59 - 1) = "1", OFFSET($A$1, 1465 - 1, 60 - 1) = "1" ), 1, IF( AND( OFFSET($A$1, 1465 - 1, 59 - 1) = "1", OFFSET($A$1, 1465 - 1, 60 - 1) = "0" ), 2, IF( AND( OFFSET($A$1, 1465 - 1, 59 - 1) = "0", OFFSET($A$1, 1465 - 1, 60 - 1) = "1" ), 3, 4 ) ) )</f>
        <v>4</v>
      </c>
    </row>
    <row r="1466" spans="58:61" x14ac:dyDescent="0.2">
      <c r="BF1466" s="3">
        <v>0.47692307692307689</v>
      </c>
      <c r="BG1466" s="3" t="str">
        <f t="shared" si="141"/>
        <v>0</v>
      </c>
      <c r="BH1466" t="str">
        <f ca="1">IF((OFFSET($A$1, 1466 - 1, 58 - 1)) &gt;= (OFFSET($A$1, 96 - 1, 7 - 1)), "1","0")</f>
        <v>0</v>
      </c>
      <c r="BI1466">
        <f ca="1" xml:space="preserve"> IF( AND( OFFSET($A$1, 1466 - 1, 59 - 1) = "1", OFFSET($A$1, 1466 - 1, 60 - 1) = "1" ), 1, IF( AND( OFFSET($A$1, 1466 - 1, 59 - 1) = "1", OFFSET($A$1, 1466 - 1, 60 - 1) = "0" ), 2, IF( AND( OFFSET($A$1, 1466 - 1, 59 - 1) = "0", OFFSET($A$1, 1466 - 1, 60 - 1) = "1" ), 3, 4 ) ) )</f>
        <v>4</v>
      </c>
    </row>
    <row r="1467" spans="58:61" x14ac:dyDescent="0.2">
      <c r="BF1467" s="3">
        <v>0.90579710144927539</v>
      </c>
      <c r="BG1467" s="3" t="str">
        <f>"1"</f>
        <v>1</v>
      </c>
      <c r="BH1467" t="str">
        <f ca="1">IF((OFFSET($A$1, 1467 - 1, 58 - 1)) &gt;= (OFFSET($A$1, 96 - 1, 7 - 1)), "1","0")</f>
        <v>1</v>
      </c>
      <c r="BI1467">
        <f ca="1" xml:space="preserve"> IF( AND( OFFSET($A$1, 1467 - 1, 59 - 1) = "1", OFFSET($A$1, 1467 - 1, 60 - 1) = "1" ), 1, IF( AND( OFFSET($A$1, 1467 - 1, 59 - 1) = "1", OFFSET($A$1, 1467 - 1, 60 - 1) = "0" ), 2, IF( AND( OFFSET($A$1, 1467 - 1, 59 - 1) = "0", OFFSET($A$1, 1467 - 1, 60 - 1) = "1" ), 3, 4 ) ) )</f>
        <v>1</v>
      </c>
    </row>
    <row r="1468" spans="58:61" x14ac:dyDescent="0.2">
      <c r="BF1468" s="3">
        <v>0</v>
      </c>
      <c r="BG1468" s="3" t="str">
        <f>"0"</f>
        <v>0</v>
      </c>
      <c r="BH1468" t="str">
        <f ca="1">IF((OFFSET($A$1, 1468 - 1, 58 - 1)) &gt;= (OFFSET($A$1, 96 - 1, 7 - 1)), "1","0")</f>
        <v>0</v>
      </c>
      <c r="BI1468">
        <f ca="1" xml:space="preserve"> IF( AND( OFFSET($A$1, 1468 - 1, 59 - 1) = "1", OFFSET($A$1, 1468 - 1, 60 - 1) = "1" ), 1, IF( AND( OFFSET($A$1, 1468 - 1, 59 - 1) = "1", OFFSET($A$1, 1468 - 1, 60 - 1) = "0" ), 2, IF( AND( OFFSET($A$1, 1468 - 1, 59 - 1) = "0", OFFSET($A$1, 1468 - 1, 60 - 1) = "1" ), 3, 4 ) ) )</f>
        <v>4</v>
      </c>
    </row>
    <row r="1469" spans="58:61" x14ac:dyDescent="0.2">
      <c r="BF1469" s="3">
        <v>0.08</v>
      </c>
      <c r="BG1469" s="3" t="str">
        <f>"0"</f>
        <v>0</v>
      </c>
      <c r="BH1469" t="str">
        <f ca="1">IF((OFFSET($A$1, 1469 - 1, 58 - 1)) &gt;= (OFFSET($A$1, 96 - 1, 7 - 1)), "1","0")</f>
        <v>0</v>
      </c>
      <c r="BI1469">
        <f ca="1" xml:space="preserve"> IF( AND( OFFSET($A$1, 1469 - 1, 59 - 1) = "1", OFFSET($A$1, 1469 - 1, 60 - 1) = "1" ), 1, IF( AND( OFFSET($A$1, 1469 - 1, 59 - 1) = "1", OFFSET($A$1, 1469 - 1, 60 - 1) = "0" ), 2, IF( AND( OFFSET($A$1, 1469 - 1, 59 - 1) = "0", OFFSET($A$1, 1469 - 1, 60 - 1) = "1" ), 3, 4 ) ) )</f>
        <v>4</v>
      </c>
    </row>
    <row r="1470" spans="58:61" x14ac:dyDescent="0.2">
      <c r="BF1470" s="3">
        <v>0</v>
      </c>
      <c r="BG1470" s="3" t="str">
        <f>"0"</f>
        <v>0</v>
      </c>
      <c r="BH1470" t="str">
        <f ca="1">IF((OFFSET($A$1, 1470 - 1, 58 - 1)) &gt;= (OFFSET($A$1, 96 - 1, 7 - 1)), "1","0")</f>
        <v>0</v>
      </c>
      <c r="BI1470">
        <f ca="1" xml:space="preserve"> IF( AND( OFFSET($A$1, 1470 - 1, 59 - 1) = "1", OFFSET($A$1, 1470 - 1, 60 - 1) = "1" ), 1, IF( AND( OFFSET($A$1, 1470 - 1, 59 - 1) = "1", OFFSET($A$1, 1470 - 1, 60 - 1) = "0" ), 2, IF( AND( OFFSET($A$1, 1470 - 1, 59 - 1) = "0", OFFSET($A$1, 1470 - 1, 60 - 1) = "1" ), 3, 4 ) ) )</f>
        <v>4</v>
      </c>
    </row>
    <row r="1471" spans="58:61" x14ac:dyDescent="0.2">
      <c r="BF1471" s="3">
        <v>0.08</v>
      </c>
      <c r="BG1471" s="3" t="str">
        <f>"0"</f>
        <v>0</v>
      </c>
      <c r="BH1471" t="str">
        <f ca="1">IF((OFFSET($A$1, 1471 - 1, 58 - 1)) &gt;= (OFFSET($A$1, 96 - 1, 7 - 1)), "1","0")</f>
        <v>0</v>
      </c>
      <c r="BI1471">
        <f ca="1" xml:space="preserve"> IF( AND( OFFSET($A$1, 1471 - 1, 59 - 1) = "1", OFFSET($A$1, 1471 - 1, 60 - 1) = "1" ), 1, IF( AND( OFFSET($A$1, 1471 - 1, 59 - 1) = "1", OFFSET($A$1, 1471 - 1, 60 - 1) = "0" ), 2, IF( AND( OFFSET($A$1, 1471 - 1, 59 - 1) = "0", OFFSET($A$1, 1471 - 1, 60 - 1) = "1" ), 3, 4 ) ) )</f>
        <v>4</v>
      </c>
    </row>
    <row r="1472" spans="58:61" x14ac:dyDescent="0.2">
      <c r="BF1472" s="3">
        <v>0.36</v>
      </c>
      <c r="BG1472" s="3" t="str">
        <f>"1"</f>
        <v>1</v>
      </c>
      <c r="BH1472" t="str">
        <f ca="1">IF((OFFSET($A$1, 1472 - 1, 58 - 1)) &gt;= (OFFSET($A$1, 96 - 1, 7 - 1)), "1","0")</f>
        <v>0</v>
      </c>
      <c r="BI1472">
        <f ca="1" xml:space="preserve"> IF( AND( OFFSET($A$1, 1472 - 1, 59 - 1) = "1", OFFSET($A$1, 1472 - 1, 60 - 1) = "1" ), 1, IF( AND( OFFSET($A$1, 1472 - 1, 59 - 1) = "1", OFFSET($A$1, 1472 - 1, 60 - 1) = "0" ), 2, IF( AND( OFFSET($A$1, 1472 - 1, 59 - 1) = "0", OFFSET($A$1, 1472 - 1, 60 - 1) = "1" ), 3, 4 ) ) )</f>
        <v>2</v>
      </c>
    </row>
    <row r="1473" spans="58:61" x14ac:dyDescent="0.2">
      <c r="BF1473" s="3">
        <v>0</v>
      </c>
      <c r="BG1473" s="3" t="str">
        <f t="shared" ref="BG1473:BG1484" si="142">"0"</f>
        <v>0</v>
      </c>
      <c r="BH1473" t="str">
        <f ca="1">IF((OFFSET($A$1, 1473 - 1, 58 - 1)) &gt;= (OFFSET($A$1, 96 - 1, 7 - 1)), "1","0")</f>
        <v>0</v>
      </c>
      <c r="BI1473">
        <f ca="1" xml:space="preserve"> IF( AND( OFFSET($A$1, 1473 - 1, 59 - 1) = "1", OFFSET($A$1, 1473 - 1, 60 - 1) = "1" ), 1, IF( AND( OFFSET($A$1, 1473 - 1, 59 - 1) = "1", OFFSET($A$1, 1473 - 1, 60 - 1) = "0" ), 2, IF( AND( OFFSET($A$1, 1473 - 1, 59 - 1) = "0", OFFSET($A$1, 1473 - 1, 60 - 1) = "1" ), 3, 4 ) ) )</f>
        <v>4</v>
      </c>
    </row>
    <row r="1474" spans="58:61" x14ac:dyDescent="0.2">
      <c r="BF1474" s="3">
        <v>0.36</v>
      </c>
      <c r="BG1474" s="3" t="str">
        <f t="shared" si="142"/>
        <v>0</v>
      </c>
      <c r="BH1474" t="str">
        <f ca="1">IF((OFFSET($A$1, 1474 - 1, 58 - 1)) &gt;= (OFFSET($A$1, 96 - 1, 7 - 1)), "1","0")</f>
        <v>0</v>
      </c>
      <c r="BI1474">
        <f ca="1" xml:space="preserve"> IF( AND( OFFSET($A$1, 1474 - 1, 59 - 1) = "1", OFFSET($A$1, 1474 - 1, 60 - 1) = "1" ), 1, IF( AND( OFFSET($A$1, 1474 - 1, 59 - 1) = "1", OFFSET($A$1, 1474 - 1, 60 - 1) = "0" ), 2, IF( AND( OFFSET($A$1, 1474 - 1, 59 - 1) = "0", OFFSET($A$1, 1474 - 1, 60 - 1) = "1" ), 3, 4 ) ) )</f>
        <v>4</v>
      </c>
    </row>
    <row r="1475" spans="58:61" x14ac:dyDescent="0.2">
      <c r="BF1475" s="3">
        <v>0.34722222222222221</v>
      </c>
      <c r="BG1475" s="3" t="str">
        <f t="shared" si="142"/>
        <v>0</v>
      </c>
      <c r="BH1475" t="str">
        <f ca="1">IF((OFFSET($A$1, 1475 - 1, 58 - 1)) &gt;= (OFFSET($A$1, 96 - 1, 7 - 1)), "1","0")</f>
        <v>0</v>
      </c>
      <c r="BI1475">
        <f ca="1" xml:space="preserve"> IF( AND( OFFSET($A$1, 1475 - 1, 59 - 1) = "1", OFFSET($A$1, 1475 - 1, 60 - 1) = "1" ), 1, IF( AND( OFFSET($A$1, 1475 - 1, 59 - 1) = "1", OFFSET($A$1, 1475 - 1, 60 - 1) = "0" ), 2, IF( AND( OFFSET($A$1, 1475 - 1, 59 - 1) = "0", OFFSET($A$1, 1475 - 1, 60 - 1) = "1" ), 3, 4 ) ) )</f>
        <v>4</v>
      </c>
    </row>
    <row r="1476" spans="58:61" x14ac:dyDescent="0.2">
      <c r="BF1476" s="3">
        <v>0</v>
      </c>
      <c r="BG1476" s="3" t="str">
        <f t="shared" si="142"/>
        <v>0</v>
      </c>
      <c r="BH1476" t="str">
        <f ca="1">IF((OFFSET($A$1, 1476 - 1, 58 - 1)) &gt;= (OFFSET($A$1, 96 - 1, 7 - 1)), "1","0")</f>
        <v>0</v>
      </c>
      <c r="BI1476">
        <f ca="1" xml:space="preserve"> IF( AND( OFFSET($A$1, 1476 - 1, 59 - 1) = "1", OFFSET($A$1, 1476 - 1, 60 - 1) = "1" ), 1, IF( AND( OFFSET($A$1, 1476 - 1, 59 - 1) = "1", OFFSET($A$1, 1476 - 1, 60 - 1) = "0" ), 2, IF( AND( OFFSET($A$1, 1476 - 1, 59 - 1) = "0", OFFSET($A$1, 1476 - 1, 60 - 1) = "1" ), 3, 4 ) ) )</f>
        <v>4</v>
      </c>
    </row>
    <row r="1477" spans="58:61" x14ac:dyDescent="0.2">
      <c r="BF1477" s="3">
        <v>0.08</v>
      </c>
      <c r="BG1477" s="3" t="str">
        <f t="shared" si="142"/>
        <v>0</v>
      </c>
      <c r="BH1477" t="str">
        <f ca="1">IF((OFFSET($A$1, 1477 - 1, 58 - 1)) &gt;= (OFFSET($A$1, 96 - 1, 7 - 1)), "1","0")</f>
        <v>0</v>
      </c>
      <c r="BI1477">
        <f ca="1" xml:space="preserve"> IF( AND( OFFSET($A$1, 1477 - 1, 59 - 1) = "1", OFFSET($A$1, 1477 - 1, 60 - 1) = "1" ), 1, IF( AND( OFFSET($A$1, 1477 - 1, 59 - 1) = "1", OFFSET($A$1, 1477 - 1, 60 - 1) = "0" ), 2, IF( AND( OFFSET($A$1, 1477 - 1, 59 - 1) = "0", OFFSET($A$1, 1477 - 1, 60 - 1) = "1" ), 3, 4 ) ) )</f>
        <v>4</v>
      </c>
    </row>
    <row r="1478" spans="58:61" x14ac:dyDescent="0.2">
      <c r="BF1478" s="3">
        <v>0.34722222222222221</v>
      </c>
      <c r="BG1478" s="3" t="str">
        <f t="shared" si="142"/>
        <v>0</v>
      </c>
      <c r="BH1478" t="str">
        <f ca="1">IF((OFFSET($A$1, 1478 - 1, 58 - 1)) &gt;= (OFFSET($A$1, 96 - 1, 7 - 1)), "1","0")</f>
        <v>0</v>
      </c>
      <c r="BI1478">
        <f ca="1" xml:space="preserve"> IF( AND( OFFSET($A$1, 1478 - 1, 59 - 1) = "1", OFFSET($A$1, 1478 - 1, 60 - 1) = "1" ), 1, IF( AND( OFFSET($A$1, 1478 - 1, 59 - 1) = "1", OFFSET($A$1, 1478 - 1, 60 - 1) = "0" ), 2, IF( AND( OFFSET($A$1, 1478 - 1, 59 - 1) = "0", OFFSET($A$1, 1478 - 1, 60 - 1) = "1" ), 3, 4 ) ) )</f>
        <v>4</v>
      </c>
    </row>
    <row r="1479" spans="58:61" x14ac:dyDescent="0.2">
      <c r="BF1479" s="3">
        <v>0.90579710144927539</v>
      </c>
      <c r="BG1479" s="3" t="str">
        <f t="shared" si="142"/>
        <v>0</v>
      </c>
      <c r="BH1479" t="str">
        <f ca="1">IF((OFFSET($A$1, 1479 - 1, 58 - 1)) &gt;= (OFFSET($A$1, 96 - 1, 7 - 1)), "1","0")</f>
        <v>1</v>
      </c>
      <c r="BI1479">
        <f ca="1" xml:space="preserve"> IF( AND( OFFSET($A$1, 1479 - 1, 59 - 1) = "1", OFFSET($A$1, 1479 - 1, 60 - 1) = "1" ), 1, IF( AND( OFFSET($A$1, 1479 - 1, 59 - 1) = "1", OFFSET($A$1, 1479 - 1, 60 - 1) = "0" ), 2, IF( AND( OFFSET($A$1, 1479 - 1, 59 - 1) = "0", OFFSET($A$1, 1479 - 1, 60 - 1) = "1" ), 3, 4 ) ) )</f>
        <v>3</v>
      </c>
    </row>
    <row r="1480" spans="58:61" x14ac:dyDescent="0.2">
      <c r="BF1480" s="3">
        <v>0</v>
      </c>
      <c r="BG1480" s="3" t="str">
        <f t="shared" si="142"/>
        <v>0</v>
      </c>
      <c r="BH1480" t="str">
        <f ca="1">IF((OFFSET($A$1, 1480 - 1, 58 - 1)) &gt;= (OFFSET($A$1, 96 - 1, 7 - 1)), "1","0")</f>
        <v>0</v>
      </c>
      <c r="BI1480">
        <f ca="1" xml:space="preserve"> IF( AND( OFFSET($A$1, 1480 - 1, 59 - 1) = "1", OFFSET($A$1, 1480 - 1, 60 - 1) = "1" ), 1, IF( AND( OFFSET($A$1, 1480 - 1, 59 - 1) = "1", OFFSET($A$1, 1480 - 1, 60 - 1) = "0" ), 2, IF( AND( OFFSET($A$1, 1480 - 1, 59 - 1) = "0", OFFSET($A$1, 1480 - 1, 60 - 1) = "1" ), 3, 4 ) ) )</f>
        <v>4</v>
      </c>
    </row>
    <row r="1481" spans="58:61" x14ac:dyDescent="0.2">
      <c r="BF1481" s="3">
        <v>0.47692307692307689</v>
      </c>
      <c r="BG1481" s="3" t="str">
        <f t="shared" si="142"/>
        <v>0</v>
      </c>
      <c r="BH1481" t="str">
        <f ca="1">IF((OFFSET($A$1, 1481 - 1, 58 - 1)) &gt;= (OFFSET($A$1, 96 - 1, 7 - 1)), "1","0")</f>
        <v>0</v>
      </c>
      <c r="BI1481">
        <f ca="1" xml:space="preserve"> IF( AND( OFFSET($A$1, 1481 - 1, 59 - 1) = "1", OFFSET($A$1, 1481 - 1, 60 - 1) = "1" ), 1, IF( AND( OFFSET($A$1, 1481 - 1, 59 - 1) = "1", OFFSET($A$1, 1481 - 1, 60 - 1) = "0" ), 2, IF( AND( OFFSET($A$1, 1481 - 1, 59 - 1) = "0", OFFSET($A$1, 1481 - 1, 60 - 1) = "1" ), 3, 4 ) ) )</f>
        <v>4</v>
      </c>
    </row>
    <row r="1482" spans="58:61" x14ac:dyDescent="0.2">
      <c r="BF1482" s="3">
        <v>0</v>
      </c>
      <c r="BG1482" s="3" t="str">
        <f t="shared" si="142"/>
        <v>0</v>
      </c>
      <c r="BH1482" t="str">
        <f ca="1">IF((OFFSET($A$1, 1482 - 1, 58 - 1)) &gt;= (OFFSET($A$1, 96 - 1, 7 - 1)), "1","0")</f>
        <v>0</v>
      </c>
      <c r="BI1482">
        <f ca="1" xml:space="preserve"> IF( AND( OFFSET($A$1, 1482 - 1, 59 - 1) = "1", OFFSET($A$1, 1482 - 1, 60 - 1) = "1" ), 1, IF( AND( OFFSET($A$1, 1482 - 1, 59 - 1) = "1", OFFSET($A$1, 1482 - 1, 60 - 1) = "0" ), 2, IF( AND( OFFSET($A$1, 1482 - 1, 59 - 1) = "0", OFFSET($A$1, 1482 - 1, 60 - 1) = "1" ), 3, 4 ) ) )</f>
        <v>4</v>
      </c>
    </row>
    <row r="1483" spans="58:61" x14ac:dyDescent="0.2">
      <c r="BF1483" s="3">
        <v>0</v>
      </c>
      <c r="BG1483" s="3" t="str">
        <f t="shared" si="142"/>
        <v>0</v>
      </c>
      <c r="BH1483" t="str">
        <f ca="1">IF((OFFSET($A$1, 1483 - 1, 58 - 1)) &gt;= (OFFSET($A$1, 96 - 1, 7 - 1)), "1","0")</f>
        <v>0</v>
      </c>
      <c r="BI1483">
        <f ca="1" xml:space="preserve"> IF( AND( OFFSET($A$1, 1483 - 1, 59 - 1) = "1", OFFSET($A$1, 1483 - 1, 60 - 1) = "1" ), 1, IF( AND( OFFSET($A$1, 1483 - 1, 59 - 1) = "1", OFFSET($A$1, 1483 - 1, 60 - 1) = "0" ), 2, IF( AND( OFFSET($A$1, 1483 - 1, 59 - 1) = "0", OFFSET($A$1, 1483 - 1, 60 - 1) = "1" ), 3, 4 ) ) )</f>
        <v>4</v>
      </c>
    </row>
    <row r="1484" spans="58:61" x14ac:dyDescent="0.2">
      <c r="BF1484" s="3">
        <v>0.08</v>
      </c>
      <c r="BG1484" s="3" t="str">
        <f t="shared" si="142"/>
        <v>0</v>
      </c>
      <c r="BH1484" t="str">
        <f ca="1">IF((OFFSET($A$1, 1484 - 1, 58 - 1)) &gt;= (OFFSET($A$1, 96 - 1, 7 - 1)), "1","0")</f>
        <v>0</v>
      </c>
      <c r="BI1484">
        <f ca="1" xml:space="preserve"> IF( AND( OFFSET($A$1, 1484 - 1, 59 - 1) = "1", OFFSET($A$1, 1484 - 1, 60 - 1) = "1" ), 1, IF( AND( OFFSET($A$1, 1484 - 1, 59 - 1) = "1", OFFSET($A$1, 1484 - 1, 60 - 1) = "0" ), 2, IF( AND( OFFSET($A$1, 1484 - 1, 59 - 1) = "0", OFFSET($A$1, 1484 - 1, 60 - 1) = "1" ), 3, 4 ) ) )</f>
        <v>4</v>
      </c>
    </row>
    <row r="1485" spans="58:61" x14ac:dyDescent="0.2">
      <c r="BF1485" s="3">
        <v>0.90579710144927539</v>
      </c>
      <c r="BG1485" s="3" t="str">
        <f>"1"</f>
        <v>1</v>
      </c>
      <c r="BH1485" t="str">
        <f ca="1">IF((OFFSET($A$1, 1485 - 1, 58 - 1)) &gt;= (OFFSET($A$1, 96 - 1, 7 - 1)), "1","0")</f>
        <v>1</v>
      </c>
      <c r="BI1485">
        <f ca="1" xml:space="preserve"> IF( AND( OFFSET($A$1, 1485 - 1, 59 - 1) = "1", OFFSET($A$1, 1485 - 1, 60 - 1) = "1" ), 1, IF( AND( OFFSET($A$1, 1485 - 1, 59 - 1) = "1", OFFSET($A$1, 1485 - 1, 60 - 1) = "0" ), 2, IF( AND( OFFSET($A$1, 1485 - 1, 59 - 1) = "0", OFFSET($A$1, 1485 - 1, 60 - 1) = "1" ), 3, 4 ) ) )</f>
        <v>1</v>
      </c>
    </row>
    <row r="1486" spans="58:61" x14ac:dyDescent="0.2">
      <c r="BF1486" s="3">
        <v>0</v>
      </c>
      <c r="BG1486" s="3" t="str">
        <f>"0"</f>
        <v>0</v>
      </c>
      <c r="BH1486" t="str">
        <f ca="1">IF((OFFSET($A$1, 1486 - 1, 58 - 1)) &gt;= (OFFSET($A$1, 96 - 1, 7 - 1)), "1","0")</f>
        <v>0</v>
      </c>
      <c r="BI1486">
        <f ca="1" xml:space="preserve"> IF( AND( OFFSET($A$1, 1486 - 1, 59 - 1) = "1", OFFSET($A$1, 1486 - 1, 60 - 1) = "1" ), 1, IF( AND( OFFSET($A$1, 1486 - 1, 59 - 1) = "1", OFFSET($A$1, 1486 - 1, 60 - 1) = "0" ), 2, IF( AND( OFFSET($A$1, 1486 - 1, 59 - 1) = "0", OFFSET($A$1, 1486 - 1, 60 - 1) = "1" ), 3, 4 ) ) )</f>
        <v>4</v>
      </c>
    </row>
    <row r="1487" spans="58:61" x14ac:dyDescent="0.2">
      <c r="BF1487" s="3">
        <v>0.36</v>
      </c>
      <c r="BG1487" s="3" t="str">
        <f>"0"</f>
        <v>0</v>
      </c>
      <c r="BH1487" t="str">
        <f ca="1">IF((OFFSET($A$1, 1487 - 1, 58 - 1)) &gt;= (OFFSET($A$1, 96 - 1, 7 - 1)), "1","0")</f>
        <v>0</v>
      </c>
      <c r="BI1487">
        <f ca="1" xml:space="preserve"> IF( AND( OFFSET($A$1, 1487 - 1, 59 - 1) = "1", OFFSET($A$1, 1487 - 1, 60 - 1) = "1" ), 1, IF( AND( OFFSET($A$1, 1487 - 1, 59 - 1) = "1", OFFSET($A$1, 1487 - 1, 60 - 1) = "0" ), 2, IF( AND( OFFSET($A$1, 1487 - 1, 59 - 1) = "0", OFFSET($A$1, 1487 - 1, 60 - 1) = "1" ), 3, 4 ) ) )</f>
        <v>4</v>
      </c>
    </row>
    <row r="1488" spans="58:61" x14ac:dyDescent="0.2">
      <c r="BF1488" s="3">
        <v>0.90579710144927539</v>
      </c>
      <c r="BG1488" s="3" t="str">
        <f>"1"</f>
        <v>1</v>
      </c>
      <c r="BH1488" t="str">
        <f ca="1">IF((OFFSET($A$1, 1488 - 1, 58 - 1)) &gt;= (OFFSET($A$1, 96 - 1, 7 - 1)), "1","0")</f>
        <v>1</v>
      </c>
      <c r="BI1488">
        <f ca="1" xml:space="preserve"> IF( AND( OFFSET($A$1, 1488 - 1, 59 - 1) = "1", OFFSET($A$1, 1488 - 1, 60 - 1) = "1" ), 1, IF( AND( OFFSET($A$1, 1488 - 1, 59 - 1) = "1", OFFSET($A$1, 1488 - 1, 60 - 1) = "0" ), 2, IF( AND( OFFSET($A$1, 1488 - 1, 59 - 1) = "0", OFFSET($A$1, 1488 - 1, 60 - 1) = "1" ), 3, 4 ) ) )</f>
        <v>1</v>
      </c>
    </row>
    <row r="1489" spans="58:61" x14ac:dyDescent="0.2">
      <c r="BF1489" s="3">
        <v>0</v>
      </c>
      <c r="BG1489" s="3" t="str">
        <f>"0"</f>
        <v>0</v>
      </c>
      <c r="BH1489" t="str">
        <f ca="1">IF((OFFSET($A$1, 1489 - 1, 58 - 1)) &gt;= (OFFSET($A$1, 96 - 1, 7 - 1)), "1","0")</f>
        <v>0</v>
      </c>
      <c r="BI1489">
        <f ca="1" xml:space="preserve"> IF( AND( OFFSET($A$1, 1489 - 1, 59 - 1) = "1", OFFSET($A$1, 1489 - 1, 60 - 1) = "1" ), 1, IF( AND( OFFSET($A$1, 1489 - 1, 59 - 1) = "1", OFFSET($A$1, 1489 - 1, 60 - 1) = "0" ), 2, IF( AND( OFFSET($A$1, 1489 - 1, 59 - 1) = "0", OFFSET($A$1, 1489 - 1, 60 - 1) = "1" ), 3, 4 ) ) )</f>
        <v>4</v>
      </c>
    </row>
    <row r="1490" spans="58:61" x14ac:dyDescent="0.2">
      <c r="BF1490" s="3">
        <v>0</v>
      </c>
      <c r="BG1490" s="3" t="str">
        <f>"0"</f>
        <v>0</v>
      </c>
      <c r="BH1490" t="str">
        <f ca="1">IF((OFFSET($A$1, 1490 - 1, 58 - 1)) &gt;= (OFFSET($A$1, 96 - 1, 7 - 1)), "1","0")</f>
        <v>0</v>
      </c>
      <c r="BI1490">
        <f ca="1" xml:space="preserve"> IF( AND( OFFSET($A$1, 1490 - 1, 59 - 1) = "1", OFFSET($A$1, 1490 - 1, 60 - 1) = "1" ), 1, IF( AND( OFFSET($A$1, 1490 - 1, 59 - 1) = "1", OFFSET($A$1, 1490 - 1, 60 - 1) = "0" ), 2, IF( AND( OFFSET($A$1, 1490 - 1, 59 - 1) = "0", OFFSET($A$1, 1490 - 1, 60 - 1) = "1" ), 3, 4 ) ) )</f>
        <v>4</v>
      </c>
    </row>
    <row r="1491" spans="58:61" x14ac:dyDescent="0.2">
      <c r="BF1491" s="3">
        <v>0.47692307692307689</v>
      </c>
      <c r="BG1491" s="3" t="str">
        <f>"1"</f>
        <v>1</v>
      </c>
      <c r="BH1491" t="str">
        <f ca="1">IF((OFFSET($A$1, 1491 - 1, 58 - 1)) &gt;= (OFFSET($A$1, 96 - 1, 7 - 1)), "1","0")</f>
        <v>0</v>
      </c>
      <c r="BI1491">
        <f ca="1" xml:space="preserve"> IF( AND( OFFSET($A$1, 1491 - 1, 59 - 1) = "1", OFFSET($A$1, 1491 - 1, 60 - 1) = "1" ), 1, IF( AND( OFFSET($A$1, 1491 - 1, 59 - 1) = "1", OFFSET($A$1, 1491 - 1, 60 - 1) = "0" ), 2, IF( AND( OFFSET($A$1, 1491 - 1, 59 - 1) = "0", OFFSET($A$1, 1491 - 1, 60 - 1) = "1" ), 3, 4 ) ) )</f>
        <v>2</v>
      </c>
    </row>
    <row r="1492" spans="58:61" x14ac:dyDescent="0.2">
      <c r="BF1492" s="3">
        <v>0.1081081081081081</v>
      </c>
      <c r="BG1492" s="3" t="str">
        <f>"0"</f>
        <v>0</v>
      </c>
      <c r="BH1492" t="str">
        <f ca="1">IF((OFFSET($A$1, 1492 - 1, 58 - 1)) &gt;= (OFFSET($A$1, 96 - 1, 7 - 1)), "1","0")</f>
        <v>0</v>
      </c>
      <c r="BI1492">
        <f ca="1" xml:space="preserve"> IF( AND( OFFSET($A$1, 1492 - 1, 59 - 1) = "1", OFFSET($A$1, 1492 - 1, 60 - 1) = "1" ), 1, IF( AND( OFFSET($A$1, 1492 - 1, 59 - 1) = "1", OFFSET($A$1, 1492 - 1, 60 - 1) = "0" ), 2, IF( AND( OFFSET($A$1, 1492 - 1, 59 - 1) = "0", OFFSET($A$1, 1492 - 1, 60 - 1) = "1" ), 3, 4 ) ) )</f>
        <v>4</v>
      </c>
    </row>
    <row r="1493" spans="58:61" x14ac:dyDescent="0.2">
      <c r="BF1493" s="3">
        <v>0</v>
      </c>
      <c r="BG1493" s="3" t="str">
        <f>"0"</f>
        <v>0</v>
      </c>
      <c r="BH1493" t="str">
        <f ca="1">IF((OFFSET($A$1, 1493 - 1, 58 - 1)) &gt;= (OFFSET($A$1, 96 - 1, 7 - 1)), "1","0")</f>
        <v>0</v>
      </c>
      <c r="BI1493">
        <f ca="1" xml:space="preserve"> IF( AND( OFFSET($A$1, 1493 - 1, 59 - 1) = "1", OFFSET($A$1, 1493 - 1, 60 - 1) = "1" ), 1, IF( AND( OFFSET($A$1, 1493 - 1, 59 - 1) = "1", OFFSET($A$1, 1493 - 1, 60 - 1) = "0" ), 2, IF( AND( OFFSET($A$1, 1493 - 1, 59 - 1) = "0", OFFSET($A$1, 1493 - 1, 60 - 1) = "1" ), 3, 4 ) ) )</f>
        <v>4</v>
      </c>
    </row>
    <row r="1494" spans="58:61" x14ac:dyDescent="0.2">
      <c r="BF1494" s="3">
        <v>0.34722222222222221</v>
      </c>
      <c r="BG1494" s="3" t="str">
        <f>"0"</f>
        <v>0</v>
      </c>
      <c r="BH1494" t="str">
        <f ca="1">IF((OFFSET($A$1, 1494 - 1, 58 - 1)) &gt;= (OFFSET($A$1, 96 - 1, 7 - 1)), "1","0")</f>
        <v>0</v>
      </c>
      <c r="BI1494">
        <f ca="1" xml:space="preserve"> IF( AND( OFFSET($A$1, 1494 - 1, 59 - 1) = "1", OFFSET($A$1, 1494 - 1, 60 - 1) = "1" ), 1, IF( AND( OFFSET($A$1, 1494 - 1, 59 - 1) = "1", OFFSET($A$1, 1494 - 1, 60 - 1) = "0" ), 2, IF( AND( OFFSET($A$1, 1494 - 1, 59 - 1) = "0", OFFSET($A$1, 1494 - 1, 60 - 1) = "1" ), 3, 4 ) ) )</f>
        <v>4</v>
      </c>
    </row>
    <row r="1495" spans="58:61" x14ac:dyDescent="0.2">
      <c r="BF1495" s="3">
        <v>0</v>
      </c>
      <c r="BG1495" s="3" t="str">
        <f>"0"</f>
        <v>0</v>
      </c>
      <c r="BH1495" t="str">
        <f ca="1">IF((OFFSET($A$1, 1495 - 1, 58 - 1)) &gt;= (OFFSET($A$1, 96 - 1, 7 - 1)), "1","0")</f>
        <v>0</v>
      </c>
      <c r="BI1495">
        <f ca="1" xml:space="preserve"> IF( AND( OFFSET($A$1, 1495 - 1, 59 - 1) = "1", OFFSET($A$1, 1495 - 1, 60 - 1) = "1" ), 1, IF( AND( OFFSET($A$1, 1495 - 1, 59 - 1) = "1", OFFSET($A$1, 1495 - 1, 60 - 1) = "0" ), 2, IF( AND( OFFSET($A$1, 1495 - 1, 59 - 1) = "0", OFFSET($A$1, 1495 - 1, 60 - 1) = "1" ), 3, 4 ) ) )</f>
        <v>4</v>
      </c>
    </row>
    <row r="1496" spans="58:61" x14ac:dyDescent="0.2">
      <c r="BF1496" s="3">
        <v>0.90579710144927539</v>
      </c>
      <c r="BG1496" s="3" t="str">
        <f>"1"</f>
        <v>1</v>
      </c>
      <c r="BH1496" t="str">
        <f ca="1">IF((OFFSET($A$1, 1496 - 1, 58 - 1)) &gt;= (OFFSET($A$1, 96 - 1, 7 - 1)), "1","0")</f>
        <v>1</v>
      </c>
      <c r="BI1496">
        <f ca="1" xml:space="preserve"> IF( AND( OFFSET($A$1, 1496 - 1, 59 - 1) = "1", OFFSET($A$1, 1496 - 1, 60 - 1) = "1" ), 1, IF( AND( OFFSET($A$1, 1496 - 1, 59 - 1) = "1", OFFSET($A$1, 1496 - 1, 60 - 1) = "0" ), 2, IF( AND( OFFSET($A$1, 1496 - 1, 59 - 1) = "0", OFFSET($A$1, 1496 - 1, 60 - 1) = "1" ), 3, 4 ) ) )</f>
        <v>1</v>
      </c>
    </row>
    <row r="1497" spans="58:61" x14ac:dyDescent="0.2">
      <c r="BF1497" s="3">
        <v>4.3478260869565216E-2</v>
      </c>
      <c r="BG1497" s="3" t="str">
        <f>"0"</f>
        <v>0</v>
      </c>
      <c r="BH1497" t="str">
        <f ca="1">IF((OFFSET($A$1, 1497 - 1, 58 - 1)) &gt;= (OFFSET($A$1, 96 - 1, 7 - 1)), "1","0")</f>
        <v>0</v>
      </c>
      <c r="BI1497">
        <f ca="1" xml:space="preserve"> IF( AND( OFFSET($A$1, 1497 - 1, 59 - 1) = "1", OFFSET($A$1, 1497 - 1, 60 - 1) = "1" ), 1, IF( AND( OFFSET($A$1, 1497 - 1, 59 - 1) = "1", OFFSET($A$1, 1497 - 1, 60 - 1) = "0" ), 2, IF( AND( OFFSET($A$1, 1497 - 1, 59 - 1) = "0", OFFSET($A$1, 1497 - 1, 60 - 1) = "1" ), 3, 4 ) ) )</f>
        <v>4</v>
      </c>
    </row>
    <row r="1498" spans="58:61" x14ac:dyDescent="0.2">
      <c r="BF1498" s="3">
        <v>0.1081081081081081</v>
      </c>
      <c r="BG1498" s="3" t="str">
        <f>"0"</f>
        <v>0</v>
      </c>
      <c r="BH1498" t="str">
        <f ca="1">IF((OFFSET($A$1, 1498 - 1, 58 - 1)) &gt;= (OFFSET($A$1, 96 - 1, 7 - 1)), "1","0")</f>
        <v>0</v>
      </c>
      <c r="BI1498">
        <f ca="1" xml:space="preserve"> IF( AND( OFFSET($A$1, 1498 - 1, 59 - 1) = "1", OFFSET($A$1, 1498 - 1, 60 - 1) = "1" ), 1, IF( AND( OFFSET($A$1, 1498 - 1, 59 - 1) = "1", OFFSET($A$1, 1498 - 1, 60 - 1) = "0" ), 2, IF( AND( OFFSET($A$1, 1498 - 1, 59 - 1) = "0", OFFSET($A$1, 1498 - 1, 60 - 1) = "1" ), 3, 4 ) ) )</f>
        <v>4</v>
      </c>
    </row>
    <row r="1499" spans="58:61" x14ac:dyDescent="0.2">
      <c r="BF1499" s="3">
        <v>0</v>
      </c>
      <c r="BG1499" s="3" t="str">
        <f>"0"</f>
        <v>0</v>
      </c>
      <c r="BH1499" t="str">
        <f ca="1">IF((OFFSET($A$1, 1499 - 1, 58 - 1)) &gt;= (OFFSET($A$1, 96 - 1, 7 - 1)), "1","0")</f>
        <v>0</v>
      </c>
      <c r="BI1499">
        <f ca="1" xml:space="preserve"> IF( AND( OFFSET($A$1, 1499 - 1, 59 - 1) = "1", OFFSET($A$1, 1499 - 1, 60 - 1) = "1" ), 1, IF( AND( OFFSET($A$1, 1499 - 1, 59 - 1) = "1", OFFSET($A$1, 1499 - 1, 60 - 1) = "0" ), 2, IF( AND( OFFSET($A$1, 1499 - 1, 59 - 1) = "0", OFFSET($A$1, 1499 - 1, 60 - 1) = "1" ), 3, 4 ) ) )</f>
        <v>4</v>
      </c>
    </row>
    <row r="1500" spans="58:61" x14ac:dyDescent="0.2">
      <c r="BF1500" s="3">
        <v>0.38775510204081637</v>
      </c>
      <c r="BG1500" s="3" t="str">
        <f>"0"</f>
        <v>0</v>
      </c>
      <c r="BH1500" t="str">
        <f ca="1">IF((OFFSET($A$1, 1500 - 1, 58 - 1)) &gt;= (OFFSET($A$1, 96 - 1, 7 - 1)), "1","0")</f>
        <v>0</v>
      </c>
      <c r="BI1500">
        <f ca="1" xml:space="preserve"> IF( AND( OFFSET($A$1, 1500 - 1, 59 - 1) = "1", OFFSET($A$1, 1500 - 1, 60 - 1) = "1" ), 1, IF( AND( OFFSET($A$1, 1500 - 1, 59 - 1) = "1", OFFSET($A$1, 1500 - 1, 60 - 1) = "0" ), 2, IF( AND( OFFSET($A$1, 1500 - 1, 59 - 1) = "0", OFFSET($A$1, 1500 - 1, 60 - 1) = "1" ), 3, 4 ) ) )</f>
        <v>4</v>
      </c>
    </row>
  </sheetData>
  <mergeCells count="68">
    <mergeCell ref="C14:K14"/>
    <mergeCell ref="C15:F15"/>
    <mergeCell ref="C16:F16"/>
    <mergeCell ref="C17:F17"/>
    <mergeCell ref="C18:F18"/>
    <mergeCell ref="G15:K15"/>
    <mergeCell ref="G16:K16"/>
    <mergeCell ref="G17:K17"/>
    <mergeCell ref="G18:K18"/>
    <mergeCell ref="C20:L20"/>
    <mergeCell ref="C21:D21"/>
    <mergeCell ref="C22:D22"/>
    <mergeCell ref="C23:D23"/>
    <mergeCell ref="E21:L21"/>
    <mergeCell ref="E23:L23"/>
    <mergeCell ref="C37:G37"/>
    <mergeCell ref="C25:G25"/>
    <mergeCell ref="C26:F26"/>
    <mergeCell ref="C27:F27"/>
    <mergeCell ref="C28:F28"/>
    <mergeCell ref="C29:F29"/>
    <mergeCell ref="C30:F30"/>
    <mergeCell ref="C31:F31"/>
    <mergeCell ref="C32:F32"/>
    <mergeCell ref="C33:F33"/>
    <mergeCell ref="C34:F34"/>
    <mergeCell ref="C36:G36"/>
    <mergeCell ref="C42:F42"/>
    <mergeCell ref="E46:F46"/>
    <mergeCell ref="C66:D66"/>
    <mergeCell ref="H66:I66"/>
    <mergeCell ref="C96:F96"/>
    <mergeCell ref="H96:M96"/>
    <mergeCell ref="H119:I119"/>
    <mergeCell ref="C135:F135"/>
    <mergeCell ref="H135:M135"/>
    <mergeCell ref="C98:E98"/>
    <mergeCell ref="D99:E99"/>
    <mergeCell ref="C104:F104"/>
    <mergeCell ref="C110:E110"/>
    <mergeCell ref="C111:D111"/>
    <mergeCell ref="C112:D112"/>
    <mergeCell ref="C152:D152"/>
    <mergeCell ref="C153:D153"/>
    <mergeCell ref="C154:D154"/>
    <mergeCell ref="B5:C5"/>
    <mergeCell ref="D5:E5"/>
    <mergeCell ref="C137:E137"/>
    <mergeCell ref="D138:E138"/>
    <mergeCell ref="C143:F143"/>
    <mergeCell ref="C149:E149"/>
    <mergeCell ref="C150:D150"/>
    <mergeCell ref="C151:D151"/>
    <mergeCell ref="C113:D113"/>
    <mergeCell ref="C114:D114"/>
    <mergeCell ref="C115:D115"/>
    <mergeCell ref="C119:D119"/>
    <mergeCell ref="C38:G38"/>
    <mergeCell ref="B4:K4"/>
    <mergeCell ref="N4:Q4"/>
    <mergeCell ref="H5:I5"/>
    <mergeCell ref="J5:K5"/>
    <mergeCell ref="B6:C6"/>
    <mergeCell ref="D6:E6"/>
    <mergeCell ref="F6:G6"/>
    <mergeCell ref="H6:I6"/>
    <mergeCell ref="J6:K6"/>
    <mergeCell ref="F5:G5"/>
  </mergeCells>
  <hyperlinks>
    <hyperlink ref="B5" location="'CT_Output'!$B$12:$B$12" display="Inputs"/>
    <hyperlink ref="D5" location="'CT_Output'!$B$40:$B$40" display="Prior class probs"/>
    <hyperlink ref="F5" location="'CT_Output'!$B$48:$B$48" display="Train Log"/>
    <hyperlink ref="H5" location="'CT_Output'!$B$64:$B$64" display="Full-Grown Tree Rules"/>
    <hyperlink ref="J5" location="'CT_Output'!$B$94:$B$94" display="Train. Score Summary."/>
    <hyperlink ref="B6" location="'CT_Output'!$B$117:$B$117" display="Best-Pruned Tree Rules"/>
    <hyperlink ref="D6" location="'CT_Output'!$B$133:$B$133" display="Valid. Score Summary"/>
    <hyperlink ref="F6" location="'CT_PruneLog'!$B$2:$B$2" display="Prune Log"/>
    <hyperlink ref="H6" location="'CT_PruneTree'!$B$12:$B$12" display="Best-Pruned Tre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Q24"/>
  <sheetViews>
    <sheetView showGridLines="0" workbookViewId="0"/>
  </sheetViews>
  <sheetFormatPr baseColWidth="10" defaultColWidth="8.83203125" defaultRowHeight="15" x14ac:dyDescent="0.2"/>
  <cols>
    <col min="14" max="14" width="11.1640625" bestFit="1" customWidth="1"/>
  </cols>
  <sheetData>
    <row r="2" spans="2:17" ht="19" x14ac:dyDescent="0.25">
      <c r="B2" s="6" t="s">
        <v>96</v>
      </c>
      <c r="N2" t="s">
        <v>162</v>
      </c>
    </row>
    <row r="4" spans="2:17" ht="16" x14ac:dyDescent="0.2">
      <c r="B4" s="14" t="s">
        <v>80</v>
      </c>
      <c r="C4" s="15"/>
      <c r="D4" s="15"/>
      <c r="E4" s="15"/>
      <c r="F4" s="15"/>
      <c r="G4" s="15"/>
      <c r="H4" s="15"/>
      <c r="I4" s="15"/>
      <c r="J4" s="15"/>
      <c r="K4" s="16"/>
      <c r="N4" s="14" t="s">
        <v>81</v>
      </c>
      <c r="O4" s="15"/>
      <c r="P4" s="15"/>
      <c r="Q4" s="16"/>
    </row>
    <row r="5" spans="2:17" x14ac:dyDescent="0.2">
      <c r="B5" s="17" t="s">
        <v>86</v>
      </c>
      <c r="C5" s="18"/>
      <c r="D5" s="17" t="s">
        <v>87</v>
      </c>
      <c r="E5" s="18"/>
      <c r="F5" s="17" t="s">
        <v>88</v>
      </c>
      <c r="G5" s="18"/>
      <c r="H5" s="17" t="s">
        <v>89</v>
      </c>
      <c r="I5" s="18"/>
      <c r="J5" s="17" t="s">
        <v>90</v>
      </c>
      <c r="K5" s="18"/>
      <c r="N5" s="4" t="s">
        <v>82</v>
      </c>
      <c r="O5" s="4" t="s">
        <v>83</v>
      </c>
      <c r="P5" s="4" t="s">
        <v>84</v>
      </c>
      <c r="Q5" s="4" t="s">
        <v>85</v>
      </c>
    </row>
    <row r="6" spans="2:17" x14ac:dyDescent="0.2">
      <c r="B6" s="17" t="s">
        <v>91</v>
      </c>
      <c r="C6" s="18"/>
      <c r="D6" s="17" t="s">
        <v>92</v>
      </c>
      <c r="E6" s="18"/>
      <c r="F6" s="17" t="s">
        <v>93</v>
      </c>
      <c r="G6" s="18"/>
      <c r="H6" s="17" t="s">
        <v>164</v>
      </c>
      <c r="I6" s="18"/>
      <c r="J6" s="19"/>
      <c r="K6" s="18"/>
      <c r="N6" s="3">
        <v>0</v>
      </c>
      <c r="O6" s="3">
        <v>16</v>
      </c>
      <c r="P6" s="3">
        <v>31</v>
      </c>
      <c r="Q6" s="3">
        <v>47</v>
      </c>
    </row>
    <row r="12" spans="2:17" x14ac:dyDescent="0.2">
      <c r="B12" s="4" t="s">
        <v>97</v>
      </c>
      <c r="C12" s="4" t="s">
        <v>98</v>
      </c>
    </row>
    <row r="13" spans="2:17" x14ac:dyDescent="0.2">
      <c r="B13" s="5">
        <v>11</v>
      </c>
      <c r="C13" s="3">
        <v>10.7</v>
      </c>
    </row>
    <row r="14" spans="2:17" x14ac:dyDescent="0.2">
      <c r="B14" s="5">
        <v>10</v>
      </c>
      <c r="C14" s="3">
        <v>10.7</v>
      </c>
    </row>
    <row r="15" spans="2:17" x14ac:dyDescent="0.2">
      <c r="B15" s="5">
        <v>9</v>
      </c>
      <c r="C15" s="3">
        <v>10.7</v>
      </c>
    </row>
    <row r="16" spans="2:17" x14ac:dyDescent="0.2">
      <c r="B16" s="5">
        <v>8</v>
      </c>
      <c r="C16" s="3">
        <v>10.7</v>
      </c>
    </row>
    <row r="17" spans="2:8" x14ac:dyDescent="0.2">
      <c r="B17" s="5">
        <v>7</v>
      </c>
      <c r="C17" s="3">
        <v>10.7</v>
      </c>
    </row>
    <row r="18" spans="2:8" x14ac:dyDescent="0.2">
      <c r="B18" s="5">
        <v>6</v>
      </c>
      <c r="C18" s="3">
        <v>10.7</v>
      </c>
    </row>
    <row r="19" spans="2:8" x14ac:dyDescent="0.2">
      <c r="B19" s="5">
        <v>5</v>
      </c>
      <c r="C19" s="3">
        <v>10.7</v>
      </c>
    </row>
    <row r="20" spans="2:8" x14ac:dyDescent="0.2">
      <c r="B20" s="5">
        <v>4</v>
      </c>
      <c r="C20" s="3">
        <v>10.7</v>
      </c>
      <c r="D20" s="20" t="s">
        <v>99</v>
      </c>
      <c r="E20" s="29"/>
      <c r="F20" s="21"/>
      <c r="G20" s="5" t="s">
        <v>100</v>
      </c>
      <c r="H20" s="3">
        <v>9.7750191815668581E-3</v>
      </c>
    </row>
    <row r="21" spans="2:8" x14ac:dyDescent="0.2">
      <c r="B21" s="5">
        <v>3</v>
      </c>
      <c r="C21" s="3">
        <v>12.5</v>
      </c>
    </row>
    <row r="22" spans="2:8" x14ac:dyDescent="0.2">
      <c r="B22" s="5">
        <v>2</v>
      </c>
      <c r="C22" s="3">
        <v>12.5</v>
      </c>
    </row>
    <row r="23" spans="2:8" x14ac:dyDescent="0.2">
      <c r="B23" s="5">
        <v>1</v>
      </c>
      <c r="C23" s="3">
        <v>17.599999999999998</v>
      </c>
    </row>
    <row r="24" spans="2:8" x14ac:dyDescent="0.2">
      <c r="B24" s="5">
        <v>0</v>
      </c>
      <c r="C24" s="3">
        <v>17.599999999999998</v>
      </c>
    </row>
  </sheetData>
  <mergeCells count="13">
    <mergeCell ref="J6:K6"/>
    <mergeCell ref="B4:K4"/>
    <mergeCell ref="N4:Q4"/>
    <mergeCell ref="D20:F20"/>
    <mergeCell ref="B5:C5"/>
    <mergeCell ref="D5:E5"/>
    <mergeCell ref="F5:G5"/>
    <mergeCell ref="H5:I5"/>
    <mergeCell ref="J5:K5"/>
    <mergeCell ref="B6:C6"/>
    <mergeCell ref="D6:E6"/>
    <mergeCell ref="F6:G6"/>
    <mergeCell ref="H6:I6"/>
  </mergeCells>
  <hyperlinks>
    <hyperlink ref="B5" location="'CT_Output'!$B$12:$B$12" display="Inputs"/>
    <hyperlink ref="D5" location="'CT_Output'!$B$40:$B$40" display="Prior class probs"/>
    <hyperlink ref="F5" location="'CT_Output'!$B$48:$B$48" display="Train Log"/>
    <hyperlink ref="H5" location="'CT_Output'!$B$64:$B$64" display="Full-Grown Tree Rules"/>
    <hyperlink ref="J5" location="'CT_Output'!$B$94:$B$94" display="Train. Score Summary."/>
    <hyperlink ref="B6" location="'CT_Output'!$B$117:$B$117" display="Best-Pruned Tree Rules"/>
    <hyperlink ref="D6" location="'CT_Output'!$B$133:$B$133" display="Valid. Score Summary"/>
    <hyperlink ref="F6" location="'CT_PruneLog'!$B$2:$B$2" display="Prune Log"/>
    <hyperlink ref="H6" location="'CT_PruneTree'!$B$12:$B$12" display="Best-Pruned Tree"/>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O71"/>
  <sheetViews>
    <sheetView showGridLines="0" workbookViewId="0">
      <selection activeCell="K21" sqref="K21"/>
    </sheetView>
  </sheetViews>
  <sheetFormatPr baseColWidth="10" defaultColWidth="8.83203125" defaultRowHeight="15" x14ac:dyDescent="0.2"/>
  <cols>
    <col min="2" max="2" width="25.33203125" bestFit="1" customWidth="1"/>
  </cols>
  <sheetData>
    <row r="2" spans="2:14" x14ac:dyDescent="0.2">
      <c r="N2" t="s">
        <v>162</v>
      </c>
    </row>
    <row r="3" spans="2:14" x14ac:dyDescent="0.2">
      <c r="B3" s="5" t="s">
        <v>10</v>
      </c>
      <c r="C3" s="3" t="s">
        <v>11</v>
      </c>
      <c r="F3" s="4" t="s">
        <v>12</v>
      </c>
      <c r="G3" s="4" t="s">
        <v>13</v>
      </c>
      <c r="H3" s="4" t="s">
        <v>14</v>
      </c>
      <c r="I3" s="4">
        <v>0</v>
      </c>
      <c r="J3" s="4">
        <v>1</v>
      </c>
    </row>
    <row r="4" spans="2:14" x14ac:dyDescent="0.2">
      <c r="B4" s="5" t="s">
        <v>15</v>
      </c>
      <c r="C4" s="3" t="s">
        <v>16</v>
      </c>
      <c r="F4" s="3">
        <v>0</v>
      </c>
      <c r="G4" s="3">
        <v>0</v>
      </c>
      <c r="H4" s="3" t="b">
        <v>1</v>
      </c>
      <c r="I4" s="3">
        <v>0.83066666666666666</v>
      </c>
      <c r="J4" s="3">
        <v>0.16933333333333334</v>
      </c>
    </row>
    <row r="5" spans="2:14" x14ac:dyDescent="0.2">
      <c r="B5" s="5" t="s">
        <v>17</v>
      </c>
      <c r="C5" s="3">
        <v>8</v>
      </c>
      <c r="F5" s="3">
        <v>1</v>
      </c>
      <c r="G5" s="3">
        <v>0</v>
      </c>
      <c r="H5" s="3" t="b">
        <v>1</v>
      </c>
      <c r="I5" s="3">
        <v>0.93364928909952605</v>
      </c>
      <c r="J5" s="3">
        <v>6.6350710900473939E-2</v>
      </c>
    </row>
    <row r="6" spans="2:14" x14ac:dyDescent="0.2">
      <c r="B6" s="5" t="s">
        <v>18</v>
      </c>
      <c r="C6" s="3" t="s">
        <v>19</v>
      </c>
      <c r="F6" s="3">
        <v>2</v>
      </c>
      <c r="G6" s="3">
        <v>0</v>
      </c>
      <c r="H6" s="3" t="b">
        <v>1</v>
      </c>
      <c r="I6" s="3">
        <v>0.58651685393258424</v>
      </c>
      <c r="J6" s="3">
        <v>0.41348314606741571</v>
      </c>
    </row>
    <row r="7" spans="2:14" x14ac:dyDescent="0.2">
      <c r="B7" s="5" t="s">
        <v>12</v>
      </c>
      <c r="C7" s="3" t="s">
        <v>20</v>
      </c>
      <c r="F7" s="3">
        <v>3</v>
      </c>
      <c r="G7" s="3">
        <v>0</v>
      </c>
      <c r="H7" s="3" t="b">
        <v>1</v>
      </c>
      <c r="I7" s="3">
        <v>0.82515337423312884</v>
      </c>
      <c r="J7" s="3">
        <v>0.17484662576687116</v>
      </c>
    </row>
    <row r="8" spans="2:14" x14ac:dyDescent="0.2">
      <c r="B8" s="5" t="s">
        <v>21</v>
      </c>
      <c r="C8" s="3" t="s">
        <v>22</v>
      </c>
      <c r="F8" s="3">
        <v>4</v>
      </c>
      <c r="G8" s="3">
        <v>0</v>
      </c>
      <c r="H8" s="3" t="b">
        <v>1</v>
      </c>
      <c r="I8" s="3">
        <v>0.98216735253772292</v>
      </c>
      <c r="J8" s="3">
        <v>1.7832647462277092E-2</v>
      </c>
    </row>
    <row r="9" spans="2:14" x14ac:dyDescent="0.2">
      <c r="B9" s="5" t="s">
        <v>23</v>
      </c>
      <c r="C9" s="3" t="s">
        <v>24</v>
      </c>
      <c r="F9" s="3">
        <v>5</v>
      </c>
      <c r="G9" s="3">
        <v>0</v>
      </c>
      <c r="H9" s="3" t="b">
        <v>1</v>
      </c>
      <c r="I9" s="3">
        <v>0.84496124031007747</v>
      </c>
      <c r="J9" s="3">
        <v>0.15503875968992248</v>
      </c>
    </row>
    <row r="10" spans="2:14" x14ac:dyDescent="0.2">
      <c r="B10" s="5" t="s">
        <v>25</v>
      </c>
      <c r="C10" s="3" t="s">
        <v>26</v>
      </c>
      <c r="F10" s="3">
        <v>6</v>
      </c>
      <c r="G10" s="3">
        <v>1</v>
      </c>
      <c r="H10" s="3" t="b">
        <v>1</v>
      </c>
      <c r="I10" s="3">
        <v>0.22994652406417113</v>
      </c>
      <c r="J10" s="3">
        <v>0.77005347593582885</v>
      </c>
    </row>
    <row r="11" spans="2:14" x14ac:dyDescent="0.2">
      <c r="B11" s="5" t="s">
        <v>27</v>
      </c>
      <c r="C11" s="3" t="s">
        <v>28</v>
      </c>
      <c r="F11" s="3">
        <v>7</v>
      </c>
      <c r="G11" s="3">
        <v>0</v>
      </c>
      <c r="H11" s="3" t="b">
        <v>1</v>
      </c>
      <c r="I11" s="3">
        <v>0.90038314176245215</v>
      </c>
      <c r="J11" s="3">
        <v>9.9616858237547887E-2</v>
      </c>
    </row>
    <row r="12" spans="2:14" x14ac:dyDescent="0.2">
      <c r="B12" s="5" t="s">
        <v>29</v>
      </c>
      <c r="C12" s="3" t="s">
        <v>30</v>
      </c>
      <c r="F12" s="3">
        <v>8</v>
      </c>
      <c r="G12" s="3">
        <v>0</v>
      </c>
      <c r="H12" s="3" t="b">
        <v>0</v>
      </c>
      <c r="I12" s="3">
        <v>0.52307692307692311</v>
      </c>
      <c r="J12" s="3">
        <v>0.47692307692307695</v>
      </c>
    </row>
    <row r="13" spans="2:14" x14ac:dyDescent="0.2">
      <c r="B13" s="5" t="s">
        <v>31</v>
      </c>
      <c r="C13" s="3" t="s">
        <v>32</v>
      </c>
      <c r="F13" s="3">
        <v>9</v>
      </c>
      <c r="G13" s="3">
        <v>0</v>
      </c>
      <c r="H13" s="3" t="b">
        <v>1</v>
      </c>
      <c r="I13" s="3">
        <v>0.99205087440381556</v>
      </c>
      <c r="J13" s="3">
        <v>7.9491255961844191E-3</v>
      </c>
    </row>
    <row r="14" spans="2:14" x14ac:dyDescent="0.2">
      <c r="B14" s="5" t="s">
        <v>33</v>
      </c>
      <c r="C14" s="3" t="s">
        <v>34</v>
      </c>
      <c r="F14" s="3">
        <v>10</v>
      </c>
      <c r="G14" s="3">
        <v>0</v>
      </c>
      <c r="H14" s="3" t="b">
        <v>0</v>
      </c>
      <c r="I14" s="3">
        <v>0.92</v>
      </c>
      <c r="J14" s="3">
        <v>0.08</v>
      </c>
    </row>
    <row r="15" spans="2:14" x14ac:dyDescent="0.2">
      <c r="B15" s="5" t="s">
        <v>35</v>
      </c>
      <c r="C15" s="3" t="s">
        <v>36</v>
      </c>
      <c r="F15" s="3">
        <v>11</v>
      </c>
      <c r="G15" s="3">
        <v>0</v>
      </c>
      <c r="H15" s="3" t="b">
        <v>1</v>
      </c>
      <c r="I15" s="3">
        <v>0.97468354430379744</v>
      </c>
      <c r="J15" s="3">
        <v>2.5316455696202531E-2</v>
      </c>
    </row>
    <row r="16" spans="2:14" x14ac:dyDescent="0.2">
      <c r="B16" s="5" t="s">
        <v>37</v>
      </c>
      <c r="C16" s="3" t="s">
        <v>38</v>
      </c>
      <c r="F16" s="3">
        <v>12</v>
      </c>
      <c r="G16" s="3">
        <v>0</v>
      </c>
      <c r="H16" s="3" t="b">
        <v>0</v>
      </c>
      <c r="I16" s="3">
        <v>0.64</v>
      </c>
      <c r="J16" s="3">
        <v>0.36</v>
      </c>
    </row>
    <row r="17" spans="2:12" x14ac:dyDescent="0.2">
      <c r="B17" s="5" t="s">
        <v>39</v>
      </c>
      <c r="C17" s="3" t="s">
        <v>40</v>
      </c>
      <c r="F17" s="3">
        <v>13</v>
      </c>
      <c r="G17" s="3">
        <v>1</v>
      </c>
      <c r="H17" s="3" t="b">
        <v>0</v>
      </c>
      <c r="I17" s="3">
        <v>9.420289855072464E-2</v>
      </c>
      <c r="J17" s="3">
        <v>0.90579710144927539</v>
      </c>
    </row>
    <row r="18" spans="2:12" x14ac:dyDescent="0.2">
      <c r="B18" s="5" t="s">
        <v>41</v>
      </c>
      <c r="C18" s="3" t="s">
        <v>42</v>
      </c>
      <c r="F18" s="3">
        <v>14</v>
      </c>
      <c r="G18" s="3">
        <v>0</v>
      </c>
      <c r="H18" s="3" t="b">
        <v>0</v>
      </c>
      <c r="I18" s="3">
        <v>0.61224489795918369</v>
      </c>
      <c r="J18" s="3">
        <v>0.38775510204081631</v>
      </c>
    </row>
    <row r="19" spans="2:12" x14ac:dyDescent="0.2">
      <c r="B19" s="5" t="s">
        <v>43</v>
      </c>
      <c r="C19" s="3" t="s">
        <v>44</v>
      </c>
      <c r="F19" s="3">
        <v>15</v>
      </c>
      <c r="G19" s="3">
        <v>0</v>
      </c>
      <c r="H19" s="3" t="b">
        <v>1</v>
      </c>
      <c r="I19" s="3">
        <v>0.99470899470899465</v>
      </c>
      <c r="J19" s="3">
        <v>5.2910052910052907E-3</v>
      </c>
    </row>
    <row r="20" spans="2:12" x14ac:dyDescent="0.2">
      <c r="B20" s="5" t="s">
        <v>45</v>
      </c>
      <c r="C20" s="3" t="s">
        <v>46</v>
      </c>
      <c r="F20" s="3">
        <v>16</v>
      </c>
      <c r="G20" s="3">
        <v>0</v>
      </c>
      <c r="H20" s="3" t="b">
        <v>0</v>
      </c>
      <c r="I20" s="3">
        <v>0.65277777777777779</v>
      </c>
      <c r="J20" s="3">
        <v>0.34722222222222221</v>
      </c>
    </row>
    <row r="21" spans="2:12" x14ac:dyDescent="0.2">
      <c r="B21" s="5" t="s">
        <v>47</v>
      </c>
      <c r="C21" s="3" t="s">
        <v>48</v>
      </c>
      <c r="F21" s="3">
        <v>17</v>
      </c>
      <c r="G21" s="3">
        <v>0</v>
      </c>
      <c r="H21" s="3" t="b">
        <v>0</v>
      </c>
      <c r="I21" s="3">
        <v>1</v>
      </c>
      <c r="J21" s="3">
        <v>0</v>
      </c>
    </row>
    <row r="22" spans="2:12" x14ac:dyDescent="0.2">
      <c r="B22" s="5" t="s">
        <v>49</v>
      </c>
      <c r="C22" s="3">
        <v>1</v>
      </c>
      <c r="F22" s="3">
        <v>18</v>
      </c>
      <c r="G22" s="3">
        <v>0</v>
      </c>
      <c r="H22" s="3" t="b">
        <v>0</v>
      </c>
      <c r="I22" s="3">
        <v>0.96296296296296291</v>
      </c>
      <c r="J22" s="3">
        <v>3.7037037037037035E-2</v>
      </c>
    </row>
    <row r="23" spans="2:12" x14ac:dyDescent="0.2">
      <c r="B23" s="5" t="s">
        <v>50</v>
      </c>
      <c r="C23" s="3">
        <v>0.5</v>
      </c>
      <c r="F23" s="3">
        <v>19</v>
      </c>
      <c r="G23" s="3">
        <v>0</v>
      </c>
      <c r="H23" s="3" t="b">
        <v>0</v>
      </c>
      <c r="I23" s="3">
        <v>1</v>
      </c>
      <c r="J23" s="3">
        <v>0</v>
      </c>
    </row>
    <row r="24" spans="2:12" x14ac:dyDescent="0.2">
      <c r="F24" s="3">
        <v>20</v>
      </c>
      <c r="G24" s="3">
        <v>0</v>
      </c>
      <c r="H24" s="3" t="b">
        <v>0</v>
      </c>
      <c r="I24" s="3">
        <v>0.89189189189189189</v>
      </c>
      <c r="J24" s="3">
        <v>0.10810810810810811</v>
      </c>
    </row>
    <row r="25" spans="2:12" x14ac:dyDescent="0.2">
      <c r="F25" s="3">
        <v>21</v>
      </c>
      <c r="G25" s="3">
        <v>0</v>
      </c>
      <c r="H25" s="3" t="b">
        <v>0</v>
      </c>
      <c r="I25" s="3">
        <v>1</v>
      </c>
      <c r="J25" s="3">
        <v>0</v>
      </c>
    </row>
    <row r="26" spans="2:12" x14ac:dyDescent="0.2">
      <c r="F26" s="3">
        <v>22</v>
      </c>
      <c r="G26" s="3">
        <v>0</v>
      </c>
      <c r="H26" s="3" t="b">
        <v>0</v>
      </c>
      <c r="I26" s="3">
        <v>0.95652173913043481</v>
      </c>
      <c r="J26" s="3">
        <v>4.3478260869565216E-2</v>
      </c>
    </row>
    <row r="29" spans="2:12" x14ac:dyDescent="0.2">
      <c r="F29" s="4" t="s">
        <v>27</v>
      </c>
      <c r="G29" s="4" t="s">
        <v>51</v>
      </c>
      <c r="H29" s="4" t="s">
        <v>52</v>
      </c>
      <c r="I29" s="4" t="s">
        <v>53</v>
      </c>
      <c r="J29" s="4" t="s">
        <v>54</v>
      </c>
      <c r="K29" s="4" t="s">
        <v>55</v>
      </c>
      <c r="L29" s="4" t="s">
        <v>56</v>
      </c>
    </row>
    <row r="30" spans="2:12" x14ac:dyDescent="0.2">
      <c r="F30" s="3">
        <v>0</v>
      </c>
      <c r="G30" s="3" t="s">
        <v>6</v>
      </c>
      <c r="H30" s="3">
        <v>4</v>
      </c>
      <c r="I30" s="3">
        <v>7.5</v>
      </c>
      <c r="J30" s="3" t="s">
        <v>57</v>
      </c>
      <c r="K30" s="3">
        <v>1</v>
      </c>
      <c r="L30" s="3">
        <v>2</v>
      </c>
    </row>
    <row r="31" spans="2:12" x14ac:dyDescent="0.2">
      <c r="F31" s="3">
        <v>1</v>
      </c>
      <c r="G31" s="3" t="s">
        <v>4</v>
      </c>
      <c r="H31" s="3">
        <v>2</v>
      </c>
      <c r="I31" s="3">
        <v>1.5</v>
      </c>
      <c r="J31" s="3" t="s">
        <v>57</v>
      </c>
      <c r="K31" s="3">
        <v>3</v>
      </c>
      <c r="L31" s="3">
        <v>4</v>
      </c>
    </row>
    <row r="32" spans="2:12" x14ac:dyDescent="0.2">
      <c r="F32" s="3">
        <v>2</v>
      </c>
      <c r="G32" s="3" t="s">
        <v>9</v>
      </c>
      <c r="H32" s="3">
        <v>7</v>
      </c>
      <c r="I32" s="3">
        <v>3.5</v>
      </c>
      <c r="J32" s="3" t="s">
        <v>57</v>
      </c>
      <c r="K32" s="3">
        <v>5</v>
      </c>
      <c r="L32" s="3">
        <v>6</v>
      </c>
    </row>
    <row r="33" spans="6:15" x14ac:dyDescent="0.2">
      <c r="F33" s="3">
        <v>3</v>
      </c>
      <c r="G33" s="3" t="s">
        <v>5</v>
      </c>
      <c r="H33" s="3">
        <v>3</v>
      </c>
      <c r="I33" s="3">
        <v>8.5</v>
      </c>
      <c r="J33" s="3" t="s">
        <v>57</v>
      </c>
      <c r="K33" s="3">
        <v>7</v>
      </c>
      <c r="L33" s="3">
        <v>8</v>
      </c>
    </row>
    <row r="34" spans="6:15" x14ac:dyDescent="0.2">
      <c r="F34" s="3">
        <v>4</v>
      </c>
      <c r="G34" s="3" t="s">
        <v>6</v>
      </c>
      <c r="H34" s="3">
        <v>4</v>
      </c>
      <c r="I34" s="3">
        <v>6.5</v>
      </c>
      <c r="J34" s="3" t="s">
        <v>57</v>
      </c>
      <c r="K34" s="3">
        <v>9</v>
      </c>
      <c r="L34" s="3">
        <v>10</v>
      </c>
    </row>
    <row r="35" spans="6:15" x14ac:dyDescent="0.2">
      <c r="F35" s="3">
        <v>5</v>
      </c>
      <c r="G35" s="3" t="s">
        <v>5</v>
      </c>
      <c r="H35" s="3">
        <v>3</v>
      </c>
      <c r="I35" s="3">
        <v>6.5</v>
      </c>
      <c r="J35" s="3" t="s">
        <v>57</v>
      </c>
      <c r="K35" s="3">
        <v>11</v>
      </c>
      <c r="L35" s="3">
        <v>12</v>
      </c>
    </row>
    <row r="36" spans="6:15" x14ac:dyDescent="0.2">
      <c r="F36" s="3">
        <v>6</v>
      </c>
      <c r="G36" s="3" t="s">
        <v>4</v>
      </c>
      <c r="H36" s="3">
        <v>2</v>
      </c>
      <c r="I36" s="3">
        <v>2.5</v>
      </c>
      <c r="J36" s="3" t="s">
        <v>57</v>
      </c>
      <c r="K36" s="3">
        <v>13</v>
      </c>
      <c r="L36" s="3">
        <v>14</v>
      </c>
    </row>
    <row r="37" spans="6:15" x14ac:dyDescent="0.2">
      <c r="F37" s="3">
        <v>7</v>
      </c>
      <c r="G37" s="3" t="s">
        <v>6</v>
      </c>
      <c r="H37" s="3">
        <v>4</v>
      </c>
      <c r="I37" s="3">
        <v>5.5</v>
      </c>
      <c r="J37" s="3" t="s">
        <v>57</v>
      </c>
      <c r="K37" s="3">
        <v>15</v>
      </c>
      <c r="L37" s="3">
        <v>16</v>
      </c>
    </row>
    <row r="38" spans="6:15" x14ac:dyDescent="0.2">
      <c r="F38" s="3">
        <v>9</v>
      </c>
      <c r="G38" s="3" t="s">
        <v>9</v>
      </c>
      <c r="H38" s="3">
        <v>7</v>
      </c>
      <c r="I38" s="3">
        <v>4.5</v>
      </c>
      <c r="J38" s="3" t="s">
        <v>57</v>
      </c>
      <c r="K38" s="3">
        <v>17</v>
      </c>
      <c r="L38" s="3">
        <v>18</v>
      </c>
    </row>
    <row r="39" spans="6:15" x14ac:dyDescent="0.2">
      <c r="F39" s="3">
        <v>11</v>
      </c>
      <c r="G39" s="3" t="s">
        <v>9</v>
      </c>
      <c r="H39" s="3">
        <v>7</v>
      </c>
      <c r="I39" s="3">
        <v>2.5</v>
      </c>
      <c r="J39" s="3" t="s">
        <v>57</v>
      </c>
      <c r="K39" s="3">
        <v>19</v>
      </c>
      <c r="L39" s="3">
        <v>20</v>
      </c>
    </row>
    <row r="40" spans="6:15" x14ac:dyDescent="0.2">
      <c r="F40" s="3">
        <v>15</v>
      </c>
      <c r="G40" s="3" t="s">
        <v>5</v>
      </c>
      <c r="H40" s="3">
        <v>3</v>
      </c>
      <c r="I40" s="3">
        <v>7.5</v>
      </c>
      <c r="J40" s="3" t="s">
        <v>57</v>
      </c>
      <c r="K40" s="3">
        <v>21</v>
      </c>
      <c r="L40" s="3">
        <v>22</v>
      </c>
    </row>
    <row r="43" spans="6:15" x14ac:dyDescent="0.2">
      <c r="F43" s="5" t="s">
        <v>41</v>
      </c>
      <c r="G43" s="3" t="s">
        <v>1</v>
      </c>
      <c r="H43" s="3" t="s">
        <v>3</v>
      </c>
      <c r="I43" s="3" t="s">
        <v>4</v>
      </c>
      <c r="J43" s="3" t="s">
        <v>5</v>
      </c>
      <c r="K43" s="3" t="s">
        <v>6</v>
      </c>
      <c r="L43" s="3" t="s">
        <v>7</v>
      </c>
      <c r="M43" s="3" t="s">
        <v>8</v>
      </c>
      <c r="N43" s="3" t="s">
        <v>9</v>
      </c>
      <c r="O43" s="3" t="s">
        <v>2</v>
      </c>
    </row>
    <row r="44" spans="6:15" x14ac:dyDescent="0.2">
      <c r="F44" s="5" t="s">
        <v>58</v>
      </c>
      <c r="G44" s="3" t="s">
        <v>59</v>
      </c>
      <c r="H44" s="3" t="s">
        <v>59</v>
      </c>
      <c r="I44" s="3" t="s">
        <v>59</v>
      </c>
      <c r="J44" s="3" t="s">
        <v>59</v>
      </c>
      <c r="K44" s="3" t="s">
        <v>59</v>
      </c>
      <c r="L44" s="3" t="s">
        <v>59</v>
      </c>
      <c r="M44" s="3" t="s">
        <v>59</v>
      </c>
      <c r="N44" s="3" t="s">
        <v>59</v>
      </c>
      <c r="O44" s="3" t="s">
        <v>60</v>
      </c>
    </row>
    <row r="45" spans="6:15" x14ac:dyDescent="0.2">
      <c r="F45" s="5" t="s">
        <v>61</v>
      </c>
      <c r="G45" s="3">
        <v>2</v>
      </c>
      <c r="H45" s="3">
        <v>3</v>
      </c>
      <c r="I45" s="3">
        <v>4</v>
      </c>
      <c r="J45" s="3">
        <v>5</v>
      </c>
      <c r="K45" s="3">
        <v>6</v>
      </c>
      <c r="L45" s="3">
        <v>7</v>
      </c>
      <c r="M45" s="3">
        <v>8</v>
      </c>
      <c r="N45" s="3">
        <v>9</v>
      </c>
      <c r="O45" s="3">
        <v>1</v>
      </c>
    </row>
    <row r="46" spans="6:15" x14ac:dyDescent="0.2">
      <c r="F46" s="5" t="s">
        <v>62</v>
      </c>
      <c r="G46" s="3">
        <v>0</v>
      </c>
      <c r="H46" s="3">
        <v>1</v>
      </c>
      <c r="I46" s="3">
        <v>2</v>
      </c>
      <c r="J46" s="3">
        <v>3</v>
      </c>
      <c r="K46" s="3">
        <v>4</v>
      </c>
      <c r="L46" s="3">
        <v>5</v>
      </c>
      <c r="M46" s="3">
        <v>6</v>
      </c>
      <c r="N46" s="3">
        <v>7</v>
      </c>
    </row>
    <row r="49" spans="2:12" x14ac:dyDescent="0.2">
      <c r="B49" s="5" t="s">
        <v>10</v>
      </c>
      <c r="C49" s="3" t="s">
        <v>11</v>
      </c>
      <c r="F49" s="4" t="s">
        <v>12</v>
      </c>
      <c r="G49" s="4" t="s">
        <v>13</v>
      </c>
      <c r="H49" s="4" t="s">
        <v>14</v>
      </c>
      <c r="I49" s="4">
        <v>0</v>
      </c>
      <c r="J49" s="4">
        <v>1</v>
      </c>
    </row>
    <row r="50" spans="2:12" x14ac:dyDescent="0.2">
      <c r="B50" s="5" t="s">
        <v>15</v>
      </c>
      <c r="C50" s="3" t="s">
        <v>63</v>
      </c>
      <c r="F50" s="3">
        <v>0</v>
      </c>
      <c r="G50" s="3">
        <v>0</v>
      </c>
      <c r="H50" s="3" t="b">
        <v>1</v>
      </c>
      <c r="I50" s="3">
        <v>0.83066666666666666</v>
      </c>
      <c r="J50" s="3">
        <v>0.16933333333333334</v>
      </c>
    </row>
    <row r="51" spans="2:12" x14ac:dyDescent="0.2">
      <c r="B51" s="5" t="s">
        <v>17</v>
      </c>
      <c r="C51" s="3">
        <v>8</v>
      </c>
      <c r="F51" s="3">
        <v>1</v>
      </c>
      <c r="G51" s="3">
        <v>0</v>
      </c>
      <c r="H51" s="3" t="b">
        <v>0</v>
      </c>
      <c r="I51" s="3">
        <v>0.93364928909952605</v>
      </c>
      <c r="J51" s="3">
        <v>6.6350710900473939E-2</v>
      </c>
    </row>
    <row r="52" spans="2:12" x14ac:dyDescent="0.2">
      <c r="B52" s="5" t="s">
        <v>18</v>
      </c>
      <c r="C52" s="3" t="s">
        <v>64</v>
      </c>
      <c r="F52" s="3">
        <v>2</v>
      </c>
      <c r="G52" s="3">
        <v>0</v>
      </c>
      <c r="H52" s="3" t="b">
        <v>1</v>
      </c>
      <c r="I52" s="3">
        <v>0.58651685393258424</v>
      </c>
      <c r="J52" s="3">
        <v>0.41348314606741571</v>
      </c>
    </row>
    <row r="53" spans="2:12" x14ac:dyDescent="0.2">
      <c r="B53" s="5" t="s">
        <v>12</v>
      </c>
      <c r="C53" s="3" t="s">
        <v>65</v>
      </c>
      <c r="F53" s="3">
        <v>3</v>
      </c>
      <c r="G53" s="3">
        <v>0</v>
      </c>
      <c r="H53" s="3" t="b">
        <v>1</v>
      </c>
      <c r="I53" s="3">
        <v>0.84496124031007747</v>
      </c>
      <c r="J53" s="3">
        <v>0.15503875968992248</v>
      </c>
    </row>
    <row r="54" spans="2:12" x14ac:dyDescent="0.2">
      <c r="B54" s="5" t="s">
        <v>21</v>
      </c>
      <c r="C54" s="3" t="s">
        <v>66</v>
      </c>
      <c r="F54" s="3">
        <v>4</v>
      </c>
      <c r="G54" s="3">
        <v>1</v>
      </c>
      <c r="H54" s="3" t="b">
        <v>1</v>
      </c>
      <c r="I54" s="3">
        <v>0.22994652406417113</v>
      </c>
      <c r="J54" s="3">
        <v>0.77005347593582885</v>
      </c>
    </row>
    <row r="55" spans="2:12" x14ac:dyDescent="0.2">
      <c r="B55" s="5" t="s">
        <v>23</v>
      </c>
      <c r="C55" s="3" t="s">
        <v>67</v>
      </c>
      <c r="F55" s="3">
        <v>5</v>
      </c>
      <c r="G55" s="3">
        <v>0</v>
      </c>
      <c r="H55" s="3" t="b">
        <v>0</v>
      </c>
      <c r="I55" s="3">
        <v>0.97468354430379744</v>
      </c>
      <c r="J55" s="3">
        <v>2.5316455696202531E-2</v>
      </c>
    </row>
    <row r="56" spans="2:12" x14ac:dyDescent="0.2">
      <c r="B56" s="5" t="s">
        <v>25</v>
      </c>
      <c r="C56" s="3" t="s">
        <v>68</v>
      </c>
      <c r="F56" s="3">
        <v>6</v>
      </c>
      <c r="G56" s="3">
        <v>0</v>
      </c>
      <c r="H56" s="3" t="b">
        <v>0</v>
      </c>
      <c r="I56" s="3">
        <v>0.64</v>
      </c>
      <c r="J56" s="3">
        <v>0.36</v>
      </c>
    </row>
    <row r="57" spans="2:12" x14ac:dyDescent="0.2">
      <c r="B57" s="5" t="s">
        <v>27</v>
      </c>
      <c r="C57" s="3" t="s">
        <v>69</v>
      </c>
      <c r="F57" s="3">
        <v>7</v>
      </c>
      <c r="G57" s="3">
        <v>1</v>
      </c>
      <c r="H57" s="3" t="b">
        <v>0</v>
      </c>
      <c r="I57" s="3">
        <v>9.420289855072464E-2</v>
      </c>
      <c r="J57" s="3">
        <v>0.90579710144927539</v>
      </c>
    </row>
    <row r="58" spans="2:12" x14ac:dyDescent="0.2">
      <c r="B58" s="5" t="s">
        <v>29</v>
      </c>
      <c r="C58" s="3" t="s">
        <v>70</v>
      </c>
      <c r="F58" s="3">
        <v>8</v>
      </c>
      <c r="G58" s="3">
        <v>0</v>
      </c>
      <c r="H58" s="3" t="b">
        <v>0</v>
      </c>
      <c r="I58" s="3">
        <v>0.61224489795918369</v>
      </c>
      <c r="J58" s="3">
        <v>0.38775510204081631</v>
      </c>
    </row>
    <row r="59" spans="2:12" x14ac:dyDescent="0.2">
      <c r="B59" s="5" t="s">
        <v>31</v>
      </c>
      <c r="C59" s="3" t="s">
        <v>71</v>
      </c>
    </row>
    <row r="60" spans="2:12" x14ac:dyDescent="0.2">
      <c r="B60" s="5" t="s">
        <v>33</v>
      </c>
      <c r="C60" s="3" t="s">
        <v>72</v>
      </c>
    </row>
    <row r="61" spans="2:12" x14ac:dyDescent="0.2">
      <c r="B61" s="5" t="s">
        <v>35</v>
      </c>
      <c r="C61" s="3" t="s">
        <v>73</v>
      </c>
      <c r="F61" s="4" t="s">
        <v>27</v>
      </c>
      <c r="G61" s="4" t="s">
        <v>51</v>
      </c>
      <c r="H61" s="4" t="s">
        <v>52</v>
      </c>
      <c r="I61" s="4" t="s">
        <v>53</v>
      </c>
      <c r="J61" s="4" t="s">
        <v>54</v>
      </c>
      <c r="K61" s="4" t="s">
        <v>55</v>
      </c>
      <c r="L61" s="4" t="s">
        <v>56</v>
      </c>
    </row>
    <row r="62" spans="2:12" x14ac:dyDescent="0.2">
      <c r="B62" s="5" t="s">
        <v>37</v>
      </c>
      <c r="C62" s="3" t="s">
        <v>74</v>
      </c>
      <c r="F62" s="3">
        <v>0</v>
      </c>
      <c r="G62" s="3" t="s">
        <v>6</v>
      </c>
      <c r="H62" s="3">
        <v>4</v>
      </c>
      <c r="I62" s="3">
        <v>7.5</v>
      </c>
      <c r="J62" s="3" t="s">
        <v>57</v>
      </c>
      <c r="K62" s="3">
        <v>1</v>
      </c>
      <c r="L62" s="3">
        <v>2</v>
      </c>
    </row>
    <row r="63" spans="2:12" x14ac:dyDescent="0.2">
      <c r="B63" s="5" t="s">
        <v>39</v>
      </c>
      <c r="C63" s="3" t="s">
        <v>75</v>
      </c>
      <c r="F63" s="3">
        <v>2</v>
      </c>
      <c r="G63" s="3" t="s">
        <v>9</v>
      </c>
      <c r="H63" s="3">
        <v>7</v>
      </c>
      <c r="I63" s="3">
        <v>3.5</v>
      </c>
      <c r="J63" s="3" t="s">
        <v>57</v>
      </c>
      <c r="K63" s="3">
        <v>3</v>
      </c>
      <c r="L63" s="3">
        <v>4</v>
      </c>
    </row>
    <row r="64" spans="2:12" x14ac:dyDescent="0.2">
      <c r="B64" s="5" t="s">
        <v>41</v>
      </c>
      <c r="C64" s="3" t="s">
        <v>76</v>
      </c>
      <c r="F64" s="3">
        <v>3</v>
      </c>
      <c r="G64" s="3" t="s">
        <v>5</v>
      </c>
      <c r="H64" s="3">
        <v>3</v>
      </c>
      <c r="I64" s="3">
        <v>6.5</v>
      </c>
      <c r="J64" s="3" t="s">
        <v>57</v>
      </c>
      <c r="K64" s="3">
        <v>5</v>
      </c>
      <c r="L64" s="3">
        <v>6</v>
      </c>
    </row>
    <row r="65" spans="2:15" x14ac:dyDescent="0.2">
      <c r="B65" s="5" t="s">
        <v>43</v>
      </c>
      <c r="C65" s="3" t="s">
        <v>77</v>
      </c>
      <c r="F65" s="3">
        <v>4</v>
      </c>
      <c r="G65" s="3" t="s">
        <v>4</v>
      </c>
      <c r="H65" s="3">
        <v>2</v>
      </c>
      <c r="I65" s="3">
        <v>2.5</v>
      </c>
      <c r="J65" s="3" t="s">
        <v>57</v>
      </c>
      <c r="K65" s="3">
        <v>7</v>
      </c>
      <c r="L65" s="3">
        <v>8</v>
      </c>
    </row>
    <row r="66" spans="2:15" x14ac:dyDescent="0.2">
      <c r="B66" s="5" t="s">
        <v>45</v>
      </c>
      <c r="C66" s="3" t="s">
        <v>78</v>
      </c>
    </row>
    <row r="67" spans="2:15" x14ac:dyDescent="0.2">
      <c r="B67" s="5" t="s">
        <v>47</v>
      </c>
      <c r="C67" s="3" t="s">
        <v>79</v>
      </c>
    </row>
    <row r="68" spans="2:15" x14ac:dyDescent="0.2">
      <c r="B68" s="5" t="s">
        <v>49</v>
      </c>
      <c r="C68" s="3">
        <v>1</v>
      </c>
      <c r="F68" s="5" t="s">
        <v>41</v>
      </c>
      <c r="G68" s="3" t="s">
        <v>1</v>
      </c>
      <c r="H68" s="3" t="s">
        <v>3</v>
      </c>
      <c r="I68" s="3" t="s">
        <v>4</v>
      </c>
      <c r="J68" s="3" t="s">
        <v>5</v>
      </c>
      <c r="K68" s="3" t="s">
        <v>6</v>
      </c>
      <c r="L68" s="3" t="s">
        <v>7</v>
      </c>
      <c r="M68" s="3" t="s">
        <v>8</v>
      </c>
      <c r="N68" s="3" t="s">
        <v>9</v>
      </c>
      <c r="O68" s="3" t="s">
        <v>2</v>
      </c>
    </row>
    <row r="69" spans="2:15" x14ac:dyDescent="0.2">
      <c r="B69" s="5" t="s">
        <v>50</v>
      </c>
      <c r="C69" s="3">
        <v>0.5</v>
      </c>
      <c r="F69" s="5" t="s">
        <v>58</v>
      </c>
      <c r="G69" s="3" t="s">
        <v>59</v>
      </c>
      <c r="H69" s="3" t="s">
        <v>59</v>
      </c>
      <c r="I69" s="3" t="s">
        <v>59</v>
      </c>
      <c r="J69" s="3" t="s">
        <v>59</v>
      </c>
      <c r="K69" s="3" t="s">
        <v>59</v>
      </c>
      <c r="L69" s="3" t="s">
        <v>59</v>
      </c>
      <c r="M69" s="3" t="s">
        <v>59</v>
      </c>
      <c r="N69" s="3" t="s">
        <v>59</v>
      </c>
      <c r="O69" s="3" t="s">
        <v>60</v>
      </c>
    </row>
    <row r="70" spans="2:15" x14ac:dyDescent="0.2">
      <c r="F70" s="5" t="s">
        <v>61</v>
      </c>
      <c r="G70" s="3">
        <v>2</v>
      </c>
      <c r="H70" s="3">
        <v>3</v>
      </c>
      <c r="I70" s="3">
        <v>4</v>
      </c>
      <c r="J70" s="3">
        <v>5</v>
      </c>
      <c r="K70" s="3">
        <v>6</v>
      </c>
      <c r="L70" s="3">
        <v>7</v>
      </c>
      <c r="M70" s="3">
        <v>8</v>
      </c>
      <c r="N70" s="3">
        <v>9</v>
      </c>
      <c r="O70" s="3">
        <v>1</v>
      </c>
    </row>
    <row r="71" spans="2:15" x14ac:dyDescent="0.2">
      <c r="F71" s="5" t="s">
        <v>62</v>
      </c>
      <c r="G71" s="3">
        <v>0</v>
      </c>
      <c r="H71" s="3">
        <v>1</v>
      </c>
      <c r="I71" s="3">
        <v>2</v>
      </c>
      <c r="J71" s="3">
        <v>3</v>
      </c>
      <c r="K71" s="3">
        <v>4</v>
      </c>
      <c r="L71" s="3">
        <v>5</v>
      </c>
      <c r="M71" s="3">
        <v>6</v>
      </c>
      <c r="N71" s="3">
        <v>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S6"/>
  <sheetViews>
    <sheetView showGridLines="0" topLeftCell="A7" workbookViewId="0">
      <selection activeCell="M28" sqref="M28"/>
    </sheetView>
  </sheetViews>
  <sheetFormatPr baseColWidth="10" defaultColWidth="8.83203125" defaultRowHeight="15" x14ac:dyDescent="0.2"/>
  <cols>
    <col min="16" max="16" width="11.1640625" bestFit="1" customWidth="1"/>
  </cols>
  <sheetData>
    <row r="2" spans="2:19" ht="19" x14ac:dyDescent="0.25">
      <c r="B2" s="6" t="s">
        <v>167</v>
      </c>
      <c r="N2" t="s">
        <v>165</v>
      </c>
    </row>
    <row r="4" spans="2:19" ht="16" x14ac:dyDescent="0.2">
      <c r="B4" s="14" t="s">
        <v>80</v>
      </c>
      <c r="C4" s="15"/>
      <c r="D4" s="15"/>
      <c r="E4" s="15"/>
      <c r="F4" s="15"/>
      <c r="G4" s="15"/>
      <c r="H4" s="15"/>
      <c r="I4" s="15"/>
      <c r="J4" s="15"/>
      <c r="K4" s="15"/>
      <c r="L4" s="15"/>
      <c r="M4" s="16"/>
      <c r="P4" s="14" t="s">
        <v>81</v>
      </c>
      <c r="Q4" s="15"/>
      <c r="R4" s="15"/>
      <c r="S4" s="16"/>
    </row>
    <row r="5" spans="2:19" x14ac:dyDescent="0.2">
      <c r="B5" s="17" t="s">
        <v>166</v>
      </c>
      <c r="C5" s="18"/>
      <c r="D5" s="17" t="s">
        <v>86</v>
      </c>
      <c r="E5" s="18"/>
      <c r="F5" s="17" t="s">
        <v>87</v>
      </c>
      <c r="G5" s="18"/>
      <c r="H5" s="17" t="s">
        <v>88</v>
      </c>
      <c r="I5" s="18"/>
      <c r="J5" s="17" t="s">
        <v>89</v>
      </c>
      <c r="K5" s="18"/>
      <c r="L5" s="17" t="s">
        <v>90</v>
      </c>
      <c r="M5" s="18"/>
      <c r="P5" s="4" t="s">
        <v>82</v>
      </c>
      <c r="Q5" s="4" t="s">
        <v>83</v>
      </c>
      <c r="R5" s="4" t="s">
        <v>84</v>
      </c>
      <c r="S5" s="4" t="s">
        <v>85</v>
      </c>
    </row>
    <row r="6" spans="2:19" x14ac:dyDescent="0.2">
      <c r="B6" s="17" t="s">
        <v>91</v>
      </c>
      <c r="C6" s="18"/>
      <c r="D6" s="17" t="s">
        <v>92</v>
      </c>
      <c r="E6" s="18"/>
      <c r="F6" s="17" t="s">
        <v>93</v>
      </c>
      <c r="G6" s="18"/>
      <c r="H6" s="17" t="s">
        <v>94</v>
      </c>
      <c r="I6" s="18"/>
      <c r="J6" s="17" t="s">
        <v>95</v>
      </c>
      <c r="K6" s="18"/>
      <c r="L6" s="19"/>
      <c r="M6" s="18"/>
      <c r="P6" s="3">
        <v>0</v>
      </c>
      <c r="Q6" s="3">
        <v>16</v>
      </c>
      <c r="R6" s="3">
        <v>47</v>
      </c>
      <c r="S6" s="3">
        <v>63</v>
      </c>
    </row>
  </sheetData>
  <mergeCells count="14">
    <mergeCell ref="B4:M4"/>
    <mergeCell ref="P4:S4"/>
    <mergeCell ref="B6:C6"/>
    <mergeCell ref="D6:E6"/>
    <mergeCell ref="F6:G6"/>
    <mergeCell ref="H6:I6"/>
    <mergeCell ref="J6:K6"/>
    <mergeCell ref="L6:M6"/>
    <mergeCell ref="B5:C5"/>
    <mergeCell ref="D5:E5"/>
    <mergeCell ref="F5:G5"/>
    <mergeCell ref="H5:I5"/>
    <mergeCell ref="J5:K5"/>
    <mergeCell ref="L5:M5"/>
  </mergeCells>
  <hyperlinks>
    <hyperlink ref="B5" location="'CT_FullTree'!$B$12:$B$12" display="Full-Grown Tree"/>
    <hyperlink ref="D5" location="'CT_Output'!$B$12:$B$12" display="Inputs"/>
    <hyperlink ref="F5" location="'CT_Output'!$B$42:$B$42" display="Prior class probs"/>
    <hyperlink ref="H5" location="'CT_Output'!$B$50:$B$50" display="Train Log"/>
    <hyperlink ref="J5" location="'CT_Output'!$B$66:$B$66" display="Full-Grown Tree Rules"/>
    <hyperlink ref="L5" location="'CT_Output'!$B$96:$B$96" display="Train. Score Summary."/>
    <hyperlink ref="B6" location="'CT_Output'!$B$119:$B$119" display="Best-Pruned Tree Rules"/>
    <hyperlink ref="D6" location="'CT_Output'!$B$135:$B$135" display="Valid. Score Summary"/>
    <hyperlink ref="F6" location="'CT_PruneLog'!$B$2:$B$2" display="Prune Log"/>
    <hyperlink ref="H6" location="'CT_TrainingLiftChart'!$B$12:$B$12" display="CT Train. Lift Chart"/>
    <hyperlink ref="J6" location="'CT_ValidationLiftChart'!$B$12:$B$12" display="CT Valid. Lift Chart"/>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Data</vt:lpstr>
      <vt:lpstr>Data (2)</vt:lpstr>
      <vt:lpstr>Write Up</vt:lpstr>
      <vt:lpstr>BestPruned_Tree</vt:lpstr>
      <vt:lpstr>BestPruned_Output</vt:lpstr>
      <vt:lpstr>BestPruned_PruneLog</vt:lpstr>
      <vt:lpstr>BestPruned_Stored</vt:lpstr>
      <vt:lpstr>CT_FullTree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Manuel Laguna</dc:creator>
  <cp:lastModifiedBy>Microsoft Office User</cp:lastModifiedBy>
  <dcterms:created xsi:type="dcterms:W3CDTF">2016-06-16T21:36:10Z</dcterms:created>
  <dcterms:modified xsi:type="dcterms:W3CDTF">2016-06-21T15:21:08Z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353c50d8-6ac6-426e-aa26-8fbb79cf4263</vt:lpwstr>
  </property>
</Properties>
</file>